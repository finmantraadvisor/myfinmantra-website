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Payroll" sheetId="2" state="visible" r:id="rId4"/>
    <sheet name="Rates &amp; Settings" sheetId="3" state="visible" r:id="rId5"/>
    <sheet name="Challan Summary" sheetId="4" state="visible" r:id="rId6"/>
    <sheet name="Payslip" sheetId="5" state="visible" r:id="rId7"/>
  </sheets>
  <definedNames>
    <definedName function="false" hidden="false" localSheetId="4" name="_xlnm.Print_Area" vbProcedure="false">Payslip!$B$2:$F$31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<sst xmlns="http://schemas.openxmlformats.org/spreadsheetml/2006/main" count="330" uniqueCount="209">
  <si>
    <t xml:space="preserve">MyFinMantra — Payroll Calculator (PF, ESI, PT, LWF, TDS)</t>
  </si>
  <si>
    <t xml:space="preserve">Client service format · Clear books. Confident business.</t>
  </si>
  <si>
    <t xml:space="preserve">Purpose</t>
  </si>
  <si>
    <t xml:space="preserve">Monthly payroll for up to 100 employees: earned salary for paid days, PF on the ₹25,000 wage ceiling, ESI, state-wise Professional Tax and Labour Welfare Fund, an estimated monthly TDS (new tax regime), net pay, employer cost, challan summary and a printable payslip.</t>
  </si>
  <si>
    <t xml:space="preserve">Colour legend</t>
  </si>
  <si>
    <t xml:space="preserve">12,500</t>
  </si>
  <si>
    <t xml:space="preserve">Blue text on yellow = input. Type or paste your client's figures here.</t>
  </si>
  <si>
    <t xml:space="preserve">Formula</t>
  </si>
  <si>
    <t xml:space="preserve">Black text = formula. Don't overwrite; it updates automatically.</t>
  </si>
  <si>
    <t xml:space="preserve">Header</t>
  </si>
  <si>
    <t xml:space="preserve">Section and column headings.</t>
  </si>
  <si>
    <t xml:space="preserve">Steps</t>
  </si>
  <si>
    <t xml:space="preserve">Step 1</t>
  </si>
  <si>
    <t xml:space="preserve">On 'Rates &amp; Settings', set the company name and the payroll month. Rates are pre-filled for 2026-27; update them if the government changes them.</t>
  </si>
  <si>
    <t xml:space="preserve">Step 2</t>
  </si>
  <si>
    <t xml:space="preserve">On 'Payroll', enter each employee once: state, PF options and the fixed monthly salary structure (Basic, DA, HRA and allowances).</t>
  </si>
  <si>
    <t xml:space="preserve">Step 3</t>
  </si>
  <si>
    <t xml:space="preserve">Every month, change the payroll month and enter paid days (and any other deductions or TDS override). Everything else calculates.</t>
  </si>
  <si>
    <t xml:space="preserve">Step 4</t>
  </si>
  <si>
    <t xml:space="preserve">Use 'Challan Summary' for the PF ECR, ESI, PT, LWF and TDS amounts to pay, with due dates.</t>
  </si>
  <si>
    <t xml:space="preserve">Step 5</t>
  </si>
  <si>
    <t xml:space="preserve">On 'Payslip', pick an employee ID to print a payslip (File → Export → PDF).</t>
  </si>
  <si>
    <t xml:space="preserve">Notes</t>
  </si>
  <si>
    <t xml:space="preserve">PF: 12% employee and 12% employer on PF wages; ceiling ₹25,000 a month from 17 Sep 2026 (S.O. 5109(E)); employer share splits into EPS 8.33% (on wages up to the ceiling) and EPF for the balance; EDLI 0.5% and admin charges 0.5% (EPFO's ₹500 minimum admin charge per establishment is not applied).</t>
  </si>
  <si>
    <t xml:space="preserve">Labour Codes (in force from 21 Nov 2025): if Basic + DA is below 50% of total pay, the shortfall is added to 'wages' for PF. Switch this off on 'Rates &amp; Settings' if not applicable.</t>
  </si>
  <si>
    <t xml:space="preserve">ESI: 0.75% employee and 3.25% employer, for employees whose fixed gross is up to ₹21,000 a month; amounts rounded up to the next rupee.</t>
  </si>
  <si>
    <t xml:space="preserve">PT is automatic for states with monthly slabs. For Tamil Nadu, Kerala (half-yearly) and Madhya Pradesh (quarterly), enter PT in the 'PT override' column. Haryana, Delhi, UP and Rajasthan levy no PT.</t>
  </si>
  <si>
    <t xml:space="preserve">TDS is an estimate under the new regime on fixed salary only (standard deduction ₹75,000, ₹12 lakh rebate, 4% cess; surcharge ignored). Use 'TDS override' for exact figures.</t>
  </si>
  <si>
    <t xml:space="preserve">Sample figures are filled in so you can see how the format works. Replace them with your own data.</t>
  </si>
  <si>
    <t xml:space="preserve">Free template by MyFinMantra</t>
  </si>
  <si>
    <t xml:space="preserve">Accounting, GST, payroll and Virtual CFO services · www.myfinmantra.com · WhatsApp +91 97118 99555</t>
  </si>
  <si>
    <t xml:space="preserve">General template for guidance only — verify rates and rules for your case. Not professional advice.</t>
  </si>
  <si>
    <t xml:space="preserve">Monthly payroll</t>
  </si>
  <si>
    <t xml:space="preserve">Employee</t>
  </si>
  <si>
    <t xml:space="preserve">Fixed monthly salary (₹)</t>
  </si>
  <si>
    <t xml:space="preserve">Earnings &amp; statutory wages</t>
  </si>
  <si>
    <t xml:space="preserve">Employee deductions</t>
  </si>
  <si>
    <t xml:space="preserve">Employer contributions</t>
  </si>
  <si>
    <t xml:space="preserve">TDS working</t>
  </si>
  <si>
    <t xml:space="preserve">Emp ID</t>
  </si>
  <si>
    <t xml:space="preserve">Employee name</t>
  </si>
  <si>
    <t xml:space="preserve">Designation</t>
  </si>
  <si>
    <t xml:space="preserve">State</t>
  </si>
  <si>
    <t xml:space="preserve">PF member?</t>
  </si>
  <si>
    <t xml:space="preserve">Restrict PF to ceiling?</t>
  </si>
  <si>
    <t xml:space="preserve">EPS member?</t>
  </si>
  <si>
    <t xml:space="preserve">Paid days</t>
  </si>
  <si>
    <t xml:space="preserve">Basic</t>
  </si>
  <si>
    <t xml:space="preserve">DA</t>
  </si>
  <si>
    <t xml:space="preserve">HRA</t>
  </si>
  <si>
    <t xml:space="preserve">Conveyance</t>
  </si>
  <si>
    <t xml:space="preserve">Special allowance</t>
  </si>
  <si>
    <t xml:space="preserve">Other allowances</t>
  </si>
  <si>
    <t xml:space="preserve">Fixed gross</t>
  </si>
  <si>
    <t xml:space="preserve">Earned gross</t>
  </si>
  <si>
    <t xml:space="preserve">Earned Basic + DA</t>
  </si>
  <si>
    <t xml:space="preserve">Wages (Labour Code)</t>
  </si>
  <si>
    <t xml:space="preserve">PF wages</t>
  </si>
  <si>
    <t xml:space="preserve">Employee PF</t>
  </si>
  <si>
    <t xml:space="preserve">ESI applicable</t>
  </si>
  <si>
    <t xml:space="preserve">Employee ESI</t>
  </si>
  <si>
    <t xml:space="preserve">PT</t>
  </si>
  <si>
    <t xml:space="preserve">PT override</t>
  </si>
  <si>
    <t xml:space="preserve">LWF employee</t>
  </si>
  <si>
    <t xml:space="preserve">TDS (estimate)</t>
  </si>
  <si>
    <t xml:space="preserve">TDS override</t>
  </si>
  <si>
    <t xml:space="preserve">Other deductions</t>
  </si>
  <si>
    <t xml:space="preserve">Total deductions</t>
  </si>
  <si>
    <t xml:space="preserve">Net pay</t>
  </si>
  <si>
    <t xml:space="preserve">Employer EPF</t>
  </si>
  <si>
    <t xml:space="preserve">Employer EPS</t>
  </si>
  <si>
    <t xml:space="preserve">EDLI</t>
  </si>
  <si>
    <t xml:space="preserve">PF admin</t>
  </si>
  <si>
    <t xml:space="preserve">Employer ESI</t>
  </si>
  <si>
    <t xml:space="preserve">LWF employer</t>
  </si>
  <si>
    <t xml:space="preserve">Employer cost (month)</t>
  </si>
  <si>
    <t xml:space="preserve">Annual taxable (est.)</t>
  </si>
  <si>
    <t xml:space="preserve">Annual tax (est.)</t>
  </si>
  <si>
    <t xml:space="preserve">E001</t>
  </si>
  <si>
    <t xml:space="preserve">Rahul Sharma</t>
  </si>
  <si>
    <t xml:space="preserve">Accounts Executive</t>
  </si>
  <si>
    <t xml:space="preserve">Haryana</t>
  </si>
  <si>
    <t xml:space="preserve">Yes</t>
  </si>
  <si>
    <t xml:space="preserve">E002</t>
  </si>
  <si>
    <t xml:space="preserve">Priya Nair</t>
  </si>
  <si>
    <t xml:space="preserve">HR Manager</t>
  </si>
  <si>
    <t xml:space="preserve">Karnataka</t>
  </si>
  <si>
    <t xml:space="preserve">E003</t>
  </si>
  <si>
    <t xml:space="preserve">Amit Patil</t>
  </si>
  <si>
    <t xml:space="preserve">Sales Lead</t>
  </si>
  <si>
    <t xml:space="preserve">Maharashtra (Men)</t>
  </si>
  <si>
    <t xml:space="preserve">No</t>
  </si>
  <si>
    <t xml:space="preserve">E004</t>
  </si>
  <si>
    <t xml:space="preserve">Sneha Das</t>
  </si>
  <si>
    <t xml:space="preserve">Associate</t>
  </si>
  <si>
    <t xml:space="preserve">West Bengal</t>
  </si>
  <si>
    <t xml:space="preserve">E005</t>
  </si>
  <si>
    <t xml:space="preserve">Karan Mehta</t>
  </si>
  <si>
    <t xml:space="preserve">Consultant</t>
  </si>
  <si>
    <t xml:space="preserve">Delhi</t>
  </si>
  <si>
    <t xml:space="preserve">Total</t>
  </si>
  <si>
    <t xml:space="preserve">Rates &amp; settings</t>
  </si>
  <si>
    <t xml:space="preserve">Pre-filled for Tax Year 2026-27. Blue cells can be changed.</t>
  </si>
  <si>
    <t xml:space="preserve">Company name</t>
  </si>
  <si>
    <t xml:space="preserve">Sample Technologies Pvt Ltd</t>
  </si>
  <si>
    <t xml:space="preserve">Payroll month (any date in the month)</t>
  </si>
  <si>
    <t xml:space="preserve">Days in payroll month</t>
  </si>
  <si>
    <t xml:space="preserve">Uttar Pradesh</t>
  </si>
  <si>
    <t xml:space="preserve">PF wage ceiling (₹ per month)</t>
  </si>
  <si>
    <t xml:space="preserve">From 17 Sep 2026 (earlier ₹15,000)</t>
  </si>
  <si>
    <t xml:space="preserve">Rajasthan</t>
  </si>
  <si>
    <t xml:space="preserve">PF — employee rate</t>
  </si>
  <si>
    <t xml:space="preserve">PF — employer total rate</t>
  </si>
  <si>
    <t xml:space="preserve">Maharashtra (Women)</t>
  </si>
  <si>
    <t xml:space="preserve">EPS (pension) rate</t>
  </si>
  <si>
    <t xml:space="preserve">Part of the employer's 12%</t>
  </si>
  <si>
    <t xml:space="preserve">EDLI rate</t>
  </si>
  <si>
    <t xml:space="preserve">Tamil Nadu</t>
  </si>
  <si>
    <t xml:space="preserve">PF admin charges</t>
  </si>
  <si>
    <t xml:space="preserve">Telangana</t>
  </si>
  <si>
    <t xml:space="preserve">Apply Labour Code 50% wage rule?</t>
  </si>
  <si>
    <t xml:space="preserve">Yes / No</t>
  </si>
  <si>
    <t xml:space="preserve">Andhra Pradesh</t>
  </si>
  <si>
    <t xml:space="preserve">ESI — employee rate</t>
  </si>
  <si>
    <t xml:space="preserve">ESI — employer rate</t>
  </si>
  <si>
    <t xml:space="preserve">Gujarat</t>
  </si>
  <si>
    <t xml:space="preserve">ESI wage limit (fixed gross per month)</t>
  </si>
  <si>
    <t xml:space="preserve">₹25,000 for employees with disability</t>
  </si>
  <si>
    <t xml:space="preserve">Madhya Pradesh</t>
  </si>
  <si>
    <t xml:space="preserve">Standard deduction — new regime (₹ per year)</t>
  </si>
  <si>
    <t xml:space="preserve">For TDS estimate</t>
  </si>
  <si>
    <t xml:space="preserve">Odisha</t>
  </si>
  <si>
    <t xml:space="preserve">Rebate threshold — new regime (₹)</t>
  </si>
  <si>
    <t xml:space="preserve">No tax up to this taxable income</t>
  </si>
  <si>
    <t xml:space="preserve">Kerala</t>
  </si>
  <si>
    <t xml:space="preserve">Health &amp; education cess</t>
  </si>
  <si>
    <t xml:space="preserve">Punjab</t>
  </si>
  <si>
    <t xml:space="preserve">Chandigarh</t>
  </si>
  <si>
    <t xml:space="preserve">Income tax slabs — new regime, Tax Year 2026-27</t>
  </si>
  <si>
    <t xml:space="preserve">Chhattisgarh</t>
  </si>
  <si>
    <t xml:space="preserve">Taxable income above (₹)</t>
  </si>
  <si>
    <t xml:space="preserve">Rate</t>
  </si>
  <si>
    <t xml:space="preserve">Rate step</t>
  </si>
  <si>
    <t xml:space="preserve">Goa</t>
  </si>
  <si>
    <t xml:space="preserve">Uttarakhand</t>
  </si>
  <si>
    <t xml:space="preserve">Himachal Pradesh</t>
  </si>
  <si>
    <t xml:space="preserve">Bihar</t>
  </si>
  <si>
    <t xml:space="preserve">Jharkhand</t>
  </si>
  <si>
    <t xml:space="preserve">Assam</t>
  </si>
  <si>
    <t xml:space="preserve">Other</t>
  </si>
  <si>
    <t xml:space="preserve">Professional Tax — monthly slabs (gross earned salary)</t>
  </si>
  <si>
    <t xml:space="preserve">Salary from (₹)</t>
  </si>
  <si>
    <t xml:space="preserve">Salary to (₹)</t>
  </si>
  <si>
    <t xml:space="preserve">Monthly PT (₹)</t>
  </si>
  <si>
    <t xml:space="preserve">February PT (₹)</t>
  </si>
  <si>
    <t xml:space="preserve">Source: state PT schedules as published for 2026-27 (Karnataka revised w.e.f. 1 Apr 2025). States not listed: no monthly PT — use 'PT override'.</t>
  </si>
  <si>
    <t xml:space="preserve">Labour Welfare Fund</t>
  </si>
  <si>
    <t xml:space="preserve">Type</t>
  </si>
  <si>
    <t xml:space="preserve">Employee (₹ or %)</t>
  </si>
  <si>
    <t xml:space="preserve">Employer (₹, or × employee)</t>
  </si>
  <si>
    <t xml:space="preserve">Employee cap (₹)</t>
  </si>
  <si>
    <t xml:space="preserve">Employer cap (₹)</t>
  </si>
  <si>
    <t xml:space="preserve">Deduct in months</t>
  </si>
  <si>
    <t xml:space="preserve">Percent</t>
  </si>
  <si>
    <t xml:space="preserve">All</t>
  </si>
  <si>
    <t xml:space="preserve">Fixed</t>
  </si>
  <si>
    <t xml:space="preserve">6,12</t>
  </si>
  <si>
    <t xml:space="preserve">12</t>
  </si>
  <si>
    <t xml:space="preserve">Months: 'All' = every month; '6,12' = June &amp; December; '12' = December. Haryana: 0.2% of wages (max ₹35), employer 2× (max ₹70) from 1 Jan 2026. Kerala: shops &amp; establishments rate.</t>
  </si>
  <si>
    <t xml:space="preserve">Challan &amp; payment summary</t>
  </si>
  <si>
    <t xml:space="preserve">Item</t>
  </si>
  <si>
    <t xml:space="preserve">Amount (₹)</t>
  </si>
  <si>
    <t xml:space="preserve">Due date</t>
  </si>
  <si>
    <t xml:space="preserve">PF (EPFO ECR)</t>
  </si>
  <si>
    <t xml:space="preserve">A/c 1 — Employee share</t>
  </si>
  <si>
    <t xml:space="preserve">A/c 1 — Employer EPF share</t>
  </si>
  <si>
    <t xml:space="preserve">A/c 10 — Pension (EPS)</t>
  </si>
  <si>
    <t xml:space="preserve">A/c 21 — EDLI</t>
  </si>
  <si>
    <t xml:space="preserve">A/c 2 — Admin charges</t>
  </si>
  <si>
    <t xml:space="preserve">Total PF challan</t>
  </si>
  <si>
    <t xml:space="preserve">ESI (ESIC)</t>
  </si>
  <si>
    <t xml:space="preserve">Employee share</t>
  </si>
  <si>
    <t xml:space="preserve">Employer share</t>
  </si>
  <si>
    <t xml:space="preserve">Total ESI challan</t>
  </si>
  <si>
    <t xml:space="preserve">TDS on salary (section 192)</t>
  </si>
  <si>
    <t xml:space="preserve">TDS to deposit</t>
  </si>
  <si>
    <t xml:space="preserve">Total LWF</t>
  </si>
  <si>
    <t xml:space="preserve">As per state due date</t>
  </si>
  <si>
    <t xml:space="preserve">Professional Tax — total (all states)</t>
  </si>
  <si>
    <t xml:space="preserve">As per state due date (see state-wise below)</t>
  </si>
  <si>
    <t xml:space="preserve">Net salary to pay</t>
  </si>
  <si>
    <t xml:space="preserve">Salary payment date</t>
  </si>
  <si>
    <t xml:space="preserve">Total employer cost for the month</t>
  </si>
  <si>
    <t xml:space="preserve">Professional Tax by state</t>
  </si>
  <si>
    <t xml:space="preserve">PT (₹)</t>
  </si>
  <si>
    <t xml:space="preserve">Employees</t>
  </si>
  <si>
    <t xml:space="preserve">Due dates are the general statutory dates; check portals for extensions and state-specific PT/LWF dates.</t>
  </si>
  <si>
    <t xml:space="preserve">Select employee ID</t>
  </si>
  <si>
    <t xml:space="preserve">Days in month</t>
  </si>
  <si>
    <t xml:space="preserve">Earnings</t>
  </si>
  <si>
    <t xml:space="preserve">Deductions</t>
  </si>
  <si>
    <t xml:space="preserve">Provident Fund</t>
  </si>
  <si>
    <t xml:space="preserve">ESI</t>
  </si>
  <si>
    <t xml:space="preserve">Professional Tax</t>
  </si>
  <si>
    <t xml:space="preserve">Income tax (TDS)</t>
  </si>
  <si>
    <t xml:space="preserve">Rounding adjustment</t>
  </si>
  <si>
    <t xml:space="preserve">Gross earnings</t>
  </si>
  <si>
    <t xml:space="preserve">Employer contributions (not part of take-home)</t>
  </si>
  <si>
    <t xml:space="preserve">This is a computer-generated payslip. TDS shown is an estimate unless overridden.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</si>
</sst>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[&gt;=10000000]##\,##\,##\,##0;[&gt;=100000]##\,##\,##0;##,##0"/>
    <numFmt numFmtId="167" formatCode="mmm\-yyyy"/>
    <numFmt numFmtId="168" formatCode="0.0%;\-0.0%;\-"/>
    <numFmt numFmtId="169" formatCode="0.00%"/>
    <numFmt numFmtId="170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E35"/>
      <name val="Arial"/>
      <family val="0"/>
      <charset val="1"/>
    </font>
    <font>
      <i val="true"/>
      <sz val="10"/>
      <color rgb="FF55666A"/>
      <name val="Arial"/>
      <family val="0"/>
      <charset val="1"/>
    </font>
    <font>
      <b val="true"/>
      <sz val="11"/>
      <color rgb="FF0F2E3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10"/>
      <color rgb="FF1B465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1"/>
      <color rgb="FF1B4650"/>
      <name val="Arial"/>
      <family val="0"/>
      <charset val="1"/>
    </font>
    <font>
      <b val="true"/>
      <sz val="9"/>
      <color rgb="FF0F2E35"/>
      <name val="Arial"/>
      <family val="0"/>
      <charset val="1"/>
    </font>
    <font>
      <i val="true"/>
      <sz val="9"/>
      <color rgb="FF55666A"/>
      <name val="Arial"/>
      <family val="0"/>
      <charset val="1"/>
    </font>
    <font>
      <b val="true"/>
      <sz val="11"/>
      <color rgb="FFE3A21A"/>
      <name val="Arial"/>
      <family val="0"/>
      <charset val="1"/>
    </font>
    <font>
      <sz val="10"/>
      <color rgb="FF55666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F2E3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7D6"/>
        <bgColor rgb="FFFBF0D6"/>
      </patternFill>
    </fill>
    <fill>
      <patternFill patternType="solid">
        <fgColor rgb="FF0F2E35"/>
        <bgColor rgb="FF003300"/>
      </patternFill>
    </fill>
    <fill>
      <patternFill patternType="solid">
        <fgColor rgb="FFFBF0D6"/>
        <bgColor rgb="FFFFF7D6"/>
      </patternFill>
    </fill>
    <fill>
      <patternFill patternType="solid">
        <fgColor rgb="FFFFFFFF"/>
        <bgColor rgb="FFF4F7F6"/>
      </patternFill>
    </fill>
    <fill>
      <patternFill patternType="solid">
        <fgColor rgb="FFF4F7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0DE"/>
      </left>
      <right style="thin">
        <color rgb="FFD7E0DE"/>
      </right>
      <top style="thin">
        <color rgb="FFD7E0DE"/>
      </top>
      <bottom style="thin">
        <color rgb="FFD7E0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F4F7F6"/>
      <rgbColor rgb="FF660066"/>
      <rgbColor rgb="FFFF8080"/>
      <rgbColor rgb="FF0066CC"/>
      <rgbColor rgb="FFD7E0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0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3A21A"/>
      <rgbColor rgb="FFFF6600"/>
      <rgbColor rgb="FF55666A"/>
      <rgbColor rgb="FF999999"/>
      <rgbColor rgb="FF0F2E35"/>
      <rgbColor rgb="FF339966"/>
      <rgbColor rgb="FF003300"/>
      <rgbColor rgb="FF333300"/>
      <rgbColor rgb="FFB45309"/>
      <rgbColor rgb="FF993366"/>
      <rgbColor rgb="FF333399"/>
      <rgbColor rgb="FF1B4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yfinmantra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5" hidden="false" customHeight="true" outlineLevel="0" collapsed="false">
      <c r="B5" s="3" t="s">
        <v>2</v>
      </c>
      <c r="C5" s="4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5" t="s">
        <v>5</v>
      </c>
      <c r="C8" s="6" t="s">
        <v>6</v>
      </c>
    </row>
    <row r="9" customFormat="false" ht="15" hidden="false" customHeight="false" outlineLevel="0" collapsed="false">
      <c r="B9" s="7" t="s">
        <v>7</v>
      </c>
      <c r="C9" s="6" t="s">
        <v>8</v>
      </c>
    </row>
    <row r="10" customFormat="false" ht="15" hidden="false" customHeight="false" outlineLevel="0" collapsed="false">
      <c r="B10" s="8" t="s">
        <v>9</v>
      </c>
      <c r="C10" s="6" t="s">
        <v>10</v>
      </c>
    </row>
    <row r="12" customFormat="false" ht="15" hidden="false" customHeight="false" outlineLevel="0" collapsed="false">
      <c r="B12" s="3" t="s">
        <v>11</v>
      </c>
    </row>
    <row r="13" customFormat="false" ht="30" hidden="false" customHeight="true" outlineLevel="0" collapsed="false">
      <c r="B13" s="9" t="s">
        <v>12</v>
      </c>
      <c r="C13" s="10" t="s">
        <v>13</v>
      </c>
    </row>
    <row r="14" customFormat="false" ht="30" hidden="false" customHeight="true" outlineLevel="0" collapsed="false">
      <c r="B14" s="9" t="s">
        <v>14</v>
      </c>
      <c r="C14" s="10" t="s">
        <v>15</v>
      </c>
    </row>
    <row r="15" customFormat="false" ht="30" hidden="false" customHeight="true" outlineLevel="0" collapsed="false">
      <c r="B15" s="9" t="s">
        <v>16</v>
      </c>
      <c r="C15" s="10" t="s">
        <v>17</v>
      </c>
    </row>
    <row r="16" customFormat="false" ht="15.75" hidden="false" customHeight="true" outlineLevel="0" collapsed="false">
      <c r="B16" s="9" t="s">
        <v>18</v>
      </c>
      <c r="C16" s="10" t="s">
        <v>19</v>
      </c>
    </row>
    <row r="17" customFormat="false" ht="15.75" hidden="false" customHeight="true" outlineLevel="0" collapsed="false">
      <c r="B17" s="9" t="s">
        <v>20</v>
      </c>
      <c r="C17" s="10" t="s">
        <v>21</v>
      </c>
    </row>
    <row r="19" customFormat="false" ht="15" hidden="false" customHeight="false" outlineLevel="0" collapsed="false">
      <c r="B19" s="3" t="s">
        <v>22</v>
      </c>
    </row>
    <row r="20" customFormat="false" ht="30" hidden="false" customHeight="true" outlineLevel="0" collapsed="false">
      <c r="C20" s="11" t="s">
        <v>23</v>
      </c>
    </row>
    <row r="21" customFormat="false" ht="30" hidden="false" customHeight="true" outlineLevel="0" collapsed="false">
      <c r="C21" s="11" t="s">
        <v>24</v>
      </c>
    </row>
    <row r="22" customFormat="false" ht="30" hidden="false" customHeight="true" outlineLevel="0" collapsed="false">
      <c r="C22" s="11" t="s">
        <v>25</v>
      </c>
    </row>
    <row r="23" customFormat="false" ht="30" hidden="false" customHeight="true" outlineLevel="0" collapsed="false">
      <c r="C23" s="11" t="s">
        <v>26</v>
      </c>
    </row>
    <row r="24" customFormat="false" ht="30" hidden="false" customHeight="true" outlineLevel="0" collapsed="false">
      <c r="C24" s="11" t="s">
        <v>27</v>
      </c>
    </row>
    <row r="26" customFormat="false" ht="15" hidden="false" customHeight="false" outlineLevel="0" collapsed="false">
      <c r="B26" s="12" t="s">
        <v>28</v>
      </c>
    </row>
    <row r="28" customFormat="false" ht="15" hidden="false" customHeight="false" outlineLevel="0" collapsed="false">
      <c r="B28" s="3" t="s">
        <v>29</v>
      </c>
    </row>
    <row r="29" customFormat="false" ht="15" hidden="false" customHeight="false" outlineLevel="0" collapsed="false">
      <c r="B29" s="13" t="s">
        <v>30</v>
      </c>
    </row>
    <row r="30" customFormat="false" ht="15" hidden="false" customHeight="false" outlineLevel="0" collapsed="false">
      <c r="B30" s="14" t="s">
        <v>31</v>
      </c>
    </row>
  </sheetData>
  <hyperlinks>
    <hyperlink ref="B29" r:id="rId1" display="Accounting, GST, payroll and Virtual CFO services · www.myfinmantra.com · WhatsApp +91 97118 9955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AN1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9" min="16" style="0" width="11"/>
    <col collapsed="false" customWidth="true" hidden="false" outlineLevel="0" max="21" min="20" style="0" width="10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4" min="24" style="0" width="7"/>
    <col collapsed="false" customWidth="true" hidden="false" outlineLevel="0" max="26" min="25" style="0" width="8"/>
    <col collapsed="false" customWidth="true" hidden="false" outlineLevel="0" max="27" min="27" style="0" width="10"/>
    <col collapsed="false" customWidth="true" hidden="false" outlineLevel="0" max="28" min="28" style="0" width="9"/>
    <col collapsed="false" customWidth="true" hidden="false" outlineLevel="0" max="29" min="29" style="0" width="10"/>
    <col collapsed="false" customWidth="true" hidden="false" outlineLevel="0" max="30" min="30" style="0" width="11"/>
    <col collapsed="false" customWidth="true" hidden="false" outlineLevel="0" max="31" min="31" style="0" width="12"/>
    <col collapsed="false" customWidth="true" hidden="false" outlineLevel="0" max="33" min="32" style="0" width="10"/>
    <col collapsed="false" customWidth="true" hidden="false" outlineLevel="0" max="35" min="34" style="0" width="8"/>
    <col collapsed="false" customWidth="true" hidden="false" outlineLevel="0" max="36" min="36" style="0" width="9"/>
    <col collapsed="false" customWidth="true" hidden="false" outlineLevel="0" max="37" min="37" style="0" width="8"/>
    <col collapsed="false" customWidth="true" hidden="false" outlineLevel="0" max="39" min="38" style="0" width="12"/>
    <col collapsed="false" customWidth="true" hidden="false" outlineLevel="0" max="40" min="40" style="0" width="11"/>
  </cols>
  <sheetData>
    <row r="2" customFormat="false" ht="19.7" hidden="false" customHeight="false" outlineLevel="0" collapsed="false">
      <c r="B2" s="1" t="s">
        <v>32</v>
      </c>
    </row>
    <row r="3" customFormat="false" ht="15" hidden="false" customHeight="false" outlineLevel="0" collapsed="false">
      <c r="B3" s="15" t="str">
        <f aca="false">'Rates &amp; Settings'!$C$5&amp;"  ·  Payroll for "&amp;TEXT('Rates &amp; Settings'!$C$6,"mmmm yyyy")&amp;"  ·  "&amp;'Rates &amp; Settings'!$C$7&amp;" days"</f>
        <v>Sample Technologies Pvt Ltd  ·  Payroll for October 2026  ·  31 days</v>
      </c>
    </row>
    <row r="4" customFormat="false" ht="15" hidden="false" customHeight="false" outlineLevel="0" collapsed="false">
      <c r="B4" s="16" t="s">
        <v>33</v>
      </c>
      <c r="C4" s="16"/>
      <c r="D4" s="16"/>
      <c r="E4" s="16"/>
      <c r="F4" s="16"/>
      <c r="G4" s="16"/>
      <c r="H4" s="16"/>
      <c r="I4" s="16"/>
      <c r="J4" s="16" t="s">
        <v>34</v>
      </c>
      <c r="K4" s="16"/>
      <c r="L4" s="16"/>
      <c r="M4" s="16"/>
      <c r="N4" s="16"/>
      <c r="O4" s="16"/>
      <c r="P4" s="16"/>
      <c r="Q4" s="16" t="s">
        <v>35</v>
      </c>
      <c r="R4" s="16"/>
      <c r="S4" s="16"/>
      <c r="T4" s="16"/>
      <c r="U4" s="16" t="s">
        <v>36</v>
      </c>
      <c r="V4" s="16"/>
      <c r="W4" s="16"/>
      <c r="X4" s="16"/>
      <c r="Y4" s="16"/>
      <c r="Z4" s="16"/>
      <c r="AA4" s="16"/>
      <c r="AB4" s="16"/>
      <c r="AC4" s="16"/>
      <c r="AD4" s="16"/>
      <c r="AE4" s="17"/>
      <c r="AF4" s="16" t="s">
        <v>37</v>
      </c>
      <c r="AG4" s="16"/>
      <c r="AH4" s="16"/>
      <c r="AI4" s="16"/>
      <c r="AJ4" s="16"/>
      <c r="AK4" s="16"/>
      <c r="AL4" s="16"/>
      <c r="AM4" s="16" t="s">
        <v>38</v>
      </c>
      <c r="AN4" s="16"/>
    </row>
    <row r="5" customFormat="false" ht="42" hidden="false" customHeight="true" outlineLevel="0" collapsed="false">
      <c r="B5" s="18" t="s">
        <v>39</v>
      </c>
      <c r="C5" s="19" t="s">
        <v>40</v>
      </c>
      <c r="D5" s="19" t="s">
        <v>41</v>
      </c>
      <c r="E5" s="19" t="s">
        <v>42</v>
      </c>
      <c r="F5" s="19" t="s">
        <v>43</v>
      </c>
      <c r="G5" s="19" t="s">
        <v>44</v>
      </c>
      <c r="H5" s="19" t="s">
        <v>45</v>
      </c>
      <c r="I5" s="19" t="s">
        <v>46</v>
      </c>
      <c r="J5" s="19" t="s">
        <v>47</v>
      </c>
      <c r="K5" s="19" t="s">
        <v>48</v>
      </c>
      <c r="L5" s="19" t="s">
        <v>49</v>
      </c>
      <c r="M5" s="19" t="s">
        <v>50</v>
      </c>
      <c r="N5" s="19" t="s">
        <v>51</v>
      </c>
      <c r="O5" s="19" t="s">
        <v>52</v>
      </c>
      <c r="P5" s="19" t="s">
        <v>53</v>
      </c>
      <c r="Q5" s="19" t="s">
        <v>54</v>
      </c>
      <c r="R5" s="19" t="s">
        <v>55</v>
      </c>
      <c r="S5" s="19" t="s">
        <v>56</v>
      </c>
      <c r="T5" s="19" t="s">
        <v>57</v>
      </c>
      <c r="U5" s="19" t="s">
        <v>58</v>
      </c>
      <c r="V5" s="19" t="s">
        <v>59</v>
      </c>
      <c r="W5" s="19" t="s">
        <v>60</v>
      </c>
      <c r="X5" s="19" t="s">
        <v>61</v>
      </c>
      <c r="Y5" s="19" t="s">
        <v>62</v>
      </c>
      <c r="Z5" s="19" t="s">
        <v>63</v>
      </c>
      <c r="AA5" s="19" t="s">
        <v>64</v>
      </c>
      <c r="AB5" s="19" t="s">
        <v>65</v>
      </c>
      <c r="AC5" s="19" t="s">
        <v>66</v>
      </c>
      <c r="AD5" s="19" t="s">
        <v>67</v>
      </c>
      <c r="AE5" s="19" t="s">
        <v>68</v>
      </c>
      <c r="AF5" s="19" t="s">
        <v>69</v>
      </c>
      <c r="AG5" s="19" t="s">
        <v>70</v>
      </c>
      <c r="AH5" s="19" t="s">
        <v>71</v>
      </c>
      <c r="AI5" s="19" t="s">
        <v>72</v>
      </c>
      <c r="AJ5" s="19" t="s">
        <v>73</v>
      </c>
      <c r="AK5" s="19" t="s">
        <v>74</v>
      </c>
      <c r="AL5" s="19" t="s">
        <v>75</v>
      </c>
      <c r="AM5" s="19" t="s">
        <v>76</v>
      </c>
      <c r="AN5" s="19" t="s">
        <v>77</v>
      </c>
    </row>
    <row r="6" customFormat="false" ht="15" hidden="false" customHeight="false" outlineLevel="0" collapsed="false">
      <c r="B6" s="5" t="s">
        <v>78</v>
      </c>
      <c r="C6" s="5" t="s">
        <v>79</v>
      </c>
      <c r="D6" s="5" t="s">
        <v>80</v>
      </c>
      <c r="E6" s="5" t="s">
        <v>81</v>
      </c>
      <c r="F6" s="5" t="s">
        <v>82</v>
      </c>
      <c r="G6" s="5" t="s">
        <v>82</v>
      </c>
      <c r="H6" s="5" t="s">
        <v>82</v>
      </c>
      <c r="I6" s="20" t="n">
        <v>31</v>
      </c>
      <c r="J6" s="21" t="n">
        <v>8000</v>
      </c>
      <c r="K6" s="21" t="n">
        <v>0</v>
      </c>
      <c r="L6" s="21" t="n">
        <v>4000</v>
      </c>
      <c r="M6" s="21" t="n">
        <v>1600</v>
      </c>
      <c r="N6" s="21" t="n">
        <v>6400</v>
      </c>
      <c r="O6" s="21" t="n">
        <v>0</v>
      </c>
      <c r="P6" s="22" t="n">
        <f aca="false">IF(B6="","",SUM(J6:O6))</f>
        <v>20000</v>
      </c>
      <c r="Q6" s="22" t="n">
        <f aca="false">IF(B6="","",ROUND(P6*N(I6)/'Rates &amp; Settings'!$C$7,0))</f>
        <v>20000</v>
      </c>
      <c r="R6" s="22" t="n">
        <f aca="false">IF(B6="","",ROUND((N(J6)+N(K6))*N(I6)/'Rates &amp; Settings'!$C$7,0))</f>
        <v>8000</v>
      </c>
      <c r="S6" s="22" t="n">
        <f aca="false">IF(B6="","",IF('Rates &amp; Settings'!$C$14="Yes",MAX(R6,ROUND(Q6*0.5,0)),R6))</f>
        <v>10000</v>
      </c>
      <c r="T6" s="22" t="n">
        <f aca="false">IF(B6="","",IF(F6="Yes",IF(G6="Yes",MIN(S6,'Rates &amp; Settings'!$C$8),S6),0))</f>
        <v>10000</v>
      </c>
      <c r="U6" s="22" t="n">
        <f aca="false">IF(B6="","",ROUND(T6*'Rates &amp; Settings'!$C$9,0))</f>
        <v>1200</v>
      </c>
      <c r="V6" s="7" t="str">
        <f aca="false">IF(B6="","",IF(P6&lt;='Rates &amp; Settings'!$C$17,"Yes","No"))</f>
        <v>Yes</v>
      </c>
      <c r="W6" s="22" t="n">
        <f aca="false">IF(B6="","",IF(V6="Yes",ROUNDUP(Q6*'Rates &amp; Settings'!$C$15,0),0))</f>
        <v>150</v>
      </c>
      <c r="X6" s="22" t="n">
        <f aca="false">IF(B6="","",IF(Y6&lt;&gt;"",N(Y6),IF(MONTH('Rates &amp; Settings'!$C$6)=2,SUMIFS('Rates &amp; Settings'!$F$35:$F$70,'Rates &amp; Settings'!$B$35:$B$70,E6,'Rates &amp; Settings'!$C$35:$C$70,"&lt;="&amp;Q6,'Rates &amp; Settings'!$D$35:$D$70,"&gt;="&amp;Q6),SUMIFS('Rates &amp; Settings'!$E$35:$E$70,'Rates &amp; Settings'!$B$35:$B$70,E6,'Rates &amp; Settings'!$C$35:$C$70,"&lt;="&amp;Q6,'Rates &amp; Settings'!$D$35:$D$70,"&gt;="&amp;Q6))))</f>
        <v>0</v>
      </c>
      <c r="Y6" s="21"/>
      <c r="Z6" s="22" t="n">
        <f aca="false">IF(B6="","",IFERROR(IF(OR(INDEX('Rates &amp; Settings'!$H$75:$H$96,MATCH(E6,'Rates &amp; Settings'!$B$75:$B$96,0))="All",ISNUMBER(SEARCH(","&amp;MONTH('Rates &amp; Settings'!$C$6)&amp;",",","&amp;INDEX('Rates &amp; Settings'!$H$75:$H$96,MATCH(E6,'Rates &amp; Settings'!$B$75:$B$96,0))&amp;","))),IF(INDEX('Rates &amp; Settings'!$C$75:$C$96,MATCH(E6,'Rates &amp; Settings'!$B$75:$B$96,0))="Percent",MIN(ROUND(Q6*INDEX('Rates &amp; Settings'!$D$75:$D$96,MATCH(E6,'Rates &amp; Settings'!$B$75:$B$96,0)),0),INDEX('Rates &amp; Settings'!$F$75:$F$96,MATCH(E6,'Rates &amp; Settings'!$B$75:$B$96,0))),INDEX('Rates &amp; Settings'!$D$75:$D$96,MATCH(E6,'Rates &amp; Settings'!$B$75:$B$96,0))),0),0))</f>
        <v>35</v>
      </c>
      <c r="AA6" s="22" t="n">
        <f aca="false">IF(B6="","",ROUND(AN6/12,0))</f>
        <v>0</v>
      </c>
      <c r="AB6" s="21"/>
      <c r="AC6" s="21"/>
      <c r="AD6" s="22" t="n">
        <f aca="false">IF(B6="","",U6+W6+X6+Z6+IF(AB6&lt;&gt;"",N(AB6),AA6)+N(AC6))</f>
        <v>1385</v>
      </c>
      <c r="AE6" s="23" t="n">
        <f aca="false">IF(B6="","",Q6-AD6)</f>
        <v>18615</v>
      </c>
      <c r="AF6" s="22" t="n">
        <f aca="false">IF(B6="","",ROUND(T6*'Rates &amp; Settings'!$C$10,0)-AG6)</f>
        <v>367</v>
      </c>
      <c r="AG6" s="22" t="n">
        <f aca="false">IF(B6="","",IF(H6="Yes",ROUND(MIN(T6,'Rates &amp; Settings'!$C$8)*'Rates &amp; Settings'!$C$11,0),0))</f>
        <v>833</v>
      </c>
      <c r="AH6" s="22" t="n">
        <f aca="false">IF(B6="","",ROUND(MIN(T6,'Rates &amp; Settings'!$C$8)*'Rates &amp; Settings'!$C$12,0))</f>
        <v>50</v>
      </c>
      <c r="AI6" s="22" t="n">
        <f aca="false">IF(B6="","",ROUND(T6*'Rates &amp; Settings'!$C$13,0))</f>
        <v>50</v>
      </c>
      <c r="AJ6" s="22" t="n">
        <f aca="false">IF(B6="","",IF(V6="Yes",ROUNDUP(Q6*'Rates &amp; Settings'!$C$16,0),0))</f>
        <v>650</v>
      </c>
      <c r="AK6" s="22" t="n">
        <f aca="false">IF(B6="","",IFERROR(IF(Z6=0,0,IF(INDEX('Rates &amp; Settings'!$C$75:$C$96,MATCH(E6,'Rates &amp; Settings'!$B$75:$B$96,0))="Percent",MIN(Z6*INDEX('Rates &amp; Settings'!$E$75:$E$96,MATCH(E6,'Rates &amp; Settings'!$B$75:$B$96,0)),INDEX('Rates &amp; Settings'!$G$75:$G$96,MATCH(E6,'Rates &amp; Settings'!$B$75:$B$96,0))),INDEX('Rates &amp; Settings'!$E$75:$E$96,MATCH(E6,'Rates &amp; Settings'!$B$75:$B$96,0)))),0))</f>
        <v>70</v>
      </c>
      <c r="AL6" s="22" t="n">
        <f aca="false">IF(B6="","",Q6+AF6+AG6+AH6+AI6+AJ6+AK6)</f>
        <v>22020</v>
      </c>
      <c r="AM6" s="22" t="n">
        <f aca="false">IF(B6="","",MAX(0,P6*12-'Rates &amp; Settings'!$C$18))</f>
        <v>165000</v>
      </c>
      <c r="AN6" s="22" t="n">
        <f aca="false">IF(B6="","",IF(AM6&lt;='Rates &amp; Settings'!$C$19,0,MIN(SUMPRODUCT(--(AM6&gt;'Rates &amp; Settings'!$B$24:$B$30),AM6-'Rates &amp; Settings'!$B$24:$B$30,'Rates &amp; Settings'!$D$24:$D$30),AM6-'Rates &amp; Settings'!$C$19))*(1+'Rates &amp; Settings'!$C$20))</f>
        <v>0</v>
      </c>
    </row>
    <row r="7" customFormat="false" ht="15" hidden="false" customHeight="false" outlineLevel="0" collapsed="false">
      <c r="B7" s="5" t="s">
        <v>83</v>
      </c>
      <c r="C7" s="5" t="s">
        <v>84</v>
      </c>
      <c r="D7" s="5" t="s">
        <v>85</v>
      </c>
      <c r="E7" s="5" t="s">
        <v>86</v>
      </c>
      <c r="F7" s="5" t="s">
        <v>82</v>
      </c>
      <c r="G7" s="5" t="s">
        <v>82</v>
      </c>
      <c r="H7" s="5" t="s">
        <v>82</v>
      </c>
      <c r="I7" s="20" t="n">
        <v>31</v>
      </c>
      <c r="J7" s="21" t="n">
        <v>30000</v>
      </c>
      <c r="K7" s="21" t="n">
        <v>0</v>
      </c>
      <c r="L7" s="21" t="n">
        <v>15000</v>
      </c>
      <c r="M7" s="21" t="n">
        <v>1600</v>
      </c>
      <c r="N7" s="21" t="n">
        <v>8400</v>
      </c>
      <c r="O7" s="21" t="n">
        <v>5000</v>
      </c>
      <c r="P7" s="22" t="n">
        <f aca="false">IF(B7="","",SUM(J7:O7))</f>
        <v>60000</v>
      </c>
      <c r="Q7" s="22" t="n">
        <f aca="false">IF(B7="","",ROUND(P7*N(I7)/'Rates &amp; Settings'!$C$7,0))</f>
        <v>60000</v>
      </c>
      <c r="R7" s="22" t="n">
        <f aca="false">IF(B7="","",ROUND((N(J7)+N(K7))*N(I7)/'Rates &amp; Settings'!$C$7,0))</f>
        <v>30000</v>
      </c>
      <c r="S7" s="22" t="n">
        <f aca="false">IF(B7="","",IF('Rates &amp; Settings'!$C$14="Yes",MAX(R7,ROUND(Q7*0.5,0)),R7))</f>
        <v>30000</v>
      </c>
      <c r="T7" s="22" t="n">
        <f aca="false">IF(B7="","",IF(F7="Yes",IF(G7="Yes",MIN(S7,'Rates &amp; Settings'!$C$8),S7),0))</f>
        <v>25000</v>
      </c>
      <c r="U7" s="22" t="n">
        <f aca="false">IF(B7="","",ROUND(T7*'Rates &amp; Settings'!$C$9,0))</f>
        <v>3000</v>
      </c>
      <c r="V7" s="7" t="str">
        <f aca="false">IF(B7="","",IF(P7&lt;='Rates &amp; Settings'!$C$17,"Yes","No"))</f>
        <v>No</v>
      </c>
      <c r="W7" s="22" t="n">
        <f aca="false">IF(B7="","",IF(V7="Yes",ROUNDUP(Q7*'Rates &amp; Settings'!$C$15,0),0))</f>
        <v>0</v>
      </c>
      <c r="X7" s="22" t="n">
        <f aca="false">IF(B7="","",IF(Y7&lt;&gt;"",N(Y7),IF(MONTH('Rates &amp; Settings'!$C$6)=2,SUMIFS('Rates &amp; Settings'!$F$35:$F$70,'Rates &amp; Settings'!$B$35:$B$70,E7,'Rates &amp; Settings'!$C$35:$C$70,"&lt;="&amp;Q7,'Rates &amp; Settings'!$D$35:$D$70,"&gt;="&amp;Q7),SUMIFS('Rates &amp; Settings'!$E$35:$E$70,'Rates &amp; Settings'!$B$35:$B$70,E7,'Rates &amp; Settings'!$C$35:$C$70,"&lt;="&amp;Q7,'Rates &amp; Settings'!$D$35:$D$70,"&gt;="&amp;Q7))))</f>
        <v>200</v>
      </c>
      <c r="Y7" s="21"/>
      <c r="Z7" s="22" t="n">
        <f aca="false">IF(B7="","",IFERROR(IF(OR(INDEX('Rates &amp; Settings'!$H$75:$H$96,MATCH(E7,'Rates &amp; Settings'!$B$75:$B$96,0))="All",ISNUMBER(SEARCH(","&amp;MONTH('Rates &amp; Settings'!$C$6)&amp;",",","&amp;INDEX('Rates &amp; Settings'!$H$75:$H$96,MATCH(E7,'Rates &amp; Settings'!$B$75:$B$96,0))&amp;","))),IF(INDEX('Rates &amp; Settings'!$C$75:$C$96,MATCH(E7,'Rates &amp; Settings'!$B$75:$B$96,0))="Percent",MIN(ROUND(Q7*INDEX('Rates &amp; Settings'!$D$75:$D$96,MATCH(E7,'Rates &amp; Settings'!$B$75:$B$96,0)),0),INDEX('Rates &amp; Settings'!$F$75:$F$96,MATCH(E7,'Rates &amp; Settings'!$B$75:$B$96,0))),INDEX('Rates &amp; Settings'!$D$75:$D$96,MATCH(E7,'Rates &amp; Settings'!$B$75:$B$96,0))),0),0))</f>
        <v>0</v>
      </c>
      <c r="AA7" s="22" t="n">
        <f aca="false">IF(B7="","",ROUND(AN7/12,0))</f>
        <v>0</v>
      </c>
      <c r="AB7" s="21"/>
      <c r="AC7" s="21"/>
      <c r="AD7" s="22" t="n">
        <f aca="false">IF(B7="","",U7+W7+X7+Z7+IF(AB7&lt;&gt;"",N(AB7),AA7)+N(AC7))</f>
        <v>3200</v>
      </c>
      <c r="AE7" s="23" t="n">
        <f aca="false">IF(B7="","",Q7-AD7)</f>
        <v>56800</v>
      </c>
      <c r="AF7" s="22" t="n">
        <f aca="false">IF(B7="","",ROUND(T7*'Rates &amp; Settings'!$C$10,0)-AG7)</f>
        <v>917</v>
      </c>
      <c r="AG7" s="22" t="n">
        <f aca="false">IF(B7="","",IF(H7="Yes",ROUND(MIN(T7,'Rates &amp; Settings'!$C$8)*'Rates &amp; Settings'!$C$11,0),0))</f>
        <v>2083</v>
      </c>
      <c r="AH7" s="22" t="n">
        <f aca="false">IF(B7="","",ROUND(MIN(T7,'Rates &amp; Settings'!$C$8)*'Rates &amp; Settings'!$C$12,0))</f>
        <v>125</v>
      </c>
      <c r="AI7" s="22" t="n">
        <f aca="false">IF(B7="","",ROUND(T7*'Rates &amp; Settings'!$C$13,0))</f>
        <v>125</v>
      </c>
      <c r="AJ7" s="22" t="n">
        <f aca="false">IF(B7="","",IF(V7="Yes",ROUNDUP(Q7*'Rates &amp; Settings'!$C$16,0),0))</f>
        <v>0</v>
      </c>
      <c r="AK7" s="22" t="n">
        <f aca="false">IF(B7="","",IFERROR(IF(Z7=0,0,IF(INDEX('Rates &amp; Settings'!$C$75:$C$96,MATCH(E7,'Rates &amp; Settings'!$B$75:$B$96,0))="Percent",MIN(Z7*INDEX('Rates &amp; Settings'!$E$75:$E$96,MATCH(E7,'Rates &amp; Settings'!$B$75:$B$96,0)),INDEX('Rates &amp; Settings'!$G$75:$G$96,MATCH(E7,'Rates &amp; Settings'!$B$75:$B$96,0))),INDEX('Rates &amp; Settings'!$E$75:$E$96,MATCH(E7,'Rates &amp; Settings'!$B$75:$B$96,0)))),0))</f>
        <v>0</v>
      </c>
      <c r="AL7" s="22" t="n">
        <f aca="false">IF(B7="","",Q7+AF7+AG7+AH7+AI7+AJ7+AK7)</f>
        <v>63250</v>
      </c>
      <c r="AM7" s="22" t="n">
        <f aca="false">IF(B7="","",MAX(0,P7*12-'Rates &amp; Settings'!$C$18))</f>
        <v>645000</v>
      </c>
      <c r="AN7" s="22" t="n">
        <f aca="false">IF(B7="","",IF(AM7&lt;='Rates &amp; Settings'!$C$19,0,MIN(SUMPRODUCT(--(AM7&gt;'Rates &amp; Settings'!$B$24:$B$30),AM7-'Rates &amp; Settings'!$B$24:$B$30,'Rates &amp; Settings'!$D$24:$D$30),AM7-'Rates &amp; Settings'!$C$19))*(1+'Rates &amp; Settings'!$C$20))</f>
        <v>0</v>
      </c>
    </row>
    <row r="8" customFormat="false" ht="15" hidden="false" customHeight="false" outlineLevel="0" collapsed="false">
      <c r="B8" s="5" t="s">
        <v>87</v>
      </c>
      <c r="C8" s="5" t="s">
        <v>88</v>
      </c>
      <c r="D8" s="5" t="s">
        <v>89</v>
      </c>
      <c r="E8" s="5" t="s">
        <v>90</v>
      </c>
      <c r="F8" s="5" t="s">
        <v>82</v>
      </c>
      <c r="G8" s="5" t="s">
        <v>91</v>
      </c>
      <c r="H8" s="5" t="s">
        <v>91</v>
      </c>
      <c r="I8" s="20" t="n">
        <v>29</v>
      </c>
      <c r="J8" s="21" t="n">
        <v>45000</v>
      </c>
      <c r="K8" s="21" t="n">
        <v>0</v>
      </c>
      <c r="L8" s="21" t="n">
        <v>22500</v>
      </c>
      <c r="M8" s="21" t="n">
        <v>1600</v>
      </c>
      <c r="N8" s="21" t="n">
        <v>15900</v>
      </c>
      <c r="O8" s="21" t="n">
        <v>5000</v>
      </c>
      <c r="P8" s="22" t="n">
        <f aca="false">IF(B8="","",SUM(J8:O8))</f>
        <v>90000</v>
      </c>
      <c r="Q8" s="22" t="n">
        <f aca="false">IF(B8="","",ROUND(P8*N(I8)/'Rates &amp; Settings'!$C$7,0))</f>
        <v>84194</v>
      </c>
      <c r="R8" s="22" t="n">
        <f aca="false">IF(B8="","",ROUND((N(J8)+N(K8))*N(I8)/'Rates &amp; Settings'!$C$7,0))</f>
        <v>42097</v>
      </c>
      <c r="S8" s="22" t="n">
        <f aca="false">IF(B8="","",IF('Rates &amp; Settings'!$C$14="Yes",MAX(R8,ROUND(Q8*0.5,0)),R8))</f>
        <v>42097</v>
      </c>
      <c r="T8" s="22" t="n">
        <f aca="false">IF(B8="","",IF(F8="Yes",IF(G8="Yes",MIN(S8,'Rates &amp; Settings'!$C$8),S8),0))</f>
        <v>42097</v>
      </c>
      <c r="U8" s="22" t="n">
        <f aca="false">IF(B8="","",ROUND(T8*'Rates &amp; Settings'!$C$9,0))</f>
        <v>5052</v>
      </c>
      <c r="V8" s="7" t="str">
        <f aca="false">IF(B8="","",IF(P8&lt;='Rates &amp; Settings'!$C$17,"Yes","No"))</f>
        <v>No</v>
      </c>
      <c r="W8" s="22" t="n">
        <f aca="false">IF(B8="","",IF(V8="Yes",ROUNDUP(Q8*'Rates &amp; Settings'!$C$15,0),0))</f>
        <v>0</v>
      </c>
      <c r="X8" s="22" t="n">
        <f aca="false">IF(B8="","",IF(Y8&lt;&gt;"",N(Y8),IF(MONTH('Rates &amp; Settings'!$C$6)=2,SUMIFS('Rates &amp; Settings'!$F$35:$F$70,'Rates &amp; Settings'!$B$35:$B$70,E8,'Rates &amp; Settings'!$C$35:$C$70,"&lt;="&amp;Q8,'Rates &amp; Settings'!$D$35:$D$70,"&gt;="&amp;Q8),SUMIFS('Rates &amp; Settings'!$E$35:$E$70,'Rates &amp; Settings'!$B$35:$B$70,E8,'Rates &amp; Settings'!$C$35:$C$70,"&lt;="&amp;Q8,'Rates &amp; Settings'!$D$35:$D$70,"&gt;="&amp;Q8))))</f>
        <v>200</v>
      </c>
      <c r="Y8" s="21"/>
      <c r="Z8" s="22" t="n">
        <f aca="false">IF(B8="","",IFERROR(IF(OR(INDEX('Rates &amp; Settings'!$H$75:$H$96,MATCH(E8,'Rates &amp; Settings'!$B$75:$B$96,0))="All",ISNUMBER(SEARCH(","&amp;MONTH('Rates &amp; Settings'!$C$6)&amp;",",","&amp;INDEX('Rates &amp; Settings'!$H$75:$H$96,MATCH(E8,'Rates &amp; Settings'!$B$75:$B$96,0))&amp;","))),IF(INDEX('Rates &amp; Settings'!$C$75:$C$96,MATCH(E8,'Rates &amp; Settings'!$B$75:$B$96,0))="Percent",MIN(ROUND(Q8*INDEX('Rates &amp; Settings'!$D$75:$D$96,MATCH(E8,'Rates &amp; Settings'!$B$75:$B$96,0)),0),INDEX('Rates &amp; Settings'!$F$75:$F$96,MATCH(E8,'Rates &amp; Settings'!$B$75:$B$96,0))),INDEX('Rates &amp; Settings'!$D$75:$D$96,MATCH(E8,'Rates &amp; Settings'!$B$75:$B$96,0))),0),0))</f>
        <v>0</v>
      </c>
      <c r="AA8" s="22" t="n">
        <f aca="false">IF(B8="","",ROUND(AN8/12,0))</f>
        <v>0</v>
      </c>
      <c r="AB8" s="21"/>
      <c r="AC8" s="21"/>
      <c r="AD8" s="22" t="n">
        <f aca="false">IF(B8="","",U8+W8+X8+Z8+IF(AB8&lt;&gt;"",N(AB8),AA8)+N(AC8))</f>
        <v>5252</v>
      </c>
      <c r="AE8" s="23" t="n">
        <f aca="false">IF(B8="","",Q8-AD8)</f>
        <v>78942</v>
      </c>
      <c r="AF8" s="22" t="n">
        <f aca="false">IF(B8="","",ROUND(T8*'Rates &amp; Settings'!$C$10,0)-AG8)</f>
        <v>5052</v>
      </c>
      <c r="AG8" s="22" t="n">
        <f aca="false">IF(B8="","",IF(H8="Yes",ROUND(MIN(T8,'Rates &amp; Settings'!$C$8)*'Rates &amp; Settings'!$C$11,0),0))</f>
        <v>0</v>
      </c>
      <c r="AH8" s="22" t="n">
        <f aca="false">IF(B8="","",ROUND(MIN(T8,'Rates &amp; Settings'!$C$8)*'Rates &amp; Settings'!$C$12,0))</f>
        <v>125</v>
      </c>
      <c r="AI8" s="22" t="n">
        <f aca="false">IF(B8="","",ROUND(T8*'Rates &amp; Settings'!$C$13,0))</f>
        <v>210</v>
      </c>
      <c r="AJ8" s="22" t="n">
        <f aca="false">IF(B8="","",IF(V8="Yes",ROUNDUP(Q8*'Rates &amp; Settings'!$C$16,0),0))</f>
        <v>0</v>
      </c>
      <c r="AK8" s="22" t="n">
        <f aca="false">IF(B8="","",IFERROR(IF(Z8=0,0,IF(INDEX('Rates &amp; Settings'!$C$75:$C$96,MATCH(E8,'Rates &amp; Settings'!$B$75:$B$96,0))="Percent",MIN(Z8*INDEX('Rates &amp; Settings'!$E$75:$E$96,MATCH(E8,'Rates &amp; Settings'!$B$75:$B$96,0)),INDEX('Rates &amp; Settings'!$G$75:$G$96,MATCH(E8,'Rates &amp; Settings'!$B$75:$B$96,0))),INDEX('Rates &amp; Settings'!$E$75:$E$96,MATCH(E8,'Rates &amp; Settings'!$B$75:$B$96,0)))),0))</f>
        <v>0</v>
      </c>
      <c r="AL8" s="22" t="n">
        <f aca="false">IF(B8="","",Q8+AF8+AG8+AH8+AI8+AJ8+AK8)</f>
        <v>89581</v>
      </c>
      <c r="AM8" s="22" t="n">
        <f aca="false">IF(B8="","",MAX(0,P8*12-'Rates &amp; Settings'!$C$18))</f>
        <v>1005000</v>
      </c>
      <c r="AN8" s="22" t="n">
        <f aca="false">IF(B8="","",IF(AM8&lt;='Rates &amp; Settings'!$C$19,0,MIN(SUMPRODUCT(--(AM8&gt;'Rates &amp; Settings'!$B$24:$B$30),AM8-'Rates &amp; Settings'!$B$24:$B$30,'Rates &amp; Settings'!$D$24:$D$30),AM8-'Rates &amp; Settings'!$C$19))*(1+'Rates &amp; Settings'!$C$20))</f>
        <v>0</v>
      </c>
    </row>
    <row r="9" customFormat="false" ht="15" hidden="false" customHeight="false" outlineLevel="0" collapsed="false">
      <c r="B9" s="5" t="s">
        <v>92</v>
      </c>
      <c r="C9" s="5" t="s">
        <v>93</v>
      </c>
      <c r="D9" s="5" t="s">
        <v>94</v>
      </c>
      <c r="E9" s="5" t="s">
        <v>95</v>
      </c>
      <c r="F9" s="5" t="s">
        <v>82</v>
      </c>
      <c r="G9" s="5" t="s">
        <v>82</v>
      </c>
      <c r="H9" s="5" t="s">
        <v>82</v>
      </c>
      <c r="I9" s="20" t="n">
        <v>31</v>
      </c>
      <c r="J9" s="21" t="n">
        <v>9000</v>
      </c>
      <c r="K9" s="21" t="n">
        <v>1000</v>
      </c>
      <c r="L9" s="21" t="n">
        <v>4000</v>
      </c>
      <c r="M9" s="21" t="n">
        <v>1600</v>
      </c>
      <c r="N9" s="21" t="n">
        <v>2400</v>
      </c>
      <c r="O9" s="21" t="n">
        <v>0</v>
      </c>
      <c r="P9" s="22" t="n">
        <f aca="false">IF(B9="","",SUM(J9:O9))</f>
        <v>18000</v>
      </c>
      <c r="Q9" s="22" t="n">
        <f aca="false">IF(B9="","",ROUND(P9*N(I9)/'Rates &amp; Settings'!$C$7,0))</f>
        <v>18000</v>
      </c>
      <c r="R9" s="22" t="n">
        <f aca="false">IF(B9="","",ROUND((N(J9)+N(K9))*N(I9)/'Rates &amp; Settings'!$C$7,0))</f>
        <v>10000</v>
      </c>
      <c r="S9" s="22" t="n">
        <f aca="false">IF(B9="","",IF('Rates &amp; Settings'!$C$14="Yes",MAX(R9,ROUND(Q9*0.5,0)),R9))</f>
        <v>10000</v>
      </c>
      <c r="T9" s="22" t="n">
        <f aca="false">IF(B9="","",IF(F9="Yes",IF(G9="Yes",MIN(S9,'Rates &amp; Settings'!$C$8),S9),0))</f>
        <v>10000</v>
      </c>
      <c r="U9" s="22" t="n">
        <f aca="false">IF(B9="","",ROUND(T9*'Rates &amp; Settings'!$C$9,0))</f>
        <v>1200</v>
      </c>
      <c r="V9" s="7" t="str">
        <f aca="false">IF(B9="","",IF(P9&lt;='Rates &amp; Settings'!$C$17,"Yes","No"))</f>
        <v>Yes</v>
      </c>
      <c r="W9" s="22" t="n">
        <f aca="false">IF(B9="","",IF(V9="Yes",ROUNDUP(Q9*'Rates &amp; Settings'!$C$15,0),0))</f>
        <v>135</v>
      </c>
      <c r="X9" s="22" t="n">
        <f aca="false">IF(B9="","",IF(Y9&lt;&gt;"",N(Y9),IF(MONTH('Rates &amp; Settings'!$C$6)=2,SUMIFS('Rates &amp; Settings'!$F$35:$F$70,'Rates &amp; Settings'!$B$35:$B$70,E9,'Rates &amp; Settings'!$C$35:$C$70,"&lt;="&amp;Q9,'Rates &amp; Settings'!$D$35:$D$70,"&gt;="&amp;Q9),SUMIFS('Rates &amp; Settings'!$E$35:$E$70,'Rates &amp; Settings'!$B$35:$B$70,E9,'Rates &amp; Settings'!$C$35:$C$70,"&lt;="&amp;Q9,'Rates &amp; Settings'!$D$35:$D$70,"&gt;="&amp;Q9))))</f>
        <v>130</v>
      </c>
      <c r="Y9" s="21"/>
      <c r="Z9" s="22" t="n">
        <f aca="false">IF(B9="","",IFERROR(IF(OR(INDEX('Rates &amp; Settings'!$H$75:$H$96,MATCH(E9,'Rates &amp; Settings'!$B$75:$B$96,0))="All",ISNUMBER(SEARCH(","&amp;MONTH('Rates &amp; Settings'!$C$6)&amp;",",","&amp;INDEX('Rates &amp; Settings'!$H$75:$H$96,MATCH(E9,'Rates &amp; Settings'!$B$75:$B$96,0))&amp;","))),IF(INDEX('Rates &amp; Settings'!$C$75:$C$96,MATCH(E9,'Rates &amp; Settings'!$B$75:$B$96,0))="Percent",MIN(ROUND(Q9*INDEX('Rates &amp; Settings'!$D$75:$D$96,MATCH(E9,'Rates &amp; Settings'!$B$75:$B$96,0)),0),INDEX('Rates &amp; Settings'!$F$75:$F$96,MATCH(E9,'Rates &amp; Settings'!$B$75:$B$96,0))),INDEX('Rates &amp; Settings'!$D$75:$D$96,MATCH(E9,'Rates &amp; Settings'!$B$75:$B$96,0))),0),0))</f>
        <v>0</v>
      </c>
      <c r="AA9" s="22" t="n">
        <f aca="false">IF(B9="","",ROUND(AN9/12,0))</f>
        <v>0</v>
      </c>
      <c r="AB9" s="21"/>
      <c r="AC9" s="21"/>
      <c r="AD9" s="22" t="n">
        <f aca="false">IF(B9="","",U9+W9+X9+Z9+IF(AB9&lt;&gt;"",N(AB9),AA9)+N(AC9))</f>
        <v>1465</v>
      </c>
      <c r="AE9" s="23" t="n">
        <f aca="false">IF(B9="","",Q9-AD9)</f>
        <v>16535</v>
      </c>
      <c r="AF9" s="22" t="n">
        <f aca="false">IF(B9="","",ROUND(T9*'Rates &amp; Settings'!$C$10,0)-AG9)</f>
        <v>367</v>
      </c>
      <c r="AG9" s="22" t="n">
        <f aca="false">IF(B9="","",IF(H9="Yes",ROUND(MIN(T9,'Rates &amp; Settings'!$C$8)*'Rates &amp; Settings'!$C$11,0),0))</f>
        <v>833</v>
      </c>
      <c r="AH9" s="22" t="n">
        <f aca="false">IF(B9="","",ROUND(MIN(T9,'Rates &amp; Settings'!$C$8)*'Rates &amp; Settings'!$C$12,0))</f>
        <v>50</v>
      </c>
      <c r="AI9" s="22" t="n">
        <f aca="false">IF(B9="","",ROUND(T9*'Rates &amp; Settings'!$C$13,0))</f>
        <v>50</v>
      </c>
      <c r="AJ9" s="22" t="n">
        <f aca="false">IF(B9="","",IF(V9="Yes",ROUNDUP(Q9*'Rates &amp; Settings'!$C$16,0),0))</f>
        <v>585</v>
      </c>
      <c r="AK9" s="22" t="n">
        <f aca="false">IF(B9="","",IFERROR(IF(Z9=0,0,IF(INDEX('Rates &amp; Settings'!$C$75:$C$96,MATCH(E9,'Rates &amp; Settings'!$B$75:$B$96,0))="Percent",MIN(Z9*INDEX('Rates &amp; Settings'!$E$75:$E$96,MATCH(E9,'Rates &amp; Settings'!$B$75:$B$96,0)),INDEX('Rates &amp; Settings'!$G$75:$G$96,MATCH(E9,'Rates &amp; Settings'!$B$75:$B$96,0))),INDEX('Rates &amp; Settings'!$E$75:$E$96,MATCH(E9,'Rates &amp; Settings'!$B$75:$B$96,0)))),0))</f>
        <v>0</v>
      </c>
      <c r="AL9" s="22" t="n">
        <f aca="false">IF(B9="","",Q9+AF9+AG9+AH9+AI9+AJ9+AK9)</f>
        <v>19885</v>
      </c>
      <c r="AM9" s="22" t="n">
        <f aca="false">IF(B9="","",MAX(0,P9*12-'Rates &amp; Settings'!$C$18))</f>
        <v>141000</v>
      </c>
      <c r="AN9" s="22" t="n">
        <f aca="false">IF(B9="","",IF(AM9&lt;='Rates &amp; Settings'!$C$19,0,MIN(SUMPRODUCT(--(AM9&gt;'Rates &amp; Settings'!$B$24:$B$30),AM9-'Rates &amp; Settings'!$B$24:$B$30,'Rates &amp; Settings'!$D$24:$D$30),AM9-'Rates &amp; Settings'!$C$19))*(1+'Rates &amp; Settings'!$C$20))</f>
        <v>0</v>
      </c>
    </row>
    <row r="10" customFormat="false" ht="15" hidden="false" customHeight="false" outlineLevel="0" collapsed="false">
      <c r="B10" s="5" t="s">
        <v>96</v>
      </c>
      <c r="C10" s="5" t="s">
        <v>97</v>
      </c>
      <c r="D10" s="5" t="s">
        <v>98</v>
      </c>
      <c r="E10" s="5" t="s">
        <v>99</v>
      </c>
      <c r="F10" s="5" t="s">
        <v>91</v>
      </c>
      <c r="G10" s="5" t="s">
        <v>91</v>
      </c>
      <c r="H10" s="5" t="s">
        <v>91</v>
      </c>
      <c r="I10" s="20" t="n">
        <v>31</v>
      </c>
      <c r="J10" s="21" t="n">
        <v>60000</v>
      </c>
      <c r="K10" s="21" t="n">
        <v>0</v>
      </c>
      <c r="L10" s="21" t="n">
        <v>30000</v>
      </c>
      <c r="M10" s="21" t="n">
        <v>1600</v>
      </c>
      <c r="N10" s="21" t="n">
        <v>28400</v>
      </c>
      <c r="O10" s="21" t="n">
        <v>0</v>
      </c>
      <c r="P10" s="22" t="n">
        <f aca="false">IF(B10="","",SUM(J10:O10))</f>
        <v>120000</v>
      </c>
      <c r="Q10" s="22" t="n">
        <f aca="false">IF(B10="","",ROUND(P10*N(I10)/'Rates &amp; Settings'!$C$7,0))</f>
        <v>120000</v>
      </c>
      <c r="R10" s="22" t="n">
        <f aca="false">IF(B10="","",ROUND((N(J10)+N(K10))*N(I10)/'Rates &amp; Settings'!$C$7,0))</f>
        <v>60000</v>
      </c>
      <c r="S10" s="22" t="n">
        <f aca="false">IF(B10="","",IF('Rates &amp; Settings'!$C$14="Yes",MAX(R10,ROUND(Q10*0.5,0)),R10))</f>
        <v>60000</v>
      </c>
      <c r="T10" s="22" t="n">
        <f aca="false">IF(B10="","",IF(F10="Yes",IF(G10="Yes",MIN(S10,'Rates &amp; Settings'!$C$8),S10),0))</f>
        <v>0</v>
      </c>
      <c r="U10" s="22" t="n">
        <f aca="false">IF(B10="","",ROUND(T10*'Rates &amp; Settings'!$C$9,0))</f>
        <v>0</v>
      </c>
      <c r="V10" s="7" t="str">
        <f aca="false">IF(B10="","",IF(P10&lt;='Rates &amp; Settings'!$C$17,"Yes","No"))</f>
        <v>No</v>
      </c>
      <c r="W10" s="22" t="n">
        <f aca="false">IF(B10="","",IF(V10="Yes",ROUNDUP(Q10*'Rates &amp; Settings'!$C$15,0),0))</f>
        <v>0</v>
      </c>
      <c r="X10" s="22" t="n">
        <f aca="false">IF(B10="","",IF(Y10&lt;&gt;"",N(Y10),IF(MONTH('Rates &amp; Settings'!$C$6)=2,SUMIFS('Rates &amp; Settings'!$F$35:$F$70,'Rates &amp; Settings'!$B$35:$B$70,E10,'Rates &amp; Settings'!$C$35:$C$70,"&lt;="&amp;Q10,'Rates &amp; Settings'!$D$35:$D$70,"&gt;="&amp;Q10),SUMIFS('Rates &amp; Settings'!$E$35:$E$70,'Rates &amp; Settings'!$B$35:$B$70,E10,'Rates &amp; Settings'!$C$35:$C$70,"&lt;="&amp;Q10,'Rates &amp; Settings'!$D$35:$D$70,"&gt;="&amp;Q10))))</f>
        <v>0</v>
      </c>
      <c r="Y10" s="21"/>
      <c r="Z10" s="22" t="n">
        <f aca="false">IF(B10="","",IFERROR(IF(OR(INDEX('Rates &amp; Settings'!$H$75:$H$96,MATCH(E10,'Rates &amp; Settings'!$B$75:$B$96,0))="All",ISNUMBER(SEARCH(","&amp;MONTH('Rates &amp; Settings'!$C$6)&amp;",",","&amp;INDEX('Rates &amp; Settings'!$H$75:$H$96,MATCH(E10,'Rates &amp; Settings'!$B$75:$B$96,0))&amp;","))),IF(INDEX('Rates &amp; Settings'!$C$75:$C$96,MATCH(E10,'Rates &amp; Settings'!$B$75:$B$96,0))="Percent",MIN(ROUND(Q10*INDEX('Rates &amp; Settings'!$D$75:$D$96,MATCH(E10,'Rates &amp; Settings'!$B$75:$B$96,0)),0),INDEX('Rates &amp; Settings'!$F$75:$F$96,MATCH(E10,'Rates &amp; Settings'!$B$75:$B$96,0))),INDEX('Rates &amp; Settings'!$D$75:$D$96,MATCH(E10,'Rates &amp; Settings'!$B$75:$B$96,0))),0),0))</f>
        <v>0</v>
      </c>
      <c r="AA10" s="22" t="n">
        <f aca="false">IF(B10="","",ROUND(AN10/12,0))</f>
        <v>7345</v>
      </c>
      <c r="AB10" s="21"/>
      <c r="AC10" s="21"/>
      <c r="AD10" s="22" t="n">
        <f aca="false">IF(B10="","",U10+W10+X10+Z10+IF(AB10&lt;&gt;"",N(AB10),AA10)+N(AC10))</f>
        <v>7345</v>
      </c>
      <c r="AE10" s="23" t="n">
        <f aca="false">IF(B10="","",Q10-AD10)</f>
        <v>112655</v>
      </c>
      <c r="AF10" s="22" t="n">
        <f aca="false">IF(B10="","",ROUND(T10*'Rates &amp; Settings'!$C$10,0)-AG10)</f>
        <v>0</v>
      </c>
      <c r="AG10" s="22" t="n">
        <f aca="false">IF(B10="","",IF(H10="Yes",ROUND(MIN(T10,'Rates &amp; Settings'!$C$8)*'Rates &amp; Settings'!$C$11,0),0))</f>
        <v>0</v>
      </c>
      <c r="AH10" s="22" t="n">
        <f aca="false">IF(B10="","",ROUND(MIN(T10,'Rates &amp; Settings'!$C$8)*'Rates &amp; Settings'!$C$12,0))</f>
        <v>0</v>
      </c>
      <c r="AI10" s="22" t="n">
        <f aca="false">IF(B10="","",ROUND(T10*'Rates &amp; Settings'!$C$13,0))</f>
        <v>0</v>
      </c>
      <c r="AJ10" s="22" t="n">
        <f aca="false">IF(B10="","",IF(V10="Yes",ROUNDUP(Q10*'Rates &amp; Settings'!$C$16,0),0))</f>
        <v>0</v>
      </c>
      <c r="AK10" s="22" t="n">
        <f aca="false">IF(B10="","",IFERROR(IF(Z10=0,0,IF(INDEX('Rates &amp; Settings'!$C$75:$C$96,MATCH(E10,'Rates &amp; Settings'!$B$75:$B$96,0))="Percent",MIN(Z10*INDEX('Rates &amp; Settings'!$E$75:$E$96,MATCH(E10,'Rates &amp; Settings'!$B$75:$B$96,0)),INDEX('Rates &amp; Settings'!$G$75:$G$96,MATCH(E10,'Rates &amp; Settings'!$B$75:$B$96,0))),INDEX('Rates &amp; Settings'!$E$75:$E$96,MATCH(E10,'Rates &amp; Settings'!$B$75:$B$96,0)))),0))</f>
        <v>0</v>
      </c>
      <c r="AL10" s="22" t="n">
        <f aca="false">IF(B10="","",Q10+AF10+AG10+AH10+AI10+AJ10+AK10)</f>
        <v>120000</v>
      </c>
      <c r="AM10" s="22" t="n">
        <f aca="false">IF(B10="","",MAX(0,P10*12-'Rates &amp; Settings'!$C$18))</f>
        <v>1365000</v>
      </c>
      <c r="AN10" s="22" t="n">
        <f aca="false">IF(B10="","",IF(AM10&lt;='Rates &amp; Settings'!$C$19,0,MIN(SUMPRODUCT(--(AM10&gt;'Rates &amp; Settings'!$B$24:$B$30),AM10-'Rates &amp; Settings'!$B$24:$B$30,'Rates &amp; Settings'!$D$24:$D$30),AM10-'Rates &amp; Settings'!$C$19))*(1+'Rates &amp; Settings'!$C$20))</f>
        <v>88140</v>
      </c>
    </row>
    <row r="11" customFormat="false" ht="15" hidden="false" customHeight="false" outlineLevel="0" collapsed="false">
      <c r="B11" s="5"/>
      <c r="C11" s="5"/>
      <c r="D11" s="5"/>
      <c r="E11" s="5"/>
      <c r="F11" s="5"/>
      <c r="G11" s="5"/>
      <c r="H11" s="5"/>
      <c r="I11" s="20"/>
      <c r="J11" s="21"/>
      <c r="K11" s="21"/>
      <c r="L11" s="21"/>
      <c r="M11" s="21"/>
      <c r="N11" s="21"/>
      <c r="O11" s="21"/>
      <c r="P11" s="22" t="str">
        <f aca="false">IF(B11="","",SUM(J11:O11))</f>
        <v/>
      </c>
      <c r="Q11" s="22" t="str">
        <f aca="false">IF(B11="","",ROUND(P11*N(I11)/'Rates &amp; Settings'!$C$7,0))</f>
        <v/>
      </c>
      <c r="R11" s="22" t="str">
        <f aca="false">IF(B11="","",ROUND((N(J11)+N(K11))*N(I11)/'Rates &amp; Settings'!$C$7,0))</f>
        <v/>
      </c>
      <c r="S11" s="22" t="str">
        <f aca="false">IF(B11="","",IF('Rates &amp; Settings'!$C$14="Yes",MAX(R11,ROUND(Q11*0.5,0)),R11))</f>
        <v/>
      </c>
      <c r="T11" s="22" t="str">
        <f aca="false">IF(B11="","",IF(F11="Yes",IF(G11="Yes",MIN(S11,'Rates &amp; Settings'!$C$8),S11),0))</f>
        <v/>
      </c>
      <c r="U11" s="22" t="str">
        <f aca="false">IF(B11="","",ROUND(T11*'Rates &amp; Settings'!$C$9,0))</f>
        <v/>
      </c>
      <c r="V11" s="7" t="str">
        <f aca="false">IF(B11="","",IF(P11&lt;='Rates &amp; Settings'!$C$17,"Yes","No"))</f>
        <v/>
      </c>
      <c r="W11" s="22" t="str">
        <f aca="false">IF(B11="","",IF(V11="Yes",ROUNDUP(Q11*'Rates &amp; Settings'!$C$15,0),0))</f>
        <v/>
      </c>
      <c r="X11" s="22" t="str">
        <f aca="false">IF(B11="","",IF(Y11&lt;&gt;"",N(Y11),IF(MONTH('Rates &amp; Settings'!$C$6)=2,SUMIFS('Rates &amp; Settings'!$F$35:$F$70,'Rates &amp; Settings'!$B$35:$B$70,E11,'Rates &amp; Settings'!$C$35:$C$70,"&lt;="&amp;Q11,'Rates &amp; Settings'!$D$35:$D$70,"&gt;="&amp;Q11),SUMIFS('Rates &amp; Settings'!$E$35:$E$70,'Rates &amp; Settings'!$B$35:$B$70,E11,'Rates &amp; Settings'!$C$35:$C$70,"&lt;="&amp;Q11,'Rates &amp; Settings'!$D$35:$D$70,"&gt;="&amp;Q11))))</f>
        <v/>
      </c>
      <c r="Y11" s="21"/>
      <c r="Z11" s="22" t="str">
        <f aca="false">IF(B11="","",IFERROR(IF(OR(INDEX('Rates &amp; Settings'!$H$75:$H$96,MATCH(E11,'Rates &amp; Settings'!$B$75:$B$96,0))="All",ISNUMBER(SEARCH(","&amp;MONTH('Rates &amp; Settings'!$C$6)&amp;",",","&amp;INDEX('Rates &amp; Settings'!$H$75:$H$96,MATCH(E11,'Rates &amp; Settings'!$B$75:$B$96,0))&amp;","))),IF(INDEX('Rates &amp; Settings'!$C$75:$C$96,MATCH(E11,'Rates &amp; Settings'!$B$75:$B$96,0))="Percent",MIN(ROUND(Q11*INDEX('Rates &amp; Settings'!$D$75:$D$96,MATCH(E11,'Rates &amp; Settings'!$B$75:$B$96,0)),0),INDEX('Rates &amp; Settings'!$F$75:$F$96,MATCH(E11,'Rates &amp; Settings'!$B$75:$B$96,0))),INDEX('Rates &amp; Settings'!$D$75:$D$96,MATCH(E11,'Rates &amp; Settings'!$B$75:$B$96,0))),0),0))</f>
        <v/>
      </c>
      <c r="AA11" s="22" t="str">
        <f aca="false">IF(B11="","",ROUND(AN11/12,0))</f>
        <v/>
      </c>
      <c r="AB11" s="21"/>
      <c r="AC11" s="21"/>
      <c r="AD11" s="22" t="str">
        <f aca="false">IF(B11="","",U11+W11+X11+Z11+IF(AB11&lt;&gt;"",N(AB11),AA11)+N(AC11))</f>
        <v/>
      </c>
      <c r="AE11" s="23" t="str">
        <f aca="false">IF(B11="","",Q11-AD11)</f>
        <v/>
      </c>
      <c r="AF11" s="22" t="str">
        <f aca="false">IF(B11="","",ROUND(T11*'Rates &amp; Settings'!$C$10,0)-AG11)</f>
        <v/>
      </c>
      <c r="AG11" s="22" t="str">
        <f aca="false">IF(B11="","",IF(H11="Yes",ROUND(MIN(T11,'Rates &amp; Settings'!$C$8)*'Rates &amp; Settings'!$C$11,0),0))</f>
        <v/>
      </c>
      <c r="AH11" s="22" t="str">
        <f aca="false">IF(B11="","",ROUND(MIN(T11,'Rates &amp; Settings'!$C$8)*'Rates &amp; Settings'!$C$12,0))</f>
        <v/>
      </c>
      <c r="AI11" s="22" t="str">
        <f aca="false">IF(B11="","",ROUND(T11*'Rates &amp; Settings'!$C$13,0))</f>
        <v/>
      </c>
      <c r="AJ11" s="22" t="str">
        <f aca="false">IF(B11="","",IF(V11="Yes",ROUNDUP(Q11*'Rates &amp; Settings'!$C$16,0),0))</f>
        <v/>
      </c>
      <c r="AK11" s="22" t="str">
        <f aca="false">IF(B11="","",IFERROR(IF(Z11=0,0,IF(INDEX('Rates &amp; Settings'!$C$75:$C$96,MATCH(E11,'Rates &amp; Settings'!$B$75:$B$96,0))="Percent",MIN(Z11*INDEX('Rates &amp; Settings'!$E$75:$E$96,MATCH(E11,'Rates &amp; Settings'!$B$75:$B$96,0)),INDEX('Rates &amp; Settings'!$G$75:$G$96,MATCH(E11,'Rates &amp; Settings'!$B$75:$B$96,0))),INDEX('Rates &amp; Settings'!$E$75:$E$96,MATCH(E11,'Rates &amp; Settings'!$B$75:$B$96,0)))),0))</f>
        <v/>
      </c>
      <c r="AL11" s="22" t="str">
        <f aca="false">IF(B11="","",Q11+AF11+AG11+AH11+AI11+AJ11+AK11)</f>
        <v/>
      </c>
      <c r="AM11" s="22" t="str">
        <f aca="false">IF(B11="","",MAX(0,P11*12-'Rates &amp; Settings'!$C$18))</f>
        <v/>
      </c>
      <c r="AN11" s="22" t="str">
        <f aca="false">IF(B11="","",IF(AM11&lt;='Rates &amp; Settings'!$C$19,0,MIN(SUMPRODUCT(--(AM11&gt;'Rates &amp; Settings'!$B$24:$B$30),AM11-'Rates &amp; Settings'!$B$24:$B$30,'Rates &amp; Settings'!$D$24:$D$30),AM11-'Rates &amp; Settings'!$C$19))*(1+'Rates &amp; Settings'!$C$20))</f>
        <v/>
      </c>
    </row>
    <row r="12" customFormat="false" ht="15" hidden="false" customHeight="false" outlineLevel="0" collapsed="false">
      <c r="B12" s="5"/>
      <c r="C12" s="5"/>
      <c r="D12" s="5"/>
      <c r="E12" s="5"/>
      <c r="F12" s="5"/>
      <c r="G12" s="5"/>
      <c r="H12" s="5"/>
      <c r="I12" s="20"/>
      <c r="J12" s="21"/>
      <c r="K12" s="21"/>
      <c r="L12" s="21"/>
      <c r="M12" s="21"/>
      <c r="N12" s="21"/>
      <c r="O12" s="21"/>
      <c r="P12" s="22" t="str">
        <f aca="false">IF(B12="","",SUM(J12:O12))</f>
        <v/>
      </c>
      <c r="Q12" s="22" t="str">
        <f aca="false">IF(B12="","",ROUND(P12*N(I12)/'Rates &amp; Settings'!$C$7,0))</f>
        <v/>
      </c>
      <c r="R12" s="22" t="str">
        <f aca="false">IF(B12="","",ROUND((N(J12)+N(K12))*N(I12)/'Rates &amp; Settings'!$C$7,0))</f>
        <v/>
      </c>
      <c r="S12" s="22" t="str">
        <f aca="false">IF(B12="","",IF('Rates &amp; Settings'!$C$14="Yes",MAX(R12,ROUND(Q12*0.5,0)),R12))</f>
        <v/>
      </c>
      <c r="T12" s="22" t="str">
        <f aca="false">IF(B12="","",IF(F12="Yes",IF(G12="Yes",MIN(S12,'Rates &amp; Settings'!$C$8),S12),0))</f>
        <v/>
      </c>
      <c r="U12" s="22" t="str">
        <f aca="false">IF(B12="","",ROUND(T12*'Rates &amp; Settings'!$C$9,0))</f>
        <v/>
      </c>
      <c r="V12" s="7" t="str">
        <f aca="false">IF(B12="","",IF(P12&lt;='Rates &amp; Settings'!$C$17,"Yes","No"))</f>
        <v/>
      </c>
      <c r="W12" s="22" t="str">
        <f aca="false">IF(B12="","",IF(V12="Yes",ROUNDUP(Q12*'Rates &amp; Settings'!$C$15,0),0))</f>
        <v/>
      </c>
      <c r="X12" s="22" t="str">
        <f aca="false">IF(B12="","",IF(Y12&lt;&gt;"",N(Y12),IF(MONTH('Rates &amp; Settings'!$C$6)=2,SUMIFS('Rates &amp; Settings'!$F$35:$F$70,'Rates &amp; Settings'!$B$35:$B$70,E12,'Rates &amp; Settings'!$C$35:$C$70,"&lt;="&amp;Q12,'Rates &amp; Settings'!$D$35:$D$70,"&gt;="&amp;Q12),SUMIFS('Rates &amp; Settings'!$E$35:$E$70,'Rates &amp; Settings'!$B$35:$B$70,E12,'Rates &amp; Settings'!$C$35:$C$70,"&lt;="&amp;Q12,'Rates &amp; Settings'!$D$35:$D$70,"&gt;="&amp;Q12))))</f>
        <v/>
      </c>
      <c r="Y12" s="21"/>
      <c r="Z12" s="22" t="str">
        <f aca="false">IF(B12="","",IFERROR(IF(OR(INDEX('Rates &amp; Settings'!$H$75:$H$96,MATCH(E12,'Rates &amp; Settings'!$B$75:$B$96,0))="All",ISNUMBER(SEARCH(","&amp;MONTH('Rates &amp; Settings'!$C$6)&amp;",",","&amp;INDEX('Rates &amp; Settings'!$H$75:$H$96,MATCH(E12,'Rates &amp; Settings'!$B$75:$B$96,0))&amp;","))),IF(INDEX('Rates &amp; Settings'!$C$75:$C$96,MATCH(E12,'Rates &amp; Settings'!$B$75:$B$96,0))="Percent",MIN(ROUND(Q12*INDEX('Rates &amp; Settings'!$D$75:$D$96,MATCH(E12,'Rates &amp; Settings'!$B$75:$B$96,0)),0),INDEX('Rates &amp; Settings'!$F$75:$F$96,MATCH(E12,'Rates &amp; Settings'!$B$75:$B$96,0))),INDEX('Rates &amp; Settings'!$D$75:$D$96,MATCH(E12,'Rates &amp; Settings'!$B$75:$B$96,0))),0),0))</f>
        <v/>
      </c>
      <c r="AA12" s="22" t="str">
        <f aca="false">IF(B12="","",ROUND(AN12/12,0))</f>
        <v/>
      </c>
      <c r="AB12" s="21"/>
      <c r="AC12" s="21"/>
      <c r="AD12" s="22" t="str">
        <f aca="false">IF(B12="","",U12+W12+X12+Z12+IF(AB12&lt;&gt;"",N(AB12),AA12)+N(AC12))</f>
        <v/>
      </c>
      <c r="AE12" s="23" t="str">
        <f aca="false">IF(B12="","",Q12-AD12)</f>
        <v/>
      </c>
      <c r="AF12" s="22" t="str">
        <f aca="false">IF(B12="","",ROUND(T12*'Rates &amp; Settings'!$C$10,0)-AG12)</f>
        <v/>
      </c>
      <c r="AG12" s="22" t="str">
        <f aca="false">IF(B12="","",IF(H12="Yes",ROUND(MIN(T12,'Rates &amp; Settings'!$C$8)*'Rates &amp; Settings'!$C$11,0),0))</f>
        <v/>
      </c>
      <c r="AH12" s="22" t="str">
        <f aca="false">IF(B12="","",ROUND(MIN(T12,'Rates &amp; Settings'!$C$8)*'Rates &amp; Settings'!$C$12,0))</f>
        <v/>
      </c>
      <c r="AI12" s="22" t="str">
        <f aca="false">IF(B12="","",ROUND(T12*'Rates &amp; Settings'!$C$13,0))</f>
        <v/>
      </c>
      <c r="AJ12" s="22" t="str">
        <f aca="false">IF(B12="","",IF(V12="Yes",ROUNDUP(Q12*'Rates &amp; Settings'!$C$16,0),0))</f>
        <v/>
      </c>
      <c r="AK12" s="22" t="str">
        <f aca="false">IF(B12="","",IFERROR(IF(Z12=0,0,IF(INDEX('Rates &amp; Settings'!$C$75:$C$96,MATCH(E12,'Rates &amp; Settings'!$B$75:$B$96,0))="Percent",MIN(Z12*INDEX('Rates &amp; Settings'!$E$75:$E$96,MATCH(E12,'Rates &amp; Settings'!$B$75:$B$96,0)),INDEX('Rates &amp; Settings'!$G$75:$G$96,MATCH(E12,'Rates &amp; Settings'!$B$75:$B$96,0))),INDEX('Rates &amp; Settings'!$E$75:$E$96,MATCH(E12,'Rates &amp; Settings'!$B$75:$B$96,0)))),0))</f>
        <v/>
      </c>
      <c r="AL12" s="22" t="str">
        <f aca="false">IF(B12="","",Q12+AF12+AG12+AH12+AI12+AJ12+AK12)</f>
        <v/>
      </c>
      <c r="AM12" s="22" t="str">
        <f aca="false">IF(B12="","",MAX(0,P12*12-'Rates &amp; Settings'!$C$18))</f>
        <v/>
      </c>
      <c r="AN12" s="22" t="str">
        <f aca="false">IF(B12="","",IF(AM12&lt;='Rates &amp; Settings'!$C$19,0,MIN(SUMPRODUCT(--(AM12&gt;'Rates &amp; Settings'!$B$24:$B$30),AM12-'Rates &amp; Settings'!$B$24:$B$30,'Rates &amp; Settings'!$D$24:$D$30),AM12-'Rates &amp; Settings'!$C$19))*(1+'Rates &amp; Settings'!$C$20))</f>
        <v/>
      </c>
    </row>
    <row r="13" customFormat="false" ht="15" hidden="false" customHeight="false" outlineLevel="0" collapsed="false">
      <c r="B13" s="5"/>
      <c r="C13" s="5"/>
      <c r="D13" s="5"/>
      <c r="E13" s="5"/>
      <c r="F13" s="5"/>
      <c r="G13" s="5"/>
      <c r="H13" s="5"/>
      <c r="I13" s="20"/>
      <c r="J13" s="21"/>
      <c r="K13" s="21"/>
      <c r="L13" s="21"/>
      <c r="M13" s="21"/>
      <c r="N13" s="21"/>
      <c r="O13" s="21"/>
      <c r="P13" s="22" t="str">
        <f aca="false">IF(B13="","",SUM(J13:O13))</f>
        <v/>
      </c>
      <c r="Q13" s="22" t="str">
        <f aca="false">IF(B13="","",ROUND(P13*N(I13)/'Rates &amp; Settings'!$C$7,0))</f>
        <v/>
      </c>
      <c r="R13" s="22" t="str">
        <f aca="false">IF(B13="","",ROUND((N(J13)+N(K13))*N(I13)/'Rates &amp; Settings'!$C$7,0))</f>
        <v/>
      </c>
      <c r="S13" s="22" t="str">
        <f aca="false">IF(B13="","",IF('Rates &amp; Settings'!$C$14="Yes",MAX(R13,ROUND(Q13*0.5,0)),R13))</f>
        <v/>
      </c>
      <c r="T13" s="22" t="str">
        <f aca="false">IF(B13="","",IF(F13="Yes",IF(G13="Yes",MIN(S13,'Rates &amp; Settings'!$C$8),S13),0))</f>
        <v/>
      </c>
      <c r="U13" s="22" t="str">
        <f aca="false">IF(B13="","",ROUND(T13*'Rates &amp; Settings'!$C$9,0))</f>
        <v/>
      </c>
      <c r="V13" s="7" t="str">
        <f aca="false">IF(B13="","",IF(P13&lt;='Rates &amp; Settings'!$C$17,"Yes","No"))</f>
        <v/>
      </c>
      <c r="W13" s="22" t="str">
        <f aca="false">IF(B13="","",IF(V13="Yes",ROUNDUP(Q13*'Rates &amp; Settings'!$C$15,0),0))</f>
        <v/>
      </c>
      <c r="X13" s="22" t="str">
        <f aca="false">IF(B13="","",IF(Y13&lt;&gt;"",N(Y13),IF(MONTH('Rates &amp; Settings'!$C$6)=2,SUMIFS('Rates &amp; Settings'!$F$35:$F$70,'Rates &amp; Settings'!$B$35:$B$70,E13,'Rates &amp; Settings'!$C$35:$C$70,"&lt;="&amp;Q13,'Rates &amp; Settings'!$D$35:$D$70,"&gt;="&amp;Q13),SUMIFS('Rates &amp; Settings'!$E$35:$E$70,'Rates &amp; Settings'!$B$35:$B$70,E13,'Rates &amp; Settings'!$C$35:$C$70,"&lt;="&amp;Q13,'Rates &amp; Settings'!$D$35:$D$70,"&gt;="&amp;Q13))))</f>
        <v/>
      </c>
      <c r="Y13" s="21"/>
      <c r="Z13" s="22" t="str">
        <f aca="false">IF(B13="","",IFERROR(IF(OR(INDEX('Rates &amp; Settings'!$H$75:$H$96,MATCH(E13,'Rates &amp; Settings'!$B$75:$B$96,0))="All",ISNUMBER(SEARCH(","&amp;MONTH('Rates &amp; Settings'!$C$6)&amp;",",","&amp;INDEX('Rates &amp; Settings'!$H$75:$H$96,MATCH(E13,'Rates &amp; Settings'!$B$75:$B$96,0))&amp;","))),IF(INDEX('Rates &amp; Settings'!$C$75:$C$96,MATCH(E13,'Rates &amp; Settings'!$B$75:$B$96,0))="Percent",MIN(ROUND(Q13*INDEX('Rates &amp; Settings'!$D$75:$D$96,MATCH(E13,'Rates &amp; Settings'!$B$75:$B$96,0)),0),INDEX('Rates &amp; Settings'!$F$75:$F$96,MATCH(E13,'Rates &amp; Settings'!$B$75:$B$96,0))),INDEX('Rates &amp; Settings'!$D$75:$D$96,MATCH(E13,'Rates &amp; Settings'!$B$75:$B$96,0))),0),0))</f>
        <v/>
      </c>
      <c r="AA13" s="22" t="str">
        <f aca="false">IF(B13="","",ROUND(AN13/12,0))</f>
        <v/>
      </c>
      <c r="AB13" s="21"/>
      <c r="AC13" s="21"/>
      <c r="AD13" s="22" t="str">
        <f aca="false">IF(B13="","",U13+W13+X13+Z13+IF(AB13&lt;&gt;"",N(AB13),AA13)+N(AC13))</f>
        <v/>
      </c>
      <c r="AE13" s="23" t="str">
        <f aca="false">IF(B13="","",Q13-AD13)</f>
        <v/>
      </c>
      <c r="AF13" s="22" t="str">
        <f aca="false">IF(B13="","",ROUND(T13*'Rates &amp; Settings'!$C$10,0)-AG13)</f>
        <v/>
      </c>
      <c r="AG13" s="22" t="str">
        <f aca="false">IF(B13="","",IF(H13="Yes",ROUND(MIN(T13,'Rates &amp; Settings'!$C$8)*'Rates &amp; Settings'!$C$11,0),0))</f>
        <v/>
      </c>
      <c r="AH13" s="22" t="str">
        <f aca="false">IF(B13="","",ROUND(MIN(T13,'Rates &amp; Settings'!$C$8)*'Rates &amp; Settings'!$C$12,0))</f>
        <v/>
      </c>
      <c r="AI13" s="22" t="str">
        <f aca="false">IF(B13="","",ROUND(T13*'Rates &amp; Settings'!$C$13,0))</f>
        <v/>
      </c>
      <c r="AJ13" s="22" t="str">
        <f aca="false">IF(B13="","",IF(V13="Yes",ROUNDUP(Q13*'Rates &amp; Settings'!$C$16,0),0))</f>
        <v/>
      </c>
      <c r="AK13" s="22" t="str">
        <f aca="false">IF(B13="","",IFERROR(IF(Z13=0,0,IF(INDEX('Rates &amp; Settings'!$C$75:$C$96,MATCH(E13,'Rates &amp; Settings'!$B$75:$B$96,0))="Percent",MIN(Z13*INDEX('Rates &amp; Settings'!$E$75:$E$96,MATCH(E13,'Rates &amp; Settings'!$B$75:$B$96,0)),INDEX('Rates &amp; Settings'!$G$75:$G$96,MATCH(E13,'Rates &amp; Settings'!$B$75:$B$96,0))),INDEX('Rates &amp; Settings'!$E$75:$E$96,MATCH(E13,'Rates &amp; Settings'!$B$75:$B$96,0)))),0))</f>
        <v/>
      </c>
      <c r="AL13" s="22" t="str">
        <f aca="false">IF(B13="","",Q13+AF13+AG13+AH13+AI13+AJ13+AK13)</f>
        <v/>
      </c>
      <c r="AM13" s="22" t="str">
        <f aca="false">IF(B13="","",MAX(0,P13*12-'Rates &amp; Settings'!$C$18))</f>
        <v/>
      </c>
      <c r="AN13" s="22" t="str">
        <f aca="false">IF(B13="","",IF(AM13&lt;='Rates &amp; Settings'!$C$19,0,MIN(SUMPRODUCT(--(AM13&gt;'Rates &amp; Settings'!$B$24:$B$30),AM13-'Rates &amp; Settings'!$B$24:$B$30,'Rates &amp; Settings'!$D$24:$D$30),AM13-'Rates &amp; Settings'!$C$19))*(1+'Rates &amp; Settings'!$C$20))</f>
        <v/>
      </c>
    </row>
    <row r="14" customFormat="false" ht="15" hidden="false" customHeight="false" outlineLevel="0" collapsed="false">
      <c r="B14" s="5"/>
      <c r="C14" s="5"/>
      <c r="D14" s="5"/>
      <c r="E14" s="5"/>
      <c r="F14" s="5"/>
      <c r="G14" s="5"/>
      <c r="H14" s="5"/>
      <c r="I14" s="20"/>
      <c r="J14" s="21"/>
      <c r="K14" s="21"/>
      <c r="L14" s="21"/>
      <c r="M14" s="21"/>
      <c r="N14" s="21"/>
      <c r="O14" s="21"/>
      <c r="P14" s="22" t="str">
        <f aca="false">IF(B14="","",SUM(J14:O14))</f>
        <v/>
      </c>
      <c r="Q14" s="22" t="str">
        <f aca="false">IF(B14="","",ROUND(P14*N(I14)/'Rates &amp; Settings'!$C$7,0))</f>
        <v/>
      </c>
      <c r="R14" s="22" t="str">
        <f aca="false">IF(B14="","",ROUND((N(J14)+N(K14))*N(I14)/'Rates &amp; Settings'!$C$7,0))</f>
        <v/>
      </c>
      <c r="S14" s="22" t="str">
        <f aca="false">IF(B14="","",IF('Rates &amp; Settings'!$C$14="Yes",MAX(R14,ROUND(Q14*0.5,0)),R14))</f>
        <v/>
      </c>
      <c r="T14" s="22" t="str">
        <f aca="false">IF(B14="","",IF(F14="Yes",IF(G14="Yes",MIN(S14,'Rates &amp; Settings'!$C$8),S14),0))</f>
        <v/>
      </c>
      <c r="U14" s="22" t="str">
        <f aca="false">IF(B14="","",ROUND(T14*'Rates &amp; Settings'!$C$9,0))</f>
        <v/>
      </c>
      <c r="V14" s="7" t="str">
        <f aca="false">IF(B14="","",IF(P14&lt;='Rates &amp; Settings'!$C$17,"Yes","No"))</f>
        <v/>
      </c>
      <c r="W14" s="22" t="str">
        <f aca="false">IF(B14="","",IF(V14="Yes",ROUNDUP(Q14*'Rates &amp; Settings'!$C$15,0),0))</f>
        <v/>
      </c>
      <c r="X14" s="22" t="str">
        <f aca="false">IF(B14="","",IF(Y14&lt;&gt;"",N(Y14),IF(MONTH('Rates &amp; Settings'!$C$6)=2,SUMIFS('Rates &amp; Settings'!$F$35:$F$70,'Rates &amp; Settings'!$B$35:$B$70,E14,'Rates &amp; Settings'!$C$35:$C$70,"&lt;="&amp;Q14,'Rates &amp; Settings'!$D$35:$D$70,"&gt;="&amp;Q14),SUMIFS('Rates &amp; Settings'!$E$35:$E$70,'Rates &amp; Settings'!$B$35:$B$70,E14,'Rates &amp; Settings'!$C$35:$C$70,"&lt;="&amp;Q14,'Rates &amp; Settings'!$D$35:$D$70,"&gt;="&amp;Q14))))</f>
        <v/>
      </c>
      <c r="Y14" s="21"/>
      <c r="Z14" s="22" t="str">
        <f aca="false">IF(B14="","",IFERROR(IF(OR(INDEX('Rates &amp; Settings'!$H$75:$H$96,MATCH(E14,'Rates &amp; Settings'!$B$75:$B$96,0))="All",ISNUMBER(SEARCH(","&amp;MONTH('Rates &amp; Settings'!$C$6)&amp;",",","&amp;INDEX('Rates &amp; Settings'!$H$75:$H$96,MATCH(E14,'Rates &amp; Settings'!$B$75:$B$96,0))&amp;","))),IF(INDEX('Rates &amp; Settings'!$C$75:$C$96,MATCH(E14,'Rates &amp; Settings'!$B$75:$B$96,0))="Percent",MIN(ROUND(Q14*INDEX('Rates &amp; Settings'!$D$75:$D$96,MATCH(E14,'Rates &amp; Settings'!$B$75:$B$96,0)),0),INDEX('Rates &amp; Settings'!$F$75:$F$96,MATCH(E14,'Rates &amp; Settings'!$B$75:$B$96,0))),INDEX('Rates &amp; Settings'!$D$75:$D$96,MATCH(E14,'Rates &amp; Settings'!$B$75:$B$96,0))),0),0))</f>
        <v/>
      </c>
      <c r="AA14" s="22" t="str">
        <f aca="false">IF(B14="","",ROUND(AN14/12,0))</f>
        <v/>
      </c>
      <c r="AB14" s="21"/>
      <c r="AC14" s="21"/>
      <c r="AD14" s="22" t="str">
        <f aca="false">IF(B14="","",U14+W14+X14+Z14+IF(AB14&lt;&gt;"",N(AB14),AA14)+N(AC14))</f>
        <v/>
      </c>
      <c r="AE14" s="23" t="str">
        <f aca="false">IF(B14="","",Q14-AD14)</f>
        <v/>
      </c>
      <c r="AF14" s="22" t="str">
        <f aca="false">IF(B14="","",ROUND(T14*'Rates &amp; Settings'!$C$10,0)-AG14)</f>
        <v/>
      </c>
      <c r="AG14" s="22" t="str">
        <f aca="false">IF(B14="","",IF(H14="Yes",ROUND(MIN(T14,'Rates &amp; Settings'!$C$8)*'Rates &amp; Settings'!$C$11,0),0))</f>
        <v/>
      </c>
      <c r="AH14" s="22" t="str">
        <f aca="false">IF(B14="","",ROUND(MIN(T14,'Rates &amp; Settings'!$C$8)*'Rates &amp; Settings'!$C$12,0))</f>
        <v/>
      </c>
      <c r="AI14" s="22" t="str">
        <f aca="false">IF(B14="","",ROUND(T14*'Rates &amp; Settings'!$C$13,0))</f>
        <v/>
      </c>
      <c r="AJ14" s="22" t="str">
        <f aca="false">IF(B14="","",IF(V14="Yes",ROUNDUP(Q14*'Rates &amp; Settings'!$C$16,0),0))</f>
        <v/>
      </c>
      <c r="AK14" s="22" t="str">
        <f aca="false">IF(B14="","",IFERROR(IF(Z14=0,0,IF(INDEX('Rates &amp; Settings'!$C$75:$C$96,MATCH(E14,'Rates &amp; Settings'!$B$75:$B$96,0))="Percent",MIN(Z14*INDEX('Rates &amp; Settings'!$E$75:$E$96,MATCH(E14,'Rates &amp; Settings'!$B$75:$B$96,0)),INDEX('Rates &amp; Settings'!$G$75:$G$96,MATCH(E14,'Rates &amp; Settings'!$B$75:$B$96,0))),INDEX('Rates &amp; Settings'!$E$75:$E$96,MATCH(E14,'Rates &amp; Settings'!$B$75:$B$96,0)))),0))</f>
        <v/>
      </c>
      <c r="AL14" s="22" t="str">
        <f aca="false">IF(B14="","",Q14+AF14+AG14+AH14+AI14+AJ14+AK14)</f>
        <v/>
      </c>
      <c r="AM14" s="22" t="str">
        <f aca="false">IF(B14="","",MAX(0,P14*12-'Rates &amp; Settings'!$C$18))</f>
        <v/>
      </c>
      <c r="AN14" s="22" t="str">
        <f aca="false">IF(B14="","",IF(AM14&lt;='Rates &amp; Settings'!$C$19,0,MIN(SUMPRODUCT(--(AM14&gt;'Rates &amp; Settings'!$B$24:$B$30),AM14-'Rates &amp; Settings'!$B$24:$B$30,'Rates &amp; Settings'!$D$24:$D$30),AM14-'Rates &amp; Settings'!$C$19))*(1+'Rates &amp; Settings'!$C$20))</f>
        <v/>
      </c>
    </row>
    <row r="15" customFormat="false" ht="15" hidden="false" customHeight="false" outlineLevel="0" collapsed="false">
      <c r="B15" s="5"/>
      <c r="C15" s="5"/>
      <c r="D15" s="5"/>
      <c r="E15" s="5"/>
      <c r="F15" s="5"/>
      <c r="G15" s="5"/>
      <c r="H15" s="5"/>
      <c r="I15" s="20"/>
      <c r="J15" s="21"/>
      <c r="K15" s="21"/>
      <c r="L15" s="21"/>
      <c r="M15" s="21"/>
      <c r="N15" s="21"/>
      <c r="O15" s="21"/>
      <c r="P15" s="22" t="str">
        <f aca="false">IF(B15="","",SUM(J15:O15))</f>
        <v/>
      </c>
      <c r="Q15" s="22" t="str">
        <f aca="false">IF(B15="","",ROUND(P15*N(I15)/'Rates &amp; Settings'!$C$7,0))</f>
        <v/>
      </c>
      <c r="R15" s="22" t="str">
        <f aca="false">IF(B15="","",ROUND((N(J15)+N(K15))*N(I15)/'Rates &amp; Settings'!$C$7,0))</f>
        <v/>
      </c>
      <c r="S15" s="22" t="str">
        <f aca="false">IF(B15="","",IF('Rates &amp; Settings'!$C$14="Yes",MAX(R15,ROUND(Q15*0.5,0)),R15))</f>
        <v/>
      </c>
      <c r="T15" s="22" t="str">
        <f aca="false">IF(B15="","",IF(F15="Yes",IF(G15="Yes",MIN(S15,'Rates &amp; Settings'!$C$8),S15),0))</f>
        <v/>
      </c>
      <c r="U15" s="22" t="str">
        <f aca="false">IF(B15="","",ROUND(T15*'Rates &amp; Settings'!$C$9,0))</f>
        <v/>
      </c>
      <c r="V15" s="7" t="str">
        <f aca="false">IF(B15="","",IF(P15&lt;='Rates &amp; Settings'!$C$17,"Yes","No"))</f>
        <v/>
      </c>
      <c r="W15" s="22" t="str">
        <f aca="false">IF(B15="","",IF(V15="Yes",ROUNDUP(Q15*'Rates &amp; Settings'!$C$15,0),0))</f>
        <v/>
      </c>
      <c r="X15" s="22" t="str">
        <f aca="false">IF(B15="","",IF(Y15&lt;&gt;"",N(Y15),IF(MONTH('Rates &amp; Settings'!$C$6)=2,SUMIFS('Rates &amp; Settings'!$F$35:$F$70,'Rates &amp; Settings'!$B$35:$B$70,E15,'Rates &amp; Settings'!$C$35:$C$70,"&lt;="&amp;Q15,'Rates &amp; Settings'!$D$35:$D$70,"&gt;="&amp;Q15),SUMIFS('Rates &amp; Settings'!$E$35:$E$70,'Rates &amp; Settings'!$B$35:$B$70,E15,'Rates &amp; Settings'!$C$35:$C$70,"&lt;="&amp;Q15,'Rates &amp; Settings'!$D$35:$D$70,"&gt;="&amp;Q15))))</f>
        <v/>
      </c>
      <c r="Y15" s="21"/>
      <c r="Z15" s="22" t="str">
        <f aca="false">IF(B15="","",IFERROR(IF(OR(INDEX('Rates &amp; Settings'!$H$75:$H$96,MATCH(E15,'Rates &amp; Settings'!$B$75:$B$96,0))="All",ISNUMBER(SEARCH(","&amp;MONTH('Rates &amp; Settings'!$C$6)&amp;",",","&amp;INDEX('Rates &amp; Settings'!$H$75:$H$96,MATCH(E15,'Rates &amp; Settings'!$B$75:$B$96,0))&amp;","))),IF(INDEX('Rates &amp; Settings'!$C$75:$C$96,MATCH(E15,'Rates &amp; Settings'!$B$75:$B$96,0))="Percent",MIN(ROUND(Q15*INDEX('Rates &amp; Settings'!$D$75:$D$96,MATCH(E15,'Rates &amp; Settings'!$B$75:$B$96,0)),0),INDEX('Rates &amp; Settings'!$F$75:$F$96,MATCH(E15,'Rates &amp; Settings'!$B$75:$B$96,0))),INDEX('Rates &amp; Settings'!$D$75:$D$96,MATCH(E15,'Rates &amp; Settings'!$B$75:$B$96,0))),0),0))</f>
        <v/>
      </c>
      <c r="AA15" s="22" t="str">
        <f aca="false">IF(B15="","",ROUND(AN15/12,0))</f>
        <v/>
      </c>
      <c r="AB15" s="21"/>
      <c r="AC15" s="21"/>
      <c r="AD15" s="22" t="str">
        <f aca="false">IF(B15="","",U15+W15+X15+Z15+IF(AB15&lt;&gt;"",N(AB15),AA15)+N(AC15))</f>
        <v/>
      </c>
      <c r="AE15" s="23" t="str">
        <f aca="false">IF(B15="","",Q15-AD15)</f>
        <v/>
      </c>
      <c r="AF15" s="22" t="str">
        <f aca="false">IF(B15="","",ROUND(T15*'Rates &amp; Settings'!$C$10,0)-AG15)</f>
        <v/>
      </c>
      <c r="AG15" s="22" t="str">
        <f aca="false">IF(B15="","",IF(H15="Yes",ROUND(MIN(T15,'Rates &amp; Settings'!$C$8)*'Rates &amp; Settings'!$C$11,0),0))</f>
        <v/>
      </c>
      <c r="AH15" s="22" t="str">
        <f aca="false">IF(B15="","",ROUND(MIN(T15,'Rates &amp; Settings'!$C$8)*'Rates &amp; Settings'!$C$12,0))</f>
        <v/>
      </c>
      <c r="AI15" s="22" t="str">
        <f aca="false">IF(B15="","",ROUND(T15*'Rates &amp; Settings'!$C$13,0))</f>
        <v/>
      </c>
      <c r="AJ15" s="22" t="str">
        <f aca="false">IF(B15="","",IF(V15="Yes",ROUNDUP(Q15*'Rates &amp; Settings'!$C$16,0),0))</f>
        <v/>
      </c>
      <c r="AK15" s="22" t="str">
        <f aca="false">IF(B15="","",IFERROR(IF(Z15=0,0,IF(INDEX('Rates &amp; Settings'!$C$75:$C$96,MATCH(E15,'Rates &amp; Settings'!$B$75:$B$96,0))="Percent",MIN(Z15*INDEX('Rates &amp; Settings'!$E$75:$E$96,MATCH(E15,'Rates &amp; Settings'!$B$75:$B$96,0)),INDEX('Rates &amp; Settings'!$G$75:$G$96,MATCH(E15,'Rates &amp; Settings'!$B$75:$B$96,0))),INDEX('Rates &amp; Settings'!$E$75:$E$96,MATCH(E15,'Rates &amp; Settings'!$B$75:$B$96,0)))),0))</f>
        <v/>
      </c>
      <c r="AL15" s="22" t="str">
        <f aca="false">IF(B15="","",Q15+AF15+AG15+AH15+AI15+AJ15+AK15)</f>
        <v/>
      </c>
      <c r="AM15" s="22" t="str">
        <f aca="false">IF(B15="","",MAX(0,P15*12-'Rates &amp; Settings'!$C$18))</f>
        <v/>
      </c>
      <c r="AN15" s="22" t="str">
        <f aca="false">IF(B15="","",IF(AM15&lt;='Rates &amp; Settings'!$C$19,0,MIN(SUMPRODUCT(--(AM15&gt;'Rates &amp; Settings'!$B$24:$B$30),AM15-'Rates &amp; Settings'!$B$24:$B$30,'Rates &amp; Settings'!$D$24:$D$30),AM15-'Rates &amp; Settings'!$C$19))*(1+'Rates &amp; Settings'!$C$20))</f>
        <v/>
      </c>
    </row>
    <row r="16" customFormat="false" ht="15" hidden="false" customHeight="false" outlineLevel="0" collapsed="false">
      <c r="B16" s="5"/>
      <c r="C16" s="5"/>
      <c r="D16" s="5"/>
      <c r="E16" s="5"/>
      <c r="F16" s="5"/>
      <c r="G16" s="5"/>
      <c r="H16" s="5"/>
      <c r="I16" s="20"/>
      <c r="J16" s="21"/>
      <c r="K16" s="21"/>
      <c r="L16" s="21"/>
      <c r="M16" s="21"/>
      <c r="N16" s="21"/>
      <c r="O16" s="21"/>
      <c r="P16" s="22" t="str">
        <f aca="false">IF(B16="","",SUM(J16:O16))</f>
        <v/>
      </c>
      <c r="Q16" s="22" t="str">
        <f aca="false">IF(B16="","",ROUND(P16*N(I16)/'Rates &amp; Settings'!$C$7,0))</f>
        <v/>
      </c>
      <c r="R16" s="22" t="str">
        <f aca="false">IF(B16="","",ROUND((N(J16)+N(K16))*N(I16)/'Rates &amp; Settings'!$C$7,0))</f>
        <v/>
      </c>
      <c r="S16" s="22" t="str">
        <f aca="false">IF(B16="","",IF('Rates &amp; Settings'!$C$14="Yes",MAX(R16,ROUND(Q16*0.5,0)),R16))</f>
        <v/>
      </c>
      <c r="T16" s="22" t="str">
        <f aca="false">IF(B16="","",IF(F16="Yes",IF(G16="Yes",MIN(S16,'Rates &amp; Settings'!$C$8),S16),0))</f>
        <v/>
      </c>
      <c r="U16" s="22" t="str">
        <f aca="false">IF(B16="","",ROUND(T16*'Rates &amp; Settings'!$C$9,0))</f>
        <v/>
      </c>
      <c r="V16" s="7" t="str">
        <f aca="false">IF(B16="","",IF(P16&lt;='Rates &amp; Settings'!$C$17,"Yes","No"))</f>
        <v/>
      </c>
      <c r="W16" s="22" t="str">
        <f aca="false">IF(B16="","",IF(V16="Yes",ROUNDUP(Q16*'Rates &amp; Settings'!$C$15,0),0))</f>
        <v/>
      </c>
      <c r="X16" s="22" t="str">
        <f aca="false">IF(B16="","",IF(Y16&lt;&gt;"",N(Y16),IF(MONTH('Rates &amp; Settings'!$C$6)=2,SUMIFS('Rates &amp; Settings'!$F$35:$F$70,'Rates &amp; Settings'!$B$35:$B$70,E16,'Rates &amp; Settings'!$C$35:$C$70,"&lt;="&amp;Q16,'Rates &amp; Settings'!$D$35:$D$70,"&gt;="&amp;Q16),SUMIFS('Rates &amp; Settings'!$E$35:$E$70,'Rates &amp; Settings'!$B$35:$B$70,E16,'Rates &amp; Settings'!$C$35:$C$70,"&lt;="&amp;Q16,'Rates &amp; Settings'!$D$35:$D$70,"&gt;="&amp;Q16))))</f>
        <v/>
      </c>
      <c r="Y16" s="21"/>
      <c r="Z16" s="22" t="str">
        <f aca="false">IF(B16="","",IFERROR(IF(OR(INDEX('Rates &amp; Settings'!$H$75:$H$96,MATCH(E16,'Rates &amp; Settings'!$B$75:$B$96,0))="All",ISNUMBER(SEARCH(","&amp;MONTH('Rates &amp; Settings'!$C$6)&amp;",",","&amp;INDEX('Rates &amp; Settings'!$H$75:$H$96,MATCH(E16,'Rates &amp; Settings'!$B$75:$B$96,0))&amp;","))),IF(INDEX('Rates &amp; Settings'!$C$75:$C$96,MATCH(E16,'Rates &amp; Settings'!$B$75:$B$96,0))="Percent",MIN(ROUND(Q16*INDEX('Rates &amp; Settings'!$D$75:$D$96,MATCH(E16,'Rates &amp; Settings'!$B$75:$B$96,0)),0),INDEX('Rates &amp; Settings'!$F$75:$F$96,MATCH(E16,'Rates &amp; Settings'!$B$75:$B$96,0))),INDEX('Rates &amp; Settings'!$D$75:$D$96,MATCH(E16,'Rates &amp; Settings'!$B$75:$B$96,0))),0),0))</f>
        <v/>
      </c>
      <c r="AA16" s="22" t="str">
        <f aca="false">IF(B16="","",ROUND(AN16/12,0))</f>
        <v/>
      </c>
      <c r="AB16" s="21"/>
      <c r="AC16" s="21"/>
      <c r="AD16" s="22" t="str">
        <f aca="false">IF(B16="","",U16+W16+X16+Z16+IF(AB16&lt;&gt;"",N(AB16),AA16)+N(AC16))</f>
        <v/>
      </c>
      <c r="AE16" s="23" t="str">
        <f aca="false">IF(B16="","",Q16-AD16)</f>
        <v/>
      </c>
      <c r="AF16" s="22" t="str">
        <f aca="false">IF(B16="","",ROUND(T16*'Rates &amp; Settings'!$C$10,0)-AG16)</f>
        <v/>
      </c>
      <c r="AG16" s="22" t="str">
        <f aca="false">IF(B16="","",IF(H16="Yes",ROUND(MIN(T16,'Rates &amp; Settings'!$C$8)*'Rates &amp; Settings'!$C$11,0),0))</f>
        <v/>
      </c>
      <c r="AH16" s="22" t="str">
        <f aca="false">IF(B16="","",ROUND(MIN(T16,'Rates &amp; Settings'!$C$8)*'Rates &amp; Settings'!$C$12,0))</f>
        <v/>
      </c>
      <c r="AI16" s="22" t="str">
        <f aca="false">IF(B16="","",ROUND(T16*'Rates &amp; Settings'!$C$13,0))</f>
        <v/>
      </c>
      <c r="AJ16" s="22" t="str">
        <f aca="false">IF(B16="","",IF(V16="Yes",ROUNDUP(Q16*'Rates &amp; Settings'!$C$16,0),0))</f>
        <v/>
      </c>
      <c r="AK16" s="22" t="str">
        <f aca="false">IF(B16="","",IFERROR(IF(Z16=0,0,IF(INDEX('Rates &amp; Settings'!$C$75:$C$96,MATCH(E16,'Rates &amp; Settings'!$B$75:$B$96,0))="Percent",MIN(Z16*INDEX('Rates &amp; Settings'!$E$75:$E$96,MATCH(E16,'Rates &amp; Settings'!$B$75:$B$96,0)),INDEX('Rates &amp; Settings'!$G$75:$G$96,MATCH(E16,'Rates &amp; Settings'!$B$75:$B$96,0))),INDEX('Rates &amp; Settings'!$E$75:$E$96,MATCH(E16,'Rates &amp; Settings'!$B$75:$B$96,0)))),0))</f>
        <v/>
      </c>
      <c r="AL16" s="22" t="str">
        <f aca="false">IF(B16="","",Q16+AF16+AG16+AH16+AI16+AJ16+AK16)</f>
        <v/>
      </c>
      <c r="AM16" s="22" t="str">
        <f aca="false">IF(B16="","",MAX(0,P16*12-'Rates &amp; Settings'!$C$18))</f>
        <v/>
      </c>
      <c r="AN16" s="22" t="str">
        <f aca="false">IF(B16="","",IF(AM16&lt;='Rates &amp; Settings'!$C$19,0,MIN(SUMPRODUCT(--(AM16&gt;'Rates &amp; Settings'!$B$24:$B$30),AM16-'Rates &amp; Settings'!$B$24:$B$30,'Rates &amp; Settings'!$D$24:$D$30),AM16-'Rates &amp; Settings'!$C$19))*(1+'Rates &amp; Settings'!$C$20))</f>
        <v/>
      </c>
    </row>
    <row r="17" customFormat="false" ht="15" hidden="false" customHeight="false" outlineLevel="0" collapsed="false">
      <c r="B17" s="5"/>
      <c r="C17" s="5"/>
      <c r="D17" s="5"/>
      <c r="E17" s="5"/>
      <c r="F17" s="5"/>
      <c r="G17" s="5"/>
      <c r="H17" s="5"/>
      <c r="I17" s="20"/>
      <c r="J17" s="21"/>
      <c r="K17" s="21"/>
      <c r="L17" s="21"/>
      <c r="M17" s="21"/>
      <c r="N17" s="21"/>
      <c r="O17" s="21"/>
      <c r="P17" s="22" t="str">
        <f aca="false">IF(B17="","",SUM(J17:O17))</f>
        <v/>
      </c>
      <c r="Q17" s="22" t="str">
        <f aca="false">IF(B17="","",ROUND(P17*N(I17)/'Rates &amp; Settings'!$C$7,0))</f>
        <v/>
      </c>
      <c r="R17" s="22" t="str">
        <f aca="false">IF(B17="","",ROUND((N(J17)+N(K17))*N(I17)/'Rates &amp; Settings'!$C$7,0))</f>
        <v/>
      </c>
      <c r="S17" s="22" t="str">
        <f aca="false">IF(B17="","",IF('Rates &amp; Settings'!$C$14="Yes",MAX(R17,ROUND(Q17*0.5,0)),R17))</f>
        <v/>
      </c>
      <c r="T17" s="22" t="str">
        <f aca="false">IF(B17="","",IF(F17="Yes",IF(G17="Yes",MIN(S17,'Rates &amp; Settings'!$C$8),S17),0))</f>
        <v/>
      </c>
      <c r="U17" s="22" t="str">
        <f aca="false">IF(B17="","",ROUND(T17*'Rates &amp; Settings'!$C$9,0))</f>
        <v/>
      </c>
      <c r="V17" s="7" t="str">
        <f aca="false">IF(B17="","",IF(P17&lt;='Rates &amp; Settings'!$C$17,"Yes","No"))</f>
        <v/>
      </c>
      <c r="W17" s="22" t="str">
        <f aca="false">IF(B17="","",IF(V17="Yes",ROUNDUP(Q17*'Rates &amp; Settings'!$C$15,0),0))</f>
        <v/>
      </c>
      <c r="X17" s="22" t="str">
        <f aca="false">IF(B17="","",IF(Y17&lt;&gt;"",N(Y17),IF(MONTH('Rates &amp; Settings'!$C$6)=2,SUMIFS('Rates &amp; Settings'!$F$35:$F$70,'Rates &amp; Settings'!$B$35:$B$70,E17,'Rates &amp; Settings'!$C$35:$C$70,"&lt;="&amp;Q17,'Rates &amp; Settings'!$D$35:$D$70,"&gt;="&amp;Q17),SUMIFS('Rates &amp; Settings'!$E$35:$E$70,'Rates &amp; Settings'!$B$35:$B$70,E17,'Rates &amp; Settings'!$C$35:$C$70,"&lt;="&amp;Q17,'Rates &amp; Settings'!$D$35:$D$70,"&gt;="&amp;Q17))))</f>
        <v/>
      </c>
      <c r="Y17" s="21"/>
      <c r="Z17" s="22" t="str">
        <f aca="false">IF(B17="","",IFERROR(IF(OR(INDEX('Rates &amp; Settings'!$H$75:$H$96,MATCH(E17,'Rates &amp; Settings'!$B$75:$B$96,0))="All",ISNUMBER(SEARCH(","&amp;MONTH('Rates &amp; Settings'!$C$6)&amp;",",","&amp;INDEX('Rates &amp; Settings'!$H$75:$H$96,MATCH(E17,'Rates &amp; Settings'!$B$75:$B$96,0))&amp;","))),IF(INDEX('Rates &amp; Settings'!$C$75:$C$96,MATCH(E17,'Rates &amp; Settings'!$B$75:$B$96,0))="Percent",MIN(ROUND(Q17*INDEX('Rates &amp; Settings'!$D$75:$D$96,MATCH(E17,'Rates &amp; Settings'!$B$75:$B$96,0)),0),INDEX('Rates &amp; Settings'!$F$75:$F$96,MATCH(E17,'Rates &amp; Settings'!$B$75:$B$96,0))),INDEX('Rates &amp; Settings'!$D$75:$D$96,MATCH(E17,'Rates &amp; Settings'!$B$75:$B$96,0))),0),0))</f>
        <v/>
      </c>
      <c r="AA17" s="22" t="str">
        <f aca="false">IF(B17="","",ROUND(AN17/12,0))</f>
        <v/>
      </c>
      <c r="AB17" s="21"/>
      <c r="AC17" s="21"/>
      <c r="AD17" s="22" t="str">
        <f aca="false">IF(B17="","",U17+W17+X17+Z17+IF(AB17&lt;&gt;"",N(AB17),AA17)+N(AC17))</f>
        <v/>
      </c>
      <c r="AE17" s="23" t="str">
        <f aca="false">IF(B17="","",Q17-AD17)</f>
        <v/>
      </c>
      <c r="AF17" s="22" t="str">
        <f aca="false">IF(B17="","",ROUND(T17*'Rates &amp; Settings'!$C$10,0)-AG17)</f>
        <v/>
      </c>
      <c r="AG17" s="22" t="str">
        <f aca="false">IF(B17="","",IF(H17="Yes",ROUND(MIN(T17,'Rates &amp; Settings'!$C$8)*'Rates &amp; Settings'!$C$11,0),0))</f>
        <v/>
      </c>
      <c r="AH17" s="22" t="str">
        <f aca="false">IF(B17="","",ROUND(MIN(T17,'Rates &amp; Settings'!$C$8)*'Rates &amp; Settings'!$C$12,0))</f>
        <v/>
      </c>
      <c r="AI17" s="22" t="str">
        <f aca="false">IF(B17="","",ROUND(T17*'Rates &amp; Settings'!$C$13,0))</f>
        <v/>
      </c>
      <c r="AJ17" s="22" t="str">
        <f aca="false">IF(B17="","",IF(V17="Yes",ROUNDUP(Q17*'Rates &amp; Settings'!$C$16,0),0))</f>
        <v/>
      </c>
      <c r="AK17" s="22" t="str">
        <f aca="false">IF(B17="","",IFERROR(IF(Z17=0,0,IF(INDEX('Rates &amp; Settings'!$C$75:$C$96,MATCH(E17,'Rates &amp; Settings'!$B$75:$B$96,0))="Percent",MIN(Z17*INDEX('Rates &amp; Settings'!$E$75:$E$96,MATCH(E17,'Rates &amp; Settings'!$B$75:$B$96,0)),INDEX('Rates &amp; Settings'!$G$75:$G$96,MATCH(E17,'Rates &amp; Settings'!$B$75:$B$96,0))),INDEX('Rates &amp; Settings'!$E$75:$E$96,MATCH(E17,'Rates &amp; Settings'!$B$75:$B$96,0)))),0))</f>
        <v/>
      </c>
      <c r="AL17" s="22" t="str">
        <f aca="false">IF(B17="","",Q17+AF17+AG17+AH17+AI17+AJ17+AK17)</f>
        <v/>
      </c>
      <c r="AM17" s="22" t="str">
        <f aca="false">IF(B17="","",MAX(0,P17*12-'Rates &amp; Settings'!$C$18))</f>
        <v/>
      </c>
      <c r="AN17" s="22" t="str">
        <f aca="false">IF(B17="","",IF(AM17&lt;='Rates &amp; Settings'!$C$19,0,MIN(SUMPRODUCT(--(AM17&gt;'Rates &amp; Settings'!$B$24:$B$30),AM17-'Rates &amp; Settings'!$B$24:$B$30,'Rates &amp; Settings'!$D$24:$D$30),AM17-'Rates &amp; Settings'!$C$19))*(1+'Rates &amp; Settings'!$C$20))</f>
        <v/>
      </c>
    </row>
    <row r="18" customFormat="false" ht="15" hidden="false" customHeight="false" outlineLevel="0" collapsed="false">
      <c r="B18" s="5"/>
      <c r="C18" s="5"/>
      <c r="D18" s="5"/>
      <c r="E18" s="5"/>
      <c r="F18" s="5"/>
      <c r="G18" s="5"/>
      <c r="H18" s="5"/>
      <c r="I18" s="20"/>
      <c r="J18" s="21"/>
      <c r="K18" s="21"/>
      <c r="L18" s="21"/>
      <c r="M18" s="21"/>
      <c r="N18" s="21"/>
      <c r="O18" s="21"/>
      <c r="P18" s="22" t="str">
        <f aca="false">IF(B18="","",SUM(J18:O18))</f>
        <v/>
      </c>
      <c r="Q18" s="22" t="str">
        <f aca="false">IF(B18="","",ROUND(P18*N(I18)/'Rates &amp; Settings'!$C$7,0))</f>
        <v/>
      </c>
      <c r="R18" s="22" t="str">
        <f aca="false">IF(B18="","",ROUND((N(J18)+N(K18))*N(I18)/'Rates &amp; Settings'!$C$7,0))</f>
        <v/>
      </c>
      <c r="S18" s="22" t="str">
        <f aca="false">IF(B18="","",IF('Rates &amp; Settings'!$C$14="Yes",MAX(R18,ROUND(Q18*0.5,0)),R18))</f>
        <v/>
      </c>
      <c r="T18" s="22" t="str">
        <f aca="false">IF(B18="","",IF(F18="Yes",IF(G18="Yes",MIN(S18,'Rates &amp; Settings'!$C$8),S18),0))</f>
        <v/>
      </c>
      <c r="U18" s="22" t="str">
        <f aca="false">IF(B18="","",ROUND(T18*'Rates &amp; Settings'!$C$9,0))</f>
        <v/>
      </c>
      <c r="V18" s="7" t="str">
        <f aca="false">IF(B18="","",IF(P18&lt;='Rates &amp; Settings'!$C$17,"Yes","No"))</f>
        <v/>
      </c>
      <c r="W18" s="22" t="str">
        <f aca="false">IF(B18="","",IF(V18="Yes",ROUNDUP(Q18*'Rates &amp; Settings'!$C$15,0),0))</f>
        <v/>
      </c>
      <c r="X18" s="22" t="str">
        <f aca="false">IF(B18="","",IF(Y18&lt;&gt;"",N(Y18),IF(MONTH('Rates &amp; Settings'!$C$6)=2,SUMIFS('Rates &amp; Settings'!$F$35:$F$70,'Rates &amp; Settings'!$B$35:$B$70,E18,'Rates &amp; Settings'!$C$35:$C$70,"&lt;="&amp;Q18,'Rates &amp; Settings'!$D$35:$D$70,"&gt;="&amp;Q18),SUMIFS('Rates &amp; Settings'!$E$35:$E$70,'Rates &amp; Settings'!$B$35:$B$70,E18,'Rates &amp; Settings'!$C$35:$C$70,"&lt;="&amp;Q18,'Rates &amp; Settings'!$D$35:$D$70,"&gt;="&amp;Q18))))</f>
        <v/>
      </c>
      <c r="Y18" s="21"/>
      <c r="Z18" s="22" t="str">
        <f aca="false">IF(B18="","",IFERROR(IF(OR(INDEX('Rates &amp; Settings'!$H$75:$H$96,MATCH(E18,'Rates &amp; Settings'!$B$75:$B$96,0))="All",ISNUMBER(SEARCH(","&amp;MONTH('Rates &amp; Settings'!$C$6)&amp;",",","&amp;INDEX('Rates &amp; Settings'!$H$75:$H$96,MATCH(E18,'Rates &amp; Settings'!$B$75:$B$96,0))&amp;","))),IF(INDEX('Rates &amp; Settings'!$C$75:$C$96,MATCH(E18,'Rates &amp; Settings'!$B$75:$B$96,0))="Percent",MIN(ROUND(Q18*INDEX('Rates &amp; Settings'!$D$75:$D$96,MATCH(E18,'Rates &amp; Settings'!$B$75:$B$96,0)),0),INDEX('Rates &amp; Settings'!$F$75:$F$96,MATCH(E18,'Rates &amp; Settings'!$B$75:$B$96,0))),INDEX('Rates &amp; Settings'!$D$75:$D$96,MATCH(E18,'Rates &amp; Settings'!$B$75:$B$96,0))),0),0))</f>
        <v/>
      </c>
      <c r="AA18" s="22" t="str">
        <f aca="false">IF(B18="","",ROUND(AN18/12,0))</f>
        <v/>
      </c>
      <c r="AB18" s="21"/>
      <c r="AC18" s="21"/>
      <c r="AD18" s="22" t="str">
        <f aca="false">IF(B18="","",U18+W18+X18+Z18+IF(AB18&lt;&gt;"",N(AB18),AA18)+N(AC18))</f>
        <v/>
      </c>
      <c r="AE18" s="23" t="str">
        <f aca="false">IF(B18="","",Q18-AD18)</f>
        <v/>
      </c>
      <c r="AF18" s="22" t="str">
        <f aca="false">IF(B18="","",ROUND(T18*'Rates &amp; Settings'!$C$10,0)-AG18)</f>
        <v/>
      </c>
      <c r="AG18" s="22" t="str">
        <f aca="false">IF(B18="","",IF(H18="Yes",ROUND(MIN(T18,'Rates &amp; Settings'!$C$8)*'Rates &amp; Settings'!$C$11,0),0))</f>
        <v/>
      </c>
      <c r="AH18" s="22" t="str">
        <f aca="false">IF(B18="","",ROUND(MIN(T18,'Rates &amp; Settings'!$C$8)*'Rates &amp; Settings'!$C$12,0))</f>
        <v/>
      </c>
      <c r="AI18" s="22" t="str">
        <f aca="false">IF(B18="","",ROUND(T18*'Rates &amp; Settings'!$C$13,0))</f>
        <v/>
      </c>
      <c r="AJ18" s="22" t="str">
        <f aca="false">IF(B18="","",IF(V18="Yes",ROUNDUP(Q18*'Rates &amp; Settings'!$C$16,0),0))</f>
        <v/>
      </c>
      <c r="AK18" s="22" t="str">
        <f aca="false">IF(B18="","",IFERROR(IF(Z18=0,0,IF(INDEX('Rates &amp; Settings'!$C$75:$C$96,MATCH(E18,'Rates &amp; Settings'!$B$75:$B$96,0))="Percent",MIN(Z18*INDEX('Rates &amp; Settings'!$E$75:$E$96,MATCH(E18,'Rates &amp; Settings'!$B$75:$B$96,0)),INDEX('Rates &amp; Settings'!$G$75:$G$96,MATCH(E18,'Rates &amp; Settings'!$B$75:$B$96,0))),INDEX('Rates &amp; Settings'!$E$75:$E$96,MATCH(E18,'Rates &amp; Settings'!$B$75:$B$96,0)))),0))</f>
        <v/>
      </c>
      <c r="AL18" s="22" t="str">
        <f aca="false">IF(B18="","",Q18+AF18+AG18+AH18+AI18+AJ18+AK18)</f>
        <v/>
      </c>
      <c r="AM18" s="22" t="str">
        <f aca="false">IF(B18="","",MAX(0,P18*12-'Rates &amp; Settings'!$C$18))</f>
        <v/>
      </c>
      <c r="AN18" s="22" t="str">
        <f aca="false">IF(B18="","",IF(AM18&lt;='Rates &amp; Settings'!$C$19,0,MIN(SUMPRODUCT(--(AM18&gt;'Rates &amp; Settings'!$B$24:$B$30),AM18-'Rates &amp; Settings'!$B$24:$B$30,'Rates &amp; Settings'!$D$24:$D$30),AM18-'Rates &amp; Settings'!$C$19))*(1+'Rates &amp; Settings'!$C$20))</f>
        <v/>
      </c>
    </row>
    <row r="19" customFormat="false" ht="15" hidden="false" customHeight="false" outlineLevel="0" collapsed="false">
      <c r="B19" s="5"/>
      <c r="C19" s="5"/>
      <c r="D19" s="5"/>
      <c r="E19" s="5"/>
      <c r="F19" s="5"/>
      <c r="G19" s="5"/>
      <c r="H19" s="5"/>
      <c r="I19" s="20"/>
      <c r="J19" s="21"/>
      <c r="K19" s="21"/>
      <c r="L19" s="21"/>
      <c r="M19" s="21"/>
      <c r="N19" s="21"/>
      <c r="O19" s="21"/>
      <c r="P19" s="22" t="str">
        <f aca="false">IF(B19="","",SUM(J19:O19))</f>
        <v/>
      </c>
      <c r="Q19" s="22" t="str">
        <f aca="false">IF(B19="","",ROUND(P19*N(I19)/'Rates &amp; Settings'!$C$7,0))</f>
        <v/>
      </c>
      <c r="R19" s="22" t="str">
        <f aca="false">IF(B19="","",ROUND((N(J19)+N(K19))*N(I19)/'Rates &amp; Settings'!$C$7,0))</f>
        <v/>
      </c>
      <c r="S19" s="22" t="str">
        <f aca="false">IF(B19="","",IF('Rates &amp; Settings'!$C$14="Yes",MAX(R19,ROUND(Q19*0.5,0)),R19))</f>
        <v/>
      </c>
      <c r="T19" s="22" t="str">
        <f aca="false">IF(B19="","",IF(F19="Yes",IF(G19="Yes",MIN(S19,'Rates &amp; Settings'!$C$8),S19),0))</f>
        <v/>
      </c>
      <c r="U19" s="22" t="str">
        <f aca="false">IF(B19="","",ROUND(T19*'Rates &amp; Settings'!$C$9,0))</f>
        <v/>
      </c>
      <c r="V19" s="7" t="str">
        <f aca="false">IF(B19="","",IF(P19&lt;='Rates &amp; Settings'!$C$17,"Yes","No"))</f>
        <v/>
      </c>
      <c r="W19" s="22" t="str">
        <f aca="false">IF(B19="","",IF(V19="Yes",ROUNDUP(Q19*'Rates &amp; Settings'!$C$15,0),0))</f>
        <v/>
      </c>
      <c r="X19" s="22" t="str">
        <f aca="false">IF(B19="","",IF(Y19&lt;&gt;"",N(Y19),IF(MONTH('Rates &amp; Settings'!$C$6)=2,SUMIFS('Rates &amp; Settings'!$F$35:$F$70,'Rates &amp; Settings'!$B$35:$B$70,E19,'Rates &amp; Settings'!$C$35:$C$70,"&lt;="&amp;Q19,'Rates &amp; Settings'!$D$35:$D$70,"&gt;="&amp;Q19),SUMIFS('Rates &amp; Settings'!$E$35:$E$70,'Rates &amp; Settings'!$B$35:$B$70,E19,'Rates &amp; Settings'!$C$35:$C$70,"&lt;="&amp;Q19,'Rates &amp; Settings'!$D$35:$D$70,"&gt;="&amp;Q19))))</f>
        <v/>
      </c>
      <c r="Y19" s="21"/>
      <c r="Z19" s="22" t="str">
        <f aca="false">IF(B19="","",IFERROR(IF(OR(INDEX('Rates &amp; Settings'!$H$75:$H$96,MATCH(E19,'Rates &amp; Settings'!$B$75:$B$96,0))="All",ISNUMBER(SEARCH(","&amp;MONTH('Rates &amp; Settings'!$C$6)&amp;",",","&amp;INDEX('Rates &amp; Settings'!$H$75:$H$96,MATCH(E19,'Rates &amp; Settings'!$B$75:$B$96,0))&amp;","))),IF(INDEX('Rates &amp; Settings'!$C$75:$C$96,MATCH(E19,'Rates &amp; Settings'!$B$75:$B$96,0))="Percent",MIN(ROUND(Q19*INDEX('Rates &amp; Settings'!$D$75:$D$96,MATCH(E19,'Rates &amp; Settings'!$B$75:$B$96,0)),0),INDEX('Rates &amp; Settings'!$F$75:$F$96,MATCH(E19,'Rates &amp; Settings'!$B$75:$B$96,0))),INDEX('Rates &amp; Settings'!$D$75:$D$96,MATCH(E19,'Rates &amp; Settings'!$B$75:$B$96,0))),0),0))</f>
        <v/>
      </c>
      <c r="AA19" s="22" t="str">
        <f aca="false">IF(B19="","",ROUND(AN19/12,0))</f>
        <v/>
      </c>
      <c r="AB19" s="21"/>
      <c r="AC19" s="21"/>
      <c r="AD19" s="22" t="str">
        <f aca="false">IF(B19="","",U19+W19+X19+Z19+IF(AB19&lt;&gt;"",N(AB19),AA19)+N(AC19))</f>
        <v/>
      </c>
      <c r="AE19" s="23" t="str">
        <f aca="false">IF(B19="","",Q19-AD19)</f>
        <v/>
      </c>
      <c r="AF19" s="22" t="str">
        <f aca="false">IF(B19="","",ROUND(T19*'Rates &amp; Settings'!$C$10,0)-AG19)</f>
        <v/>
      </c>
      <c r="AG19" s="22" t="str">
        <f aca="false">IF(B19="","",IF(H19="Yes",ROUND(MIN(T19,'Rates &amp; Settings'!$C$8)*'Rates &amp; Settings'!$C$11,0),0))</f>
        <v/>
      </c>
      <c r="AH19" s="22" t="str">
        <f aca="false">IF(B19="","",ROUND(MIN(T19,'Rates &amp; Settings'!$C$8)*'Rates &amp; Settings'!$C$12,0))</f>
        <v/>
      </c>
      <c r="AI19" s="22" t="str">
        <f aca="false">IF(B19="","",ROUND(T19*'Rates &amp; Settings'!$C$13,0))</f>
        <v/>
      </c>
      <c r="AJ19" s="22" t="str">
        <f aca="false">IF(B19="","",IF(V19="Yes",ROUNDUP(Q19*'Rates &amp; Settings'!$C$16,0),0))</f>
        <v/>
      </c>
      <c r="AK19" s="22" t="str">
        <f aca="false">IF(B19="","",IFERROR(IF(Z19=0,0,IF(INDEX('Rates &amp; Settings'!$C$75:$C$96,MATCH(E19,'Rates &amp; Settings'!$B$75:$B$96,0))="Percent",MIN(Z19*INDEX('Rates &amp; Settings'!$E$75:$E$96,MATCH(E19,'Rates &amp; Settings'!$B$75:$B$96,0)),INDEX('Rates &amp; Settings'!$G$75:$G$96,MATCH(E19,'Rates &amp; Settings'!$B$75:$B$96,0))),INDEX('Rates &amp; Settings'!$E$75:$E$96,MATCH(E19,'Rates &amp; Settings'!$B$75:$B$96,0)))),0))</f>
        <v/>
      </c>
      <c r="AL19" s="22" t="str">
        <f aca="false">IF(B19="","",Q19+AF19+AG19+AH19+AI19+AJ19+AK19)</f>
        <v/>
      </c>
      <c r="AM19" s="22" t="str">
        <f aca="false">IF(B19="","",MAX(0,P19*12-'Rates &amp; Settings'!$C$18))</f>
        <v/>
      </c>
      <c r="AN19" s="22" t="str">
        <f aca="false">IF(B19="","",IF(AM19&lt;='Rates &amp; Settings'!$C$19,0,MIN(SUMPRODUCT(--(AM19&gt;'Rates &amp; Settings'!$B$24:$B$30),AM19-'Rates &amp; Settings'!$B$24:$B$30,'Rates &amp; Settings'!$D$24:$D$30),AM19-'Rates &amp; Settings'!$C$19))*(1+'Rates &amp; Settings'!$C$20))</f>
        <v/>
      </c>
    </row>
    <row r="20" customFormat="false" ht="15" hidden="false" customHeight="false" outlineLevel="0" collapsed="false">
      <c r="B20" s="5"/>
      <c r="C20" s="5"/>
      <c r="D20" s="5"/>
      <c r="E20" s="5"/>
      <c r="F20" s="5"/>
      <c r="G20" s="5"/>
      <c r="H20" s="5"/>
      <c r="I20" s="20"/>
      <c r="J20" s="21"/>
      <c r="K20" s="21"/>
      <c r="L20" s="21"/>
      <c r="M20" s="21"/>
      <c r="N20" s="21"/>
      <c r="O20" s="21"/>
      <c r="P20" s="22" t="str">
        <f aca="false">IF(B20="","",SUM(J20:O20))</f>
        <v/>
      </c>
      <c r="Q20" s="22" t="str">
        <f aca="false">IF(B20="","",ROUND(P20*N(I20)/'Rates &amp; Settings'!$C$7,0))</f>
        <v/>
      </c>
      <c r="R20" s="22" t="str">
        <f aca="false">IF(B20="","",ROUND((N(J20)+N(K20))*N(I20)/'Rates &amp; Settings'!$C$7,0))</f>
        <v/>
      </c>
      <c r="S20" s="22" t="str">
        <f aca="false">IF(B20="","",IF('Rates &amp; Settings'!$C$14="Yes",MAX(R20,ROUND(Q20*0.5,0)),R20))</f>
        <v/>
      </c>
      <c r="T20" s="22" t="str">
        <f aca="false">IF(B20="","",IF(F20="Yes",IF(G20="Yes",MIN(S20,'Rates &amp; Settings'!$C$8),S20),0))</f>
        <v/>
      </c>
      <c r="U20" s="22" t="str">
        <f aca="false">IF(B20="","",ROUND(T20*'Rates &amp; Settings'!$C$9,0))</f>
        <v/>
      </c>
      <c r="V20" s="7" t="str">
        <f aca="false">IF(B20="","",IF(P20&lt;='Rates &amp; Settings'!$C$17,"Yes","No"))</f>
        <v/>
      </c>
      <c r="W20" s="22" t="str">
        <f aca="false">IF(B20="","",IF(V20="Yes",ROUNDUP(Q20*'Rates &amp; Settings'!$C$15,0),0))</f>
        <v/>
      </c>
      <c r="X20" s="22" t="str">
        <f aca="false">IF(B20="","",IF(Y20&lt;&gt;"",N(Y20),IF(MONTH('Rates &amp; Settings'!$C$6)=2,SUMIFS('Rates &amp; Settings'!$F$35:$F$70,'Rates &amp; Settings'!$B$35:$B$70,E20,'Rates &amp; Settings'!$C$35:$C$70,"&lt;="&amp;Q20,'Rates &amp; Settings'!$D$35:$D$70,"&gt;="&amp;Q20),SUMIFS('Rates &amp; Settings'!$E$35:$E$70,'Rates &amp; Settings'!$B$35:$B$70,E20,'Rates &amp; Settings'!$C$35:$C$70,"&lt;="&amp;Q20,'Rates &amp; Settings'!$D$35:$D$70,"&gt;="&amp;Q20))))</f>
        <v/>
      </c>
      <c r="Y20" s="21"/>
      <c r="Z20" s="22" t="str">
        <f aca="false">IF(B20="","",IFERROR(IF(OR(INDEX('Rates &amp; Settings'!$H$75:$H$96,MATCH(E20,'Rates &amp; Settings'!$B$75:$B$96,0))="All",ISNUMBER(SEARCH(","&amp;MONTH('Rates &amp; Settings'!$C$6)&amp;",",","&amp;INDEX('Rates &amp; Settings'!$H$75:$H$96,MATCH(E20,'Rates &amp; Settings'!$B$75:$B$96,0))&amp;","))),IF(INDEX('Rates &amp; Settings'!$C$75:$C$96,MATCH(E20,'Rates &amp; Settings'!$B$75:$B$96,0))="Percent",MIN(ROUND(Q20*INDEX('Rates &amp; Settings'!$D$75:$D$96,MATCH(E20,'Rates &amp; Settings'!$B$75:$B$96,0)),0),INDEX('Rates &amp; Settings'!$F$75:$F$96,MATCH(E20,'Rates &amp; Settings'!$B$75:$B$96,0))),INDEX('Rates &amp; Settings'!$D$75:$D$96,MATCH(E20,'Rates &amp; Settings'!$B$75:$B$96,0))),0),0))</f>
        <v/>
      </c>
      <c r="AA20" s="22" t="str">
        <f aca="false">IF(B20="","",ROUND(AN20/12,0))</f>
        <v/>
      </c>
      <c r="AB20" s="21"/>
      <c r="AC20" s="21"/>
      <c r="AD20" s="22" t="str">
        <f aca="false">IF(B20="","",U20+W20+X20+Z20+IF(AB20&lt;&gt;"",N(AB20),AA20)+N(AC20))</f>
        <v/>
      </c>
      <c r="AE20" s="23" t="str">
        <f aca="false">IF(B20="","",Q20-AD20)</f>
        <v/>
      </c>
      <c r="AF20" s="22" t="str">
        <f aca="false">IF(B20="","",ROUND(T20*'Rates &amp; Settings'!$C$10,0)-AG20)</f>
        <v/>
      </c>
      <c r="AG20" s="22" t="str">
        <f aca="false">IF(B20="","",IF(H20="Yes",ROUND(MIN(T20,'Rates &amp; Settings'!$C$8)*'Rates &amp; Settings'!$C$11,0),0))</f>
        <v/>
      </c>
      <c r="AH20" s="22" t="str">
        <f aca="false">IF(B20="","",ROUND(MIN(T20,'Rates &amp; Settings'!$C$8)*'Rates &amp; Settings'!$C$12,0))</f>
        <v/>
      </c>
      <c r="AI20" s="22" t="str">
        <f aca="false">IF(B20="","",ROUND(T20*'Rates &amp; Settings'!$C$13,0))</f>
        <v/>
      </c>
      <c r="AJ20" s="22" t="str">
        <f aca="false">IF(B20="","",IF(V20="Yes",ROUNDUP(Q20*'Rates &amp; Settings'!$C$16,0),0))</f>
        <v/>
      </c>
      <c r="AK20" s="22" t="str">
        <f aca="false">IF(B20="","",IFERROR(IF(Z20=0,0,IF(INDEX('Rates &amp; Settings'!$C$75:$C$96,MATCH(E20,'Rates &amp; Settings'!$B$75:$B$96,0))="Percent",MIN(Z20*INDEX('Rates &amp; Settings'!$E$75:$E$96,MATCH(E20,'Rates &amp; Settings'!$B$75:$B$96,0)),INDEX('Rates &amp; Settings'!$G$75:$G$96,MATCH(E20,'Rates &amp; Settings'!$B$75:$B$96,0))),INDEX('Rates &amp; Settings'!$E$75:$E$96,MATCH(E20,'Rates &amp; Settings'!$B$75:$B$96,0)))),0))</f>
        <v/>
      </c>
      <c r="AL20" s="22" t="str">
        <f aca="false">IF(B20="","",Q20+AF20+AG20+AH20+AI20+AJ20+AK20)</f>
        <v/>
      </c>
      <c r="AM20" s="22" t="str">
        <f aca="false">IF(B20="","",MAX(0,P20*12-'Rates &amp; Settings'!$C$18))</f>
        <v/>
      </c>
      <c r="AN20" s="22" t="str">
        <f aca="false">IF(B20="","",IF(AM20&lt;='Rates &amp; Settings'!$C$19,0,MIN(SUMPRODUCT(--(AM20&gt;'Rates &amp; Settings'!$B$24:$B$30),AM20-'Rates &amp; Settings'!$B$24:$B$30,'Rates &amp; Settings'!$D$24:$D$30),AM20-'Rates &amp; Settings'!$C$19))*(1+'Rates &amp; Settings'!$C$20))</f>
        <v/>
      </c>
    </row>
    <row r="21" customFormat="false" ht="15" hidden="false" customHeight="false" outlineLevel="0" collapsed="false">
      <c r="B21" s="5"/>
      <c r="C21" s="5"/>
      <c r="D21" s="5"/>
      <c r="E21" s="5"/>
      <c r="F21" s="5"/>
      <c r="G21" s="5"/>
      <c r="H21" s="5"/>
      <c r="I21" s="20"/>
      <c r="J21" s="21"/>
      <c r="K21" s="21"/>
      <c r="L21" s="21"/>
      <c r="M21" s="21"/>
      <c r="N21" s="21"/>
      <c r="O21" s="21"/>
      <c r="P21" s="22" t="str">
        <f aca="false">IF(B21="","",SUM(J21:O21))</f>
        <v/>
      </c>
      <c r="Q21" s="22" t="str">
        <f aca="false">IF(B21="","",ROUND(P21*N(I21)/'Rates &amp; Settings'!$C$7,0))</f>
        <v/>
      </c>
      <c r="R21" s="22" t="str">
        <f aca="false">IF(B21="","",ROUND((N(J21)+N(K21))*N(I21)/'Rates &amp; Settings'!$C$7,0))</f>
        <v/>
      </c>
      <c r="S21" s="22" t="str">
        <f aca="false">IF(B21="","",IF('Rates &amp; Settings'!$C$14="Yes",MAX(R21,ROUND(Q21*0.5,0)),R21))</f>
        <v/>
      </c>
      <c r="T21" s="22" t="str">
        <f aca="false">IF(B21="","",IF(F21="Yes",IF(G21="Yes",MIN(S21,'Rates &amp; Settings'!$C$8),S21),0))</f>
        <v/>
      </c>
      <c r="U21" s="22" t="str">
        <f aca="false">IF(B21="","",ROUND(T21*'Rates &amp; Settings'!$C$9,0))</f>
        <v/>
      </c>
      <c r="V21" s="7" t="str">
        <f aca="false">IF(B21="","",IF(P21&lt;='Rates &amp; Settings'!$C$17,"Yes","No"))</f>
        <v/>
      </c>
      <c r="W21" s="22" t="str">
        <f aca="false">IF(B21="","",IF(V21="Yes",ROUNDUP(Q21*'Rates &amp; Settings'!$C$15,0),0))</f>
        <v/>
      </c>
      <c r="X21" s="22" t="str">
        <f aca="false">IF(B21="","",IF(Y21&lt;&gt;"",N(Y21),IF(MONTH('Rates &amp; Settings'!$C$6)=2,SUMIFS('Rates &amp; Settings'!$F$35:$F$70,'Rates &amp; Settings'!$B$35:$B$70,E21,'Rates &amp; Settings'!$C$35:$C$70,"&lt;="&amp;Q21,'Rates &amp; Settings'!$D$35:$D$70,"&gt;="&amp;Q21),SUMIFS('Rates &amp; Settings'!$E$35:$E$70,'Rates &amp; Settings'!$B$35:$B$70,E21,'Rates &amp; Settings'!$C$35:$C$70,"&lt;="&amp;Q21,'Rates &amp; Settings'!$D$35:$D$70,"&gt;="&amp;Q21))))</f>
        <v/>
      </c>
      <c r="Y21" s="21"/>
      <c r="Z21" s="22" t="str">
        <f aca="false">IF(B21="","",IFERROR(IF(OR(INDEX('Rates &amp; Settings'!$H$75:$H$96,MATCH(E21,'Rates &amp; Settings'!$B$75:$B$96,0))="All",ISNUMBER(SEARCH(","&amp;MONTH('Rates &amp; Settings'!$C$6)&amp;",",","&amp;INDEX('Rates &amp; Settings'!$H$75:$H$96,MATCH(E21,'Rates &amp; Settings'!$B$75:$B$96,0))&amp;","))),IF(INDEX('Rates &amp; Settings'!$C$75:$C$96,MATCH(E21,'Rates &amp; Settings'!$B$75:$B$96,0))="Percent",MIN(ROUND(Q21*INDEX('Rates &amp; Settings'!$D$75:$D$96,MATCH(E21,'Rates &amp; Settings'!$B$75:$B$96,0)),0),INDEX('Rates &amp; Settings'!$F$75:$F$96,MATCH(E21,'Rates &amp; Settings'!$B$75:$B$96,0))),INDEX('Rates &amp; Settings'!$D$75:$D$96,MATCH(E21,'Rates &amp; Settings'!$B$75:$B$96,0))),0),0))</f>
        <v/>
      </c>
      <c r="AA21" s="22" t="str">
        <f aca="false">IF(B21="","",ROUND(AN21/12,0))</f>
        <v/>
      </c>
      <c r="AB21" s="21"/>
      <c r="AC21" s="21"/>
      <c r="AD21" s="22" t="str">
        <f aca="false">IF(B21="","",U21+W21+X21+Z21+IF(AB21&lt;&gt;"",N(AB21),AA21)+N(AC21))</f>
        <v/>
      </c>
      <c r="AE21" s="23" t="str">
        <f aca="false">IF(B21="","",Q21-AD21)</f>
        <v/>
      </c>
      <c r="AF21" s="22" t="str">
        <f aca="false">IF(B21="","",ROUND(T21*'Rates &amp; Settings'!$C$10,0)-AG21)</f>
        <v/>
      </c>
      <c r="AG21" s="22" t="str">
        <f aca="false">IF(B21="","",IF(H21="Yes",ROUND(MIN(T21,'Rates &amp; Settings'!$C$8)*'Rates &amp; Settings'!$C$11,0),0))</f>
        <v/>
      </c>
      <c r="AH21" s="22" t="str">
        <f aca="false">IF(B21="","",ROUND(MIN(T21,'Rates &amp; Settings'!$C$8)*'Rates &amp; Settings'!$C$12,0))</f>
        <v/>
      </c>
      <c r="AI21" s="22" t="str">
        <f aca="false">IF(B21="","",ROUND(T21*'Rates &amp; Settings'!$C$13,0))</f>
        <v/>
      </c>
      <c r="AJ21" s="22" t="str">
        <f aca="false">IF(B21="","",IF(V21="Yes",ROUNDUP(Q21*'Rates &amp; Settings'!$C$16,0),0))</f>
        <v/>
      </c>
      <c r="AK21" s="22" t="str">
        <f aca="false">IF(B21="","",IFERROR(IF(Z21=0,0,IF(INDEX('Rates &amp; Settings'!$C$75:$C$96,MATCH(E21,'Rates &amp; Settings'!$B$75:$B$96,0))="Percent",MIN(Z21*INDEX('Rates &amp; Settings'!$E$75:$E$96,MATCH(E21,'Rates &amp; Settings'!$B$75:$B$96,0)),INDEX('Rates &amp; Settings'!$G$75:$G$96,MATCH(E21,'Rates &amp; Settings'!$B$75:$B$96,0))),INDEX('Rates &amp; Settings'!$E$75:$E$96,MATCH(E21,'Rates &amp; Settings'!$B$75:$B$96,0)))),0))</f>
        <v/>
      </c>
      <c r="AL21" s="22" t="str">
        <f aca="false">IF(B21="","",Q21+AF21+AG21+AH21+AI21+AJ21+AK21)</f>
        <v/>
      </c>
      <c r="AM21" s="22" t="str">
        <f aca="false">IF(B21="","",MAX(0,P21*12-'Rates &amp; Settings'!$C$18))</f>
        <v/>
      </c>
      <c r="AN21" s="22" t="str">
        <f aca="false">IF(B21="","",IF(AM21&lt;='Rates &amp; Settings'!$C$19,0,MIN(SUMPRODUCT(--(AM21&gt;'Rates &amp; Settings'!$B$24:$B$30),AM21-'Rates &amp; Settings'!$B$24:$B$30,'Rates &amp; Settings'!$D$24:$D$30),AM21-'Rates &amp; Settings'!$C$19))*(1+'Rates &amp; Settings'!$C$20))</f>
        <v/>
      </c>
    </row>
    <row r="22" customFormat="false" ht="15" hidden="false" customHeight="false" outlineLevel="0" collapsed="false">
      <c r="B22" s="5"/>
      <c r="C22" s="5"/>
      <c r="D22" s="5"/>
      <c r="E22" s="5"/>
      <c r="F22" s="5"/>
      <c r="G22" s="5"/>
      <c r="H22" s="5"/>
      <c r="I22" s="20"/>
      <c r="J22" s="21"/>
      <c r="K22" s="21"/>
      <c r="L22" s="21"/>
      <c r="M22" s="21"/>
      <c r="N22" s="21"/>
      <c r="O22" s="21"/>
      <c r="P22" s="22" t="str">
        <f aca="false">IF(B22="","",SUM(J22:O22))</f>
        <v/>
      </c>
      <c r="Q22" s="22" t="str">
        <f aca="false">IF(B22="","",ROUND(P22*N(I22)/'Rates &amp; Settings'!$C$7,0))</f>
        <v/>
      </c>
      <c r="R22" s="22" t="str">
        <f aca="false">IF(B22="","",ROUND((N(J22)+N(K22))*N(I22)/'Rates &amp; Settings'!$C$7,0))</f>
        <v/>
      </c>
      <c r="S22" s="22" t="str">
        <f aca="false">IF(B22="","",IF('Rates &amp; Settings'!$C$14="Yes",MAX(R22,ROUND(Q22*0.5,0)),R22))</f>
        <v/>
      </c>
      <c r="T22" s="22" t="str">
        <f aca="false">IF(B22="","",IF(F22="Yes",IF(G22="Yes",MIN(S22,'Rates &amp; Settings'!$C$8),S22),0))</f>
        <v/>
      </c>
      <c r="U22" s="22" t="str">
        <f aca="false">IF(B22="","",ROUND(T22*'Rates &amp; Settings'!$C$9,0))</f>
        <v/>
      </c>
      <c r="V22" s="7" t="str">
        <f aca="false">IF(B22="","",IF(P22&lt;='Rates &amp; Settings'!$C$17,"Yes","No"))</f>
        <v/>
      </c>
      <c r="W22" s="22" t="str">
        <f aca="false">IF(B22="","",IF(V22="Yes",ROUNDUP(Q22*'Rates &amp; Settings'!$C$15,0),0))</f>
        <v/>
      </c>
      <c r="X22" s="22" t="str">
        <f aca="false">IF(B22="","",IF(Y22&lt;&gt;"",N(Y22),IF(MONTH('Rates &amp; Settings'!$C$6)=2,SUMIFS('Rates &amp; Settings'!$F$35:$F$70,'Rates &amp; Settings'!$B$35:$B$70,E22,'Rates &amp; Settings'!$C$35:$C$70,"&lt;="&amp;Q22,'Rates &amp; Settings'!$D$35:$D$70,"&gt;="&amp;Q22),SUMIFS('Rates &amp; Settings'!$E$35:$E$70,'Rates &amp; Settings'!$B$35:$B$70,E22,'Rates &amp; Settings'!$C$35:$C$70,"&lt;="&amp;Q22,'Rates &amp; Settings'!$D$35:$D$70,"&gt;="&amp;Q22))))</f>
        <v/>
      </c>
      <c r="Y22" s="21"/>
      <c r="Z22" s="22" t="str">
        <f aca="false">IF(B22="","",IFERROR(IF(OR(INDEX('Rates &amp; Settings'!$H$75:$H$96,MATCH(E22,'Rates &amp; Settings'!$B$75:$B$96,0))="All",ISNUMBER(SEARCH(","&amp;MONTH('Rates &amp; Settings'!$C$6)&amp;",",","&amp;INDEX('Rates &amp; Settings'!$H$75:$H$96,MATCH(E22,'Rates &amp; Settings'!$B$75:$B$96,0))&amp;","))),IF(INDEX('Rates &amp; Settings'!$C$75:$C$96,MATCH(E22,'Rates &amp; Settings'!$B$75:$B$96,0))="Percent",MIN(ROUND(Q22*INDEX('Rates &amp; Settings'!$D$75:$D$96,MATCH(E22,'Rates &amp; Settings'!$B$75:$B$96,0)),0),INDEX('Rates &amp; Settings'!$F$75:$F$96,MATCH(E22,'Rates &amp; Settings'!$B$75:$B$96,0))),INDEX('Rates &amp; Settings'!$D$75:$D$96,MATCH(E22,'Rates &amp; Settings'!$B$75:$B$96,0))),0),0))</f>
        <v/>
      </c>
      <c r="AA22" s="22" t="str">
        <f aca="false">IF(B22="","",ROUND(AN22/12,0))</f>
        <v/>
      </c>
      <c r="AB22" s="21"/>
      <c r="AC22" s="21"/>
      <c r="AD22" s="22" t="str">
        <f aca="false">IF(B22="","",U22+W22+X22+Z22+IF(AB22&lt;&gt;"",N(AB22),AA22)+N(AC22))</f>
        <v/>
      </c>
      <c r="AE22" s="23" t="str">
        <f aca="false">IF(B22="","",Q22-AD22)</f>
        <v/>
      </c>
      <c r="AF22" s="22" t="str">
        <f aca="false">IF(B22="","",ROUND(T22*'Rates &amp; Settings'!$C$10,0)-AG22)</f>
        <v/>
      </c>
      <c r="AG22" s="22" t="str">
        <f aca="false">IF(B22="","",IF(H22="Yes",ROUND(MIN(T22,'Rates &amp; Settings'!$C$8)*'Rates &amp; Settings'!$C$11,0),0))</f>
        <v/>
      </c>
      <c r="AH22" s="22" t="str">
        <f aca="false">IF(B22="","",ROUND(MIN(T22,'Rates &amp; Settings'!$C$8)*'Rates &amp; Settings'!$C$12,0))</f>
        <v/>
      </c>
      <c r="AI22" s="22" t="str">
        <f aca="false">IF(B22="","",ROUND(T22*'Rates &amp; Settings'!$C$13,0))</f>
        <v/>
      </c>
      <c r="AJ22" s="22" t="str">
        <f aca="false">IF(B22="","",IF(V22="Yes",ROUNDUP(Q22*'Rates &amp; Settings'!$C$16,0),0))</f>
        <v/>
      </c>
      <c r="AK22" s="22" t="str">
        <f aca="false">IF(B22="","",IFERROR(IF(Z22=0,0,IF(INDEX('Rates &amp; Settings'!$C$75:$C$96,MATCH(E22,'Rates &amp; Settings'!$B$75:$B$96,0))="Percent",MIN(Z22*INDEX('Rates &amp; Settings'!$E$75:$E$96,MATCH(E22,'Rates &amp; Settings'!$B$75:$B$96,0)),INDEX('Rates &amp; Settings'!$G$75:$G$96,MATCH(E22,'Rates &amp; Settings'!$B$75:$B$96,0))),INDEX('Rates &amp; Settings'!$E$75:$E$96,MATCH(E22,'Rates &amp; Settings'!$B$75:$B$96,0)))),0))</f>
        <v/>
      </c>
      <c r="AL22" s="22" t="str">
        <f aca="false">IF(B22="","",Q22+AF22+AG22+AH22+AI22+AJ22+AK22)</f>
        <v/>
      </c>
      <c r="AM22" s="22" t="str">
        <f aca="false">IF(B22="","",MAX(0,P22*12-'Rates &amp; Settings'!$C$18))</f>
        <v/>
      </c>
      <c r="AN22" s="22" t="str">
        <f aca="false">IF(B22="","",IF(AM22&lt;='Rates &amp; Settings'!$C$19,0,MIN(SUMPRODUCT(--(AM22&gt;'Rates &amp; Settings'!$B$24:$B$30),AM22-'Rates &amp; Settings'!$B$24:$B$30,'Rates &amp; Settings'!$D$24:$D$30),AM22-'Rates &amp; Settings'!$C$19))*(1+'Rates &amp; Settings'!$C$20))</f>
        <v/>
      </c>
    </row>
    <row r="23" customFormat="false" ht="15" hidden="false" customHeight="false" outlineLevel="0" collapsed="false">
      <c r="B23" s="5"/>
      <c r="C23" s="5"/>
      <c r="D23" s="5"/>
      <c r="E23" s="5"/>
      <c r="F23" s="5"/>
      <c r="G23" s="5"/>
      <c r="H23" s="5"/>
      <c r="I23" s="20"/>
      <c r="J23" s="21"/>
      <c r="K23" s="21"/>
      <c r="L23" s="21"/>
      <c r="M23" s="21"/>
      <c r="N23" s="21"/>
      <c r="O23" s="21"/>
      <c r="P23" s="22" t="str">
        <f aca="false">IF(B23="","",SUM(J23:O23))</f>
        <v/>
      </c>
      <c r="Q23" s="22" t="str">
        <f aca="false">IF(B23="","",ROUND(P23*N(I23)/'Rates &amp; Settings'!$C$7,0))</f>
        <v/>
      </c>
      <c r="R23" s="22" t="str">
        <f aca="false">IF(B23="","",ROUND((N(J23)+N(K23))*N(I23)/'Rates &amp; Settings'!$C$7,0))</f>
        <v/>
      </c>
      <c r="S23" s="22" t="str">
        <f aca="false">IF(B23="","",IF('Rates &amp; Settings'!$C$14="Yes",MAX(R23,ROUND(Q23*0.5,0)),R23))</f>
        <v/>
      </c>
      <c r="T23" s="22" t="str">
        <f aca="false">IF(B23="","",IF(F23="Yes",IF(G23="Yes",MIN(S23,'Rates &amp; Settings'!$C$8),S23),0))</f>
        <v/>
      </c>
      <c r="U23" s="22" t="str">
        <f aca="false">IF(B23="","",ROUND(T23*'Rates &amp; Settings'!$C$9,0))</f>
        <v/>
      </c>
      <c r="V23" s="7" t="str">
        <f aca="false">IF(B23="","",IF(P23&lt;='Rates &amp; Settings'!$C$17,"Yes","No"))</f>
        <v/>
      </c>
      <c r="W23" s="22" t="str">
        <f aca="false">IF(B23="","",IF(V23="Yes",ROUNDUP(Q23*'Rates &amp; Settings'!$C$15,0),0))</f>
        <v/>
      </c>
      <c r="X23" s="22" t="str">
        <f aca="false">IF(B23="","",IF(Y23&lt;&gt;"",N(Y23),IF(MONTH('Rates &amp; Settings'!$C$6)=2,SUMIFS('Rates &amp; Settings'!$F$35:$F$70,'Rates &amp; Settings'!$B$35:$B$70,E23,'Rates &amp; Settings'!$C$35:$C$70,"&lt;="&amp;Q23,'Rates &amp; Settings'!$D$35:$D$70,"&gt;="&amp;Q23),SUMIFS('Rates &amp; Settings'!$E$35:$E$70,'Rates &amp; Settings'!$B$35:$B$70,E23,'Rates &amp; Settings'!$C$35:$C$70,"&lt;="&amp;Q23,'Rates &amp; Settings'!$D$35:$D$70,"&gt;="&amp;Q23))))</f>
        <v/>
      </c>
      <c r="Y23" s="21"/>
      <c r="Z23" s="22" t="str">
        <f aca="false">IF(B23="","",IFERROR(IF(OR(INDEX('Rates &amp; Settings'!$H$75:$H$96,MATCH(E23,'Rates &amp; Settings'!$B$75:$B$96,0))="All",ISNUMBER(SEARCH(","&amp;MONTH('Rates &amp; Settings'!$C$6)&amp;",",","&amp;INDEX('Rates &amp; Settings'!$H$75:$H$96,MATCH(E23,'Rates &amp; Settings'!$B$75:$B$96,0))&amp;","))),IF(INDEX('Rates &amp; Settings'!$C$75:$C$96,MATCH(E23,'Rates &amp; Settings'!$B$75:$B$96,0))="Percent",MIN(ROUND(Q23*INDEX('Rates &amp; Settings'!$D$75:$D$96,MATCH(E23,'Rates &amp; Settings'!$B$75:$B$96,0)),0),INDEX('Rates &amp; Settings'!$F$75:$F$96,MATCH(E23,'Rates &amp; Settings'!$B$75:$B$96,0))),INDEX('Rates &amp; Settings'!$D$75:$D$96,MATCH(E23,'Rates &amp; Settings'!$B$75:$B$96,0))),0),0))</f>
        <v/>
      </c>
      <c r="AA23" s="22" t="str">
        <f aca="false">IF(B23="","",ROUND(AN23/12,0))</f>
        <v/>
      </c>
      <c r="AB23" s="21"/>
      <c r="AC23" s="21"/>
      <c r="AD23" s="22" t="str">
        <f aca="false">IF(B23="","",U23+W23+X23+Z23+IF(AB23&lt;&gt;"",N(AB23),AA23)+N(AC23))</f>
        <v/>
      </c>
      <c r="AE23" s="23" t="str">
        <f aca="false">IF(B23="","",Q23-AD23)</f>
        <v/>
      </c>
      <c r="AF23" s="22" t="str">
        <f aca="false">IF(B23="","",ROUND(T23*'Rates &amp; Settings'!$C$10,0)-AG23)</f>
        <v/>
      </c>
      <c r="AG23" s="22" t="str">
        <f aca="false">IF(B23="","",IF(H23="Yes",ROUND(MIN(T23,'Rates &amp; Settings'!$C$8)*'Rates &amp; Settings'!$C$11,0),0))</f>
        <v/>
      </c>
      <c r="AH23" s="22" t="str">
        <f aca="false">IF(B23="","",ROUND(MIN(T23,'Rates &amp; Settings'!$C$8)*'Rates &amp; Settings'!$C$12,0))</f>
        <v/>
      </c>
      <c r="AI23" s="22" t="str">
        <f aca="false">IF(B23="","",ROUND(T23*'Rates &amp; Settings'!$C$13,0))</f>
        <v/>
      </c>
      <c r="AJ23" s="22" t="str">
        <f aca="false">IF(B23="","",IF(V23="Yes",ROUNDUP(Q23*'Rates &amp; Settings'!$C$16,0),0))</f>
        <v/>
      </c>
      <c r="AK23" s="22" t="str">
        <f aca="false">IF(B23="","",IFERROR(IF(Z23=0,0,IF(INDEX('Rates &amp; Settings'!$C$75:$C$96,MATCH(E23,'Rates &amp; Settings'!$B$75:$B$96,0))="Percent",MIN(Z23*INDEX('Rates &amp; Settings'!$E$75:$E$96,MATCH(E23,'Rates &amp; Settings'!$B$75:$B$96,0)),INDEX('Rates &amp; Settings'!$G$75:$G$96,MATCH(E23,'Rates &amp; Settings'!$B$75:$B$96,0))),INDEX('Rates &amp; Settings'!$E$75:$E$96,MATCH(E23,'Rates &amp; Settings'!$B$75:$B$96,0)))),0))</f>
        <v/>
      </c>
      <c r="AL23" s="22" t="str">
        <f aca="false">IF(B23="","",Q23+AF23+AG23+AH23+AI23+AJ23+AK23)</f>
        <v/>
      </c>
      <c r="AM23" s="22" t="str">
        <f aca="false">IF(B23="","",MAX(0,P23*12-'Rates &amp; Settings'!$C$18))</f>
        <v/>
      </c>
      <c r="AN23" s="22" t="str">
        <f aca="false">IF(B23="","",IF(AM23&lt;='Rates &amp; Settings'!$C$19,0,MIN(SUMPRODUCT(--(AM23&gt;'Rates &amp; Settings'!$B$24:$B$30),AM23-'Rates &amp; Settings'!$B$24:$B$30,'Rates &amp; Settings'!$D$24:$D$30),AM23-'Rates &amp; Settings'!$C$19))*(1+'Rates &amp; Settings'!$C$20))</f>
        <v/>
      </c>
    </row>
    <row r="24" customFormat="false" ht="15" hidden="false" customHeight="false" outlineLevel="0" collapsed="false">
      <c r="B24" s="5"/>
      <c r="C24" s="5"/>
      <c r="D24" s="5"/>
      <c r="E24" s="5"/>
      <c r="F24" s="5"/>
      <c r="G24" s="5"/>
      <c r="H24" s="5"/>
      <c r="I24" s="20"/>
      <c r="J24" s="21"/>
      <c r="K24" s="21"/>
      <c r="L24" s="21"/>
      <c r="M24" s="21"/>
      <c r="N24" s="21"/>
      <c r="O24" s="21"/>
      <c r="P24" s="22" t="str">
        <f aca="false">IF(B24="","",SUM(J24:O24))</f>
        <v/>
      </c>
      <c r="Q24" s="22" t="str">
        <f aca="false">IF(B24="","",ROUND(P24*N(I24)/'Rates &amp; Settings'!$C$7,0))</f>
        <v/>
      </c>
      <c r="R24" s="22" t="str">
        <f aca="false">IF(B24="","",ROUND((N(J24)+N(K24))*N(I24)/'Rates &amp; Settings'!$C$7,0))</f>
        <v/>
      </c>
      <c r="S24" s="22" t="str">
        <f aca="false">IF(B24="","",IF('Rates &amp; Settings'!$C$14="Yes",MAX(R24,ROUND(Q24*0.5,0)),R24))</f>
        <v/>
      </c>
      <c r="T24" s="22" t="str">
        <f aca="false">IF(B24="","",IF(F24="Yes",IF(G24="Yes",MIN(S24,'Rates &amp; Settings'!$C$8),S24),0))</f>
        <v/>
      </c>
      <c r="U24" s="22" t="str">
        <f aca="false">IF(B24="","",ROUND(T24*'Rates &amp; Settings'!$C$9,0))</f>
        <v/>
      </c>
      <c r="V24" s="7" t="str">
        <f aca="false">IF(B24="","",IF(P24&lt;='Rates &amp; Settings'!$C$17,"Yes","No"))</f>
        <v/>
      </c>
      <c r="W24" s="22" t="str">
        <f aca="false">IF(B24="","",IF(V24="Yes",ROUNDUP(Q24*'Rates &amp; Settings'!$C$15,0),0))</f>
        <v/>
      </c>
      <c r="X24" s="22" t="str">
        <f aca="false">IF(B24="","",IF(Y24&lt;&gt;"",N(Y24),IF(MONTH('Rates &amp; Settings'!$C$6)=2,SUMIFS('Rates &amp; Settings'!$F$35:$F$70,'Rates &amp; Settings'!$B$35:$B$70,E24,'Rates &amp; Settings'!$C$35:$C$70,"&lt;="&amp;Q24,'Rates &amp; Settings'!$D$35:$D$70,"&gt;="&amp;Q24),SUMIFS('Rates &amp; Settings'!$E$35:$E$70,'Rates &amp; Settings'!$B$35:$B$70,E24,'Rates &amp; Settings'!$C$35:$C$70,"&lt;="&amp;Q24,'Rates &amp; Settings'!$D$35:$D$70,"&gt;="&amp;Q24))))</f>
        <v/>
      </c>
      <c r="Y24" s="21"/>
      <c r="Z24" s="22" t="str">
        <f aca="false">IF(B24="","",IFERROR(IF(OR(INDEX('Rates &amp; Settings'!$H$75:$H$96,MATCH(E24,'Rates &amp; Settings'!$B$75:$B$96,0))="All",ISNUMBER(SEARCH(","&amp;MONTH('Rates &amp; Settings'!$C$6)&amp;",",","&amp;INDEX('Rates &amp; Settings'!$H$75:$H$96,MATCH(E24,'Rates &amp; Settings'!$B$75:$B$96,0))&amp;","))),IF(INDEX('Rates &amp; Settings'!$C$75:$C$96,MATCH(E24,'Rates &amp; Settings'!$B$75:$B$96,0))="Percent",MIN(ROUND(Q24*INDEX('Rates &amp; Settings'!$D$75:$D$96,MATCH(E24,'Rates &amp; Settings'!$B$75:$B$96,0)),0),INDEX('Rates &amp; Settings'!$F$75:$F$96,MATCH(E24,'Rates &amp; Settings'!$B$75:$B$96,0))),INDEX('Rates &amp; Settings'!$D$75:$D$96,MATCH(E24,'Rates &amp; Settings'!$B$75:$B$96,0))),0),0))</f>
        <v/>
      </c>
      <c r="AA24" s="22" t="str">
        <f aca="false">IF(B24="","",ROUND(AN24/12,0))</f>
        <v/>
      </c>
      <c r="AB24" s="21"/>
      <c r="AC24" s="21"/>
      <c r="AD24" s="22" t="str">
        <f aca="false">IF(B24="","",U24+W24+X24+Z24+IF(AB24&lt;&gt;"",N(AB24),AA24)+N(AC24))</f>
        <v/>
      </c>
      <c r="AE24" s="23" t="str">
        <f aca="false">IF(B24="","",Q24-AD24)</f>
        <v/>
      </c>
      <c r="AF24" s="22" t="str">
        <f aca="false">IF(B24="","",ROUND(T24*'Rates &amp; Settings'!$C$10,0)-AG24)</f>
        <v/>
      </c>
      <c r="AG24" s="22" t="str">
        <f aca="false">IF(B24="","",IF(H24="Yes",ROUND(MIN(T24,'Rates &amp; Settings'!$C$8)*'Rates &amp; Settings'!$C$11,0),0))</f>
        <v/>
      </c>
      <c r="AH24" s="22" t="str">
        <f aca="false">IF(B24="","",ROUND(MIN(T24,'Rates &amp; Settings'!$C$8)*'Rates &amp; Settings'!$C$12,0))</f>
        <v/>
      </c>
      <c r="AI24" s="22" t="str">
        <f aca="false">IF(B24="","",ROUND(T24*'Rates &amp; Settings'!$C$13,0))</f>
        <v/>
      </c>
      <c r="AJ24" s="22" t="str">
        <f aca="false">IF(B24="","",IF(V24="Yes",ROUNDUP(Q24*'Rates &amp; Settings'!$C$16,0),0))</f>
        <v/>
      </c>
      <c r="AK24" s="22" t="str">
        <f aca="false">IF(B24="","",IFERROR(IF(Z24=0,0,IF(INDEX('Rates &amp; Settings'!$C$75:$C$96,MATCH(E24,'Rates &amp; Settings'!$B$75:$B$96,0))="Percent",MIN(Z24*INDEX('Rates &amp; Settings'!$E$75:$E$96,MATCH(E24,'Rates &amp; Settings'!$B$75:$B$96,0)),INDEX('Rates &amp; Settings'!$G$75:$G$96,MATCH(E24,'Rates &amp; Settings'!$B$75:$B$96,0))),INDEX('Rates &amp; Settings'!$E$75:$E$96,MATCH(E24,'Rates &amp; Settings'!$B$75:$B$96,0)))),0))</f>
        <v/>
      </c>
      <c r="AL24" s="22" t="str">
        <f aca="false">IF(B24="","",Q24+AF24+AG24+AH24+AI24+AJ24+AK24)</f>
        <v/>
      </c>
      <c r="AM24" s="22" t="str">
        <f aca="false">IF(B24="","",MAX(0,P24*12-'Rates &amp; Settings'!$C$18))</f>
        <v/>
      </c>
      <c r="AN24" s="22" t="str">
        <f aca="false">IF(B24="","",IF(AM24&lt;='Rates &amp; Settings'!$C$19,0,MIN(SUMPRODUCT(--(AM24&gt;'Rates &amp; Settings'!$B$24:$B$30),AM24-'Rates &amp; Settings'!$B$24:$B$30,'Rates &amp; Settings'!$D$24:$D$30),AM24-'Rates &amp; Settings'!$C$19))*(1+'Rates &amp; Settings'!$C$20))</f>
        <v/>
      </c>
    </row>
    <row r="25" customFormat="false" ht="15" hidden="false" customHeight="false" outlineLevel="0" collapsed="false">
      <c r="B25" s="5"/>
      <c r="C25" s="5"/>
      <c r="D25" s="5"/>
      <c r="E25" s="5"/>
      <c r="F25" s="5"/>
      <c r="G25" s="5"/>
      <c r="H25" s="5"/>
      <c r="I25" s="20"/>
      <c r="J25" s="21"/>
      <c r="K25" s="21"/>
      <c r="L25" s="21"/>
      <c r="M25" s="21"/>
      <c r="N25" s="21"/>
      <c r="O25" s="21"/>
      <c r="P25" s="22" t="str">
        <f aca="false">IF(B25="","",SUM(J25:O25))</f>
        <v/>
      </c>
      <c r="Q25" s="22" t="str">
        <f aca="false">IF(B25="","",ROUND(P25*N(I25)/'Rates &amp; Settings'!$C$7,0))</f>
        <v/>
      </c>
      <c r="R25" s="22" t="str">
        <f aca="false">IF(B25="","",ROUND((N(J25)+N(K25))*N(I25)/'Rates &amp; Settings'!$C$7,0))</f>
        <v/>
      </c>
      <c r="S25" s="22" t="str">
        <f aca="false">IF(B25="","",IF('Rates &amp; Settings'!$C$14="Yes",MAX(R25,ROUND(Q25*0.5,0)),R25))</f>
        <v/>
      </c>
      <c r="T25" s="22" t="str">
        <f aca="false">IF(B25="","",IF(F25="Yes",IF(G25="Yes",MIN(S25,'Rates &amp; Settings'!$C$8),S25),0))</f>
        <v/>
      </c>
      <c r="U25" s="22" t="str">
        <f aca="false">IF(B25="","",ROUND(T25*'Rates &amp; Settings'!$C$9,0))</f>
        <v/>
      </c>
      <c r="V25" s="7" t="str">
        <f aca="false">IF(B25="","",IF(P25&lt;='Rates &amp; Settings'!$C$17,"Yes","No"))</f>
        <v/>
      </c>
      <c r="W25" s="22" t="str">
        <f aca="false">IF(B25="","",IF(V25="Yes",ROUNDUP(Q25*'Rates &amp; Settings'!$C$15,0),0))</f>
        <v/>
      </c>
      <c r="X25" s="22" t="str">
        <f aca="false">IF(B25="","",IF(Y25&lt;&gt;"",N(Y25),IF(MONTH('Rates &amp; Settings'!$C$6)=2,SUMIFS('Rates &amp; Settings'!$F$35:$F$70,'Rates &amp; Settings'!$B$35:$B$70,E25,'Rates &amp; Settings'!$C$35:$C$70,"&lt;="&amp;Q25,'Rates &amp; Settings'!$D$35:$D$70,"&gt;="&amp;Q25),SUMIFS('Rates &amp; Settings'!$E$35:$E$70,'Rates &amp; Settings'!$B$35:$B$70,E25,'Rates &amp; Settings'!$C$35:$C$70,"&lt;="&amp;Q25,'Rates &amp; Settings'!$D$35:$D$70,"&gt;="&amp;Q25))))</f>
        <v/>
      </c>
      <c r="Y25" s="21"/>
      <c r="Z25" s="22" t="str">
        <f aca="false">IF(B25="","",IFERROR(IF(OR(INDEX('Rates &amp; Settings'!$H$75:$H$96,MATCH(E25,'Rates &amp; Settings'!$B$75:$B$96,0))="All",ISNUMBER(SEARCH(","&amp;MONTH('Rates &amp; Settings'!$C$6)&amp;",",","&amp;INDEX('Rates &amp; Settings'!$H$75:$H$96,MATCH(E25,'Rates &amp; Settings'!$B$75:$B$96,0))&amp;","))),IF(INDEX('Rates &amp; Settings'!$C$75:$C$96,MATCH(E25,'Rates &amp; Settings'!$B$75:$B$96,0))="Percent",MIN(ROUND(Q25*INDEX('Rates &amp; Settings'!$D$75:$D$96,MATCH(E25,'Rates &amp; Settings'!$B$75:$B$96,0)),0),INDEX('Rates &amp; Settings'!$F$75:$F$96,MATCH(E25,'Rates &amp; Settings'!$B$75:$B$96,0))),INDEX('Rates &amp; Settings'!$D$75:$D$96,MATCH(E25,'Rates &amp; Settings'!$B$75:$B$96,0))),0),0))</f>
        <v/>
      </c>
      <c r="AA25" s="22" t="str">
        <f aca="false">IF(B25="","",ROUND(AN25/12,0))</f>
        <v/>
      </c>
      <c r="AB25" s="21"/>
      <c r="AC25" s="21"/>
      <c r="AD25" s="22" t="str">
        <f aca="false">IF(B25="","",U25+W25+X25+Z25+IF(AB25&lt;&gt;"",N(AB25),AA25)+N(AC25))</f>
        <v/>
      </c>
      <c r="AE25" s="23" t="str">
        <f aca="false">IF(B25="","",Q25-AD25)</f>
        <v/>
      </c>
      <c r="AF25" s="22" t="str">
        <f aca="false">IF(B25="","",ROUND(T25*'Rates &amp; Settings'!$C$10,0)-AG25)</f>
        <v/>
      </c>
      <c r="AG25" s="22" t="str">
        <f aca="false">IF(B25="","",IF(H25="Yes",ROUND(MIN(T25,'Rates &amp; Settings'!$C$8)*'Rates &amp; Settings'!$C$11,0),0))</f>
        <v/>
      </c>
      <c r="AH25" s="22" t="str">
        <f aca="false">IF(B25="","",ROUND(MIN(T25,'Rates &amp; Settings'!$C$8)*'Rates &amp; Settings'!$C$12,0))</f>
        <v/>
      </c>
      <c r="AI25" s="22" t="str">
        <f aca="false">IF(B25="","",ROUND(T25*'Rates &amp; Settings'!$C$13,0))</f>
        <v/>
      </c>
      <c r="AJ25" s="22" t="str">
        <f aca="false">IF(B25="","",IF(V25="Yes",ROUNDUP(Q25*'Rates &amp; Settings'!$C$16,0),0))</f>
        <v/>
      </c>
      <c r="AK25" s="22" t="str">
        <f aca="false">IF(B25="","",IFERROR(IF(Z25=0,0,IF(INDEX('Rates &amp; Settings'!$C$75:$C$96,MATCH(E25,'Rates &amp; Settings'!$B$75:$B$96,0))="Percent",MIN(Z25*INDEX('Rates &amp; Settings'!$E$75:$E$96,MATCH(E25,'Rates &amp; Settings'!$B$75:$B$96,0)),INDEX('Rates &amp; Settings'!$G$75:$G$96,MATCH(E25,'Rates &amp; Settings'!$B$75:$B$96,0))),INDEX('Rates &amp; Settings'!$E$75:$E$96,MATCH(E25,'Rates &amp; Settings'!$B$75:$B$96,0)))),0))</f>
        <v/>
      </c>
      <c r="AL25" s="22" t="str">
        <f aca="false">IF(B25="","",Q25+AF25+AG25+AH25+AI25+AJ25+AK25)</f>
        <v/>
      </c>
      <c r="AM25" s="22" t="str">
        <f aca="false">IF(B25="","",MAX(0,P25*12-'Rates &amp; Settings'!$C$18))</f>
        <v/>
      </c>
      <c r="AN25" s="22" t="str">
        <f aca="false">IF(B25="","",IF(AM25&lt;='Rates &amp; Settings'!$C$19,0,MIN(SUMPRODUCT(--(AM25&gt;'Rates &amp; Settings'!$B$24:$B$30),AM25-'Rates &amp; Settings'!$B$24:$B$30,'Rates &amp; Settings'!$D$24:$D$30),AM25-'Rates &amp; Settings'!$C$19))*(1+'Rates &amp; Settings'!$C$20))</f>
        <v/>
      </c>
    </row>
    <row r="26" customFormat="false" ht="15" hidden="false" customHeight="false" outlineLevel="0" collapsed="false">
      <c r="B26" s="5"/>
      <c r="C26" s="5"/>
      <c r="D26" s="5"/>
      <c r="E26" s="5"/>
      <c r="F26" s="5"/>
      <c r="G26" s="5"/>
      <c r="H26" s="5"/>
      <c r="I26" s="20"/>
      <c r="J26" s="21"/>
      <c r="K26" s="21"/>
      <c r="L26" s="21"/>
      <c r="M26" s="21"/>
      <c r="N26" s="21"/>
      <c r="O26" s="21"/>
      <c r="P26" s="22" t="str">
        <f aca="false">IF(B26="","",SUM(J26:O26))</f>
        <v/>
      </c>
      <c r="Q26" s="22" t="str">
        <f aca="false">IF(B26="","",ROUND(P26*N(I26)/'Rates &amp; Settings'!$C$7,0))</f>
        <v/>
      </c>
      <c r="R26" s="22" t="str">
        <f aca="false">IF(B26="","",ROUND((N(J26)+N(K26))*N(I26)/'Rates &amp; Settings'!$C$7,0))</f>
        <v/>
      </c>
      <c r="S26" s="22" t="str">
        <f aca="false">IF(B26="","",IF('Rates &amp; Settings'!$C$14="Yes",MAX(R26,ROUND(Q26*0.5,0)),R26))</f>
        <v/>
      </c>
      <c r="T26" s="22" t="str">
        <f aca="false">IF(B26="","",IF(F26="Yes",IF(G26="Yes",MIN(S26,'Rates &amp; Settings'!$C$8),S26),0))</f>
        <v/>
      </c>
      <c r="U26" s="22" t="str">
        <f aca="false">IF(B26="","",ROUND(T26*'Rates &amp; Settings'!$C$9,0))</f>
        <v/>
      </c>
      <c r="V26" s="7" t="str">
        <f aca="false">IF(B26="","",IF(P26&lt;='Rates &amp; Settings'!$C$17,"Yes","No"))</f>
        <v/>
      </c>
      <c r="W26" s="22" t="str">
        <f aca="false">IF(B26="","",IF(V26="Yes",ROUNDUP(Q26*'Rates &amp; Settings'!$C$15,0),0))</f>
        <v/>
      </c>
      <c r="X26" s="22" t="str">
        <f aca="false">IF(B26="","",IF(Y26&lt;&gt;"",N(Y26),IF(MONTH('Rates &amp; Settings'!$C$6)=2,SUMIFS('Rates &amp; Settings'!$F$35:$F$70,'Rates &amp; Settings'!$B$35:$B$70,E26,'Rates &amp; Settings'!$C$35:$C$70,"&lt;="&amp;Q26,'Rates &amp; Settings'!$D$35:$D$70,"&gt;="&amp;Q26),SUMIFS('Rates &amp; Settings'!$E$35:$E$70,'Rates &amp; Settings'!$B$35:$B$70,E26,'Rates &amp; Settings'!$C$35:$C$70,"&lt;="&amp;Q26,'Rates &amp; Settings'!$D$35:$D$70,"&gt;="&amp;Q26))))</f>
        <v/>
      </c>
      <c r="Y26" s="21"/>
      <c r="Z26" s="22" t="str">
        <f aca="false">IF(B26="","",IFERROR(IF(OR(INDEX('Rates &amp; Settings'!$H$75:$H$96,MATCH(E26,'Rates &amp; Settings'!$B$75:$B$96,0))="All",ISNUMBER(SEARCH(","&amp;MONTH('Rates &amp; Settings'!$C$6)&amp;",",","&amp;INDEX('Rates &amp; Settings'!$H$75:$H$96,MATCH(E26,'Rates &amp; Settings'!$B$75:$B$96,0))&amp;","))),IF(INDEX('Rates &amp; Settings'!$C$75:$C$96,MATCH(E26,'Rates &amp; Settings'!$B$75:$B$96,0))="Percent",MIN(ROUND(Q26*INDEX('Rates &amp; Settings'!$D$75:$D$96,MATCH(E26,'Rates &amp; Settings'!$B$75:$B$96,0)),0),INDEX('Rates &amp; Settings'!$F$75:$F$96,MATCH(E26,'Rates &amp; Settings'!$B$75:$B$96,0))),INDEX('Rates &amp; Settings'!$D$75:$D$96,MATCH(E26,'Rates &amp; Settings'!$B$75:$B$96,0))),0),0))</f>
        <v/>
      </c>
      <c r="AA26" s="22" t="str">
        <f aca="false">IF(B26="","",ROUND(AN26/12,0))</f>
        <v/>
      </c>
      <c r="AB26" s="21"/>
      <c r="AC26" s="21"/>
      <c r="AD26" s="22" t="str">
        <f aca="false">IF(B26="","",U26+W26+X26+Z26+IF(AB26&lt;&gt;"",N(AB26),AA26)+N(AC26))</f>
        <v/>
      </c>
      <c r="AE26" s="23" t="str">
        <f aca="false">IF(B26="","",Q26-AD26)</f>
        <v/>
      </c>
      <c r="AF26" s="22" t="str">
        <f aca="false">IF(B26="","",ROUND(T26*'Rates &amp; Settings'!$C$10,0)-AG26)</f>
        <v/>
      </c>
      <c r="AG26" s="22" t="str">
        <f aca="false">IF(B26="","",IF(H26="Yes",ROUND(MIN(T26,'Rates &amp; Settings'!$C$8)*'Rates &amp; Settings'!$C$11,0),0))</f>
        <v/>
      </c>
      <c r="AH26" s="22" t="str">
        <f aca="false">IF(B26="","",ROUND(MIN(T26,'Rates &amp; Settings'!$C$8)*'Rates &amp; Settings'!$C$12,0))</f>
        <v/>
      </c>
      <c r="AI26" s="22" t="str">
        <f aca="false">IF(B26="","",ROUND(T26*'Rates &amp; Settings'!$C$13,0))</f>
        <v/>
      </c>
      <c r="AJ26" s="22" t="str">
        <f aca="false">IF(B26="","",IF(V26="Yes",ROUNDUP(Q26*'Rates &amp; Settings'!$C$16,0),0))</f>
        <v/>
      </c>
      <c r="AK26" s="22" t="str">
        <f aca="false">IF(B26="","",IFERROR(IF(Z26=0,0,IF(INDEX('Rates &amp; Settings'!$C$75:$C$96,MATCH(E26,'Rates &amp; Settings'!$B$75:$B$96,0))="Percent",MIN(Z26*INDEX('Rates &amp; Settings'!$E$75:$E$96,MATCH(E26,'Rates &amp; Settings'!$B$75:$B$96,0)),INDEX('Rates &amp; Settings'!$G$75:$G$96,MATCH(E26,'Rates &amp; Settings'!$B$75:$B$96,0))),INDEX('Rates &amp; Settings'!$E$75:$E$96,MATCH(E26,'Rates &amp; Settings'!$B$75:$B$96,0)))),0))</f>
        <v/>
      </c>
      <c r="AL26" s="22" t="str">
        <f aca="false">IF(B26="","",Q26+AF26+AG26+AH26+AI26+AJ26+AK26)</f>
        <v/>
      </c>
      <c r="AM26" s="22" t="str">
        <f aca="false">IF(B26="","",MAX(0,P26*12-'Rates &amp; Settings'!$C$18))</f>
        <v/>
      </c>
      <c r="AN26" s="22" t="str">
        <f aca="false">IF(B26="","",IF(AM26&lt;='Rates &amp; Settings'!$C$19,0,MIN(SUMPRODUCT(--(AM26&gt;'Rates &amp; Settings'!$B$24:$B$30),AM26-'Rates &amp; Settings'!$B$24:$B$30,'Rates &amp; Settings'!$D$24:$D$30),AM26-'Rates &amp; Settings'!$C$19))*(1+'Rates &amp; Settings'!$C$20))</f>
        <v/>
      </c>
    </row>
    <row r="27" customFormat="false" ht="15" hidden="false" customHeight="false" outlineLevel="0" collapsed="false">
      <c r="B27" s="5"/>
      <c r="C27" s="5"/>
      <c r="D27" s="5"/>
      <c r="E27" s="5"/>
      <c r="F27" s="5"/>
      <c r="G27" s="5"/>
      <c r="H27" s="5"/>
      <c r="I27" s="20"/>
      <c r="J27" s="21"/>
      <c r="K27" s="21"/>
      <c r="L27" s="21"/>
      <c r="M27" s="21"/>
      <c r="N27" s="21"/>
      <c r="O27" s="21"/>
      <c r="P27" s="22" t="str">
        <f aca="false">IF(B27="","",SUM(J27:O27))</f>
        <v/>
      </c>
      <c r="Q27" s="22" t="str">
        <f aca="false">IF(B27="","",ROUND(P27*N(I27)/'Rates &amp; Settings'!$C$7,0))</f>
        <v/>
      </c>
      <c r="R27" s="22" t="str">
        <f aca="false">IF(B27="","",ROUND((N(J27)+N(K27))*N(I27)/'Rates &amp; Settings'!$C$7,0))</f>
        <v/>
      </c>
      <c r="S27" s="22" t="str">
        <f aca="false">IF(B27="","",IF('Rates &amp; Settings'!$C$14="Yes",MAX(R27,ROUND(Q27*0.5,0)),R27))</f>
        <v/>
      </c>
      <c r="T27" s="22" t="str">
        <f aca="false">IF(B27="","",IF(F27="Yes",IF(G27="Yes",MIN(S27,'Rates &amp; Settings'!$C$8),S27),0))</f>
        <v/>
      </c>
      <c r="U27" s="22" t="str">
        <f aca="false">IF(B27="","",ROUND(T27*'Rates &amp; Settings'!$C$9,0))</f>
        <v/>
      </c>
      <c r="V27" s="7" t="str">
        <f aca="false">IF(B27="","",IF(P27&lt;='Rates &amp; Settings'!$C$17,"Yes","No"))</f>
        <v/>
      </c>
      <c r="W27" s="22" t="str">
        <f aca="false">IF(B27="","",IF(V27="Yes",ROUNDUP(Q27*'Rates &amp; Settings'!$C$15,0),0))</f>
        <v/>
      </c>
      <c r="X27" s="22" t="str">
        <f aca="false">IF(B27="","",IF(Y27&lt;&gt;"",N(Y27),IF(MONTH('Rates &amp; Settings'!$C$6)=2,SUMIFS('Rates &amp; Settings'!$F$35:$F$70,'Rates &amp; Settings'!$B$35:$B$70,E27,'Rates &amp; Settings'!$C$35:$C$70,"&lt;="&amp;Q27,'Rates &amp; Settings'!$D$35:$D$70,"&gt;="&amp;Q27),SUMIFS('Rates &amp; Settings'!$E$35:$E$70,'Rates &amp; Settings'!$B$35:$B$70,E27,'Rates &amp; Settings'!$C$35:$C$70,"&lt;="&amp;Q27,'Rates &amp; Settings'!$D$35:$D$70,"&gt;="&amp;Q27))))</f>
        <v/>
      </c>
      <c r="Y27" s="21"/>
      <c r="Z27" s="22" t="str">
        <f aca="false">IF(B27="","",IFERROR(IF(OR(INDEX('Rates &amp; Settings'!$H$75:$H$96,MATCH(E27,'Rates &amp; Settings'!$B$75:$B$96,0))="All",ISNUMBER(SEARCH(","&amp;MONTH('Rates &amp; Settings'!$C$6)&amp;",",","&amp;INDEX('Rates &amp; Settings'!$H$75:$H$96,MATCH(E27,'Rates &amp; Settings'!$B$75:$B$96,0))&amp;","))),IF(INDEX('Rates &amp; Settings'!$C$75:$C$96,MATCH(E27,'Rates &amp; Settings'!$B$75:$B$96,0))="Percent",MIN(ROUND(Q27*INDEX('Rates &amp; Settings'!$D$75:$D$96,MATCH(E27,'Rates &amp; Settings'!$B$75:$B$96,0)),0),INDEX('Rates &amp; Settings'!$F$75:$F$96,MATCH(E27,'Rates &amp; Settings'!$B$75:$B$96,0))),INDEX('Rates &amp; Settings'!$D$75:$D$96,MATCH(E27,'Rates &amp; Settings'!$B$75:$B$96,0))),0),0))</f>
        <v/>
      </c>
      <c r="AA27" s="22" t="str">
        <f aca="false">IF(B27="","",ROUND(AN27/12,0))</f>
        <v/>
      </c>
      <c r="AB27" s="21"/>
      <c r="AC27" s="21"/>
      <c r="AD27" s="22" t="str">
        <f aca="false">IF(B27="","",U27+W27+X27+Z27+IF(AB27&lt;&gt;"",N(AB27),AA27)+N(AC27))</f>
        <v/>
      </c>
      <c r="AE27" s="23" t="str">
        <f aca="false">IF(B27="","",Q27-AD27)</f>
        <v/>
      </c>
      <c r="AF27" s="22" t="str">
        <f aca="false">IF(B27="","",ROUND(T27*'Rates &amp; Settings'!$C$10,0)-AG27)</f>
        <v/>
      </c>
      <c r="AG27" s="22" t="str">
        <f aca="false">IF(B27="","",IF(H27="Yes",ROUND(MIN(T27,'Rates &amp; Settings'!$C$8)*'Rates &amp; Settings'!$C$11,0),0))</f>
        <v/>
      </c>
      <c r="AH27" s="22" t="str">
        <f aca="false">IF(B27="","",ROUND(MIN(T27,'Rates &amp; Settings'!$C$8)*'Rates &amp; Settings'!$C$12,0))</f>
        <v/>
      </c>
      <c r="AI27" s="22" t="str">
        <f aca="false">IF(B27="","",ROUND(T27*'Rates &amp; Settings'!$C$13,0))</f>
        <v/>
      </c>
      <c r="AJ27" s="22" t="str">
        <f aca="false">IF(B27="","",IF(V27="Yes",ROUNDUP(Q27*'Rates &amp; Settings'!$C$16,0),0))</f>
        <v/>
      </c>
      <c r="AK27" s="22" t="str">
        <f aca="false">IF(B27="","",IFERROR(IF(Z27=0,0,IF(INDEX('Rates &amp; Settings'!$C$75:$C$96,MATCH(E27,'Rates &amp; Settings'!$B$75:$B$96,0))="Percent",MIN(Z27*INDEX('Rates &amp; Settings'!$E$75:$E$96,MATCH(E27,'Rates &amp; Settings'!$B$75:$B$96,0)),INDEX('Rates &amp; Settings'!$G$75:$G$96,MATCH(E27,'Rates &amp; Settings'!$B$75:$B$96,0))),INDEX('Rates &amp; Settings'!$E$75:$E$96,MATCH(E27,'Rates &amp; Settings'!$B$75:$B$96,0)))),0))</f>
        <v/>
      </c>
      <c r="AL27" s="22" t="str">
        <f aca="false">IF(B27="","",Q27+AF27+AG27+AH27+AI27+AJ27+AK27)</f>
        <v/>
      </c>
      <c r="AM27" s="22" t="str">
        <f aca="false">IF(B27="","",MAX(0,P27*12-'Rates &amp; Settings'!$C$18))</f>
        <v/>
      </c>
      <c r="AN27" s="22" t="str">
        <f aca="false">IF(B27="","",IF(AM27&lt;='Rates &amp; Settings'!$C$19,0,MIN(SUMPRODUCT(--(AM27&gt;'Rates &amp; Settings'!$B$24:$B$30),AM27-'Rates &amp; Settings'!$B$24:$B$30,'Rates &amp; Settings'!$D$24:$D$30),AM27-'Rates &amp; Settings'!$C$19))*(1+'Rates &amp; Settings'!$C$20))</f>
        <v/>
      </c>
    </row>
    <row r="28" customFormat="false" ht="15" hidden="false" customHeight="false" outlineLevel="0" collapsed="false">
      <c r="B28" s="5"/>
      <c r="C28" s="5"/>
      <c r="D28" s="5"/>
      <c r="E28" s="5"/>
      <c r="F28" s="5"/>
      <c r="G28" s="5"/>
      <c r="H28" s="5"/>
      <c r="I28" s="20"/>
      <c r="J28" s="21"/>
      <c r="K28" s="21"/>
      <c r="L28" s="21"/>
      <c r="M28" s="21"/>
      <c r="N28" s="21"/>
      <c r="O28" s="21"/>
      <c r="P28" s="22" t="str">
        <f aca="false">IF(B28="","",SUM(J28:O28))</f>
        <v/>
      </c>
      <c r="Q28" s="22" t="str">
        <f aca="false">IF(B28="","",ROUND(P28*N(I28)/'Rates &amp; Settings'!$C$7,0))</f>
        <v/>
      </c>
      <c r="R28" s="22" t="str">
        <f aca="false">IF(B28="","",ROUND((N(J28)+N(K28))*N(I28)/'Rates &amp; Settings'!$C$7,0))</f>
        <v/>
      </c>
      <c r="S28" s="22" t="str">
        <f aca="false">IF(B28="","",IF('Rates &amp; Settings'!$C$14="Yes",MAX(R28,ROUND(Q28*0.5,0)),R28))</f>
        <v/>
      </c>
      <c r="T28" s="22" t="str">
        <f aca="false">IF(B28="","",IF(F28="Yes",IF(G28="Yes",MIN(S28,'Rates &amp; Settings'!$C$8),S28),0))</f>
        <v/>
      </c>
      <c r="U28" s="22" t="str">
        <f aca="false">IF(B28="","",ROUND(T28*'Rates &amp; Settings'!$C$9,0))</f>
        <v/>
      </c>
      <c r="V28" s="7" t="str">
        <f aca="false">IF(B28="","",IF(P28&lt;='Rates &amp; Settings'!$C$17,"Yes","No"))</f>
        <v/>
      </c>
      <c r="W28" s="22" t="str">
        <f aca="false">IF(B28="","",IF(V28="Yes",ROUNDUP(Q28*'Rates &amp; Settings'!$C$15,0),0))</f>
        <v/>
      </c>
      <c r="X28" s="22" t="str">
        <f aca="false">IF(B28="","",IF(Y28&lt;&gt;"",N(Y28),IF(MONTH('Rates &amp; Settings'!$C$6)=2,SUMIFS('Rates &amp; Settings'!$F$35:$F$70,'Rates &amp; Settings'!$B$35:$B$70,E28,'Rates &amp; Settings'!$C$35:$C$70,"&lt;="&amp;Q28,'Rates &amp; Settings'!$D$35:$D$70,"&gt;="&amp;Q28),SUMIFS('Rates &amp; Settings'!$E$35:$E$70,'Rates &amp; Settings'!$B$35:$B$70,E28,'Rates &amp; Settings'!$C$35:$C$70,"&lt;="&amp;Q28,'Rates &amp; Settings'!$D$35:$D$70,"&gt;="&amp;Q28))))</f>
        <v/>
      </c>
      <c r="Y28" s="21"/>
      <c r="Z28" s="22" t="str">
        <f aca="false">IF(B28="","",IFERROR(IF(OR(INDEX('Rates &amp; Settings'!$H$75:$H$96,MATCH(E28,'Rates &amp; Settings'!$B$75:$B$96,0))="All",ISNUMBER(SEARCH(","&amp;MONTH('Rates &amp; Settings'!$C$6)&amp;",",","&amp;INDEX('Rates &amp; Settings'!$H$75:$H$96,MATCH(E28,'Rates &amp; Settings'!$B$75:$B$96,0))&amp;","))),IF(INDEX('Rates &amp; Settings'!$C$75:$C$96,MATCH(E28,'Rates &amp; Settings'!$B$75:$B$96,0))="Percent",MIN(ROUND(Q28*INDEX('Rates &amp; Settings'!$D$75:$D$96,MATCH(E28,'Rates &amp; Settings'!$B$75:$B$96,0)),0),INDEX('Rates &amp; Settings'!$F$75:$F$96,MATCH(E28,'Rates &amp; Settings'!$B$75:$B$96,0))),INDEX('Rates &amp; Settings'!$D$75:$D$96,MATCH(E28,'Rates &amp; Settings'!$B$75:$B$96,0))),0),0))</f>
        <v/>
      </c>
      <c r="AA28" s="22" t="str">
        <f aca="false">IF(B28="","",ROUND(AN28/12,0))</f>
        <v/>
      </c>
      <c r="AB28" s="21"/>
      <c r="AC28" s="21"/>
      <c r="AD28" s="22" t="str">
        <f aca="false">IF(B28="","",U28+W28+X28+Z28+IF(AB28&lt;&gt;"",N(AB28),AA28)+N(AC28))</f>
        <v/>
      </c>
      <c r="AE28" s="23" t="str">
        <f aca="false">IF(B28="","",Q28-AD28)</f>
        <v/>
      </c>
      <c r="AF28" s="22" t="str">
        <f aca="false">IF(B28="","",ROUND(T28*'Rates &amp; Settings'!$C$10,0)-AG28)</f>
        <v/>
      </c>
      <c r="AG28" s="22" t="str">
        <f aca="false">IF(B28="","",IF(H28="Yes",ROUND(MIN(T28,'Rates &amp; Settings'!$C$8)*'Rates &amp; Settings'!$C$11,0),0))</f>
        <v/>
      </c>
      <c r="AH28" s="22" t="str">
        <f aca="false">IF(B28="","",ROUND(MIN(T28,'Rates &amp; Settings'!$C$8)*'Rates &amp; Settings'!$C$12,0))</f>
        <v/>
      </c>
      <c r="AI28" s="22" t="str">
        <f aca="false">IF(B28="","",ROUND(T28*'Rates &amp; Settings'!$C$13,0))</f>
        <v/>
      </c>
      <c r="AJ28" s="22" t="str">
        <f aca="false">IF(B28="","",IF(V28="Yes",ROUNDUP(Q28*'Rates &amp; Settings'!$C$16,0),0))</f>
        <v/>
      </c>
      <c r="AK28" s="22" t="str">
        <f aca="false">IF(B28="","",IFERROR(IF(Z28=0,0,IF(INDEX('Rates &amp; Settings'!$C$75:$C$96,MATCH(E28,'Rates &amp; Settings'!$B$75:$B$96,0))="Percent",MIN(Z28*INDEX('Rates &amp; Settings'!$E$75:$E$96,MATCH(E28,'Rates &amp; Settings'!$B$75:$B$96,0)),INDEX('Rates &amp; Settings'!$G$75:$G$96,MATCH(E28,'Rates &amp; Settings'!$B$75:$B$96,0))),INDEX('Rates &amp; Settings'!$E$75:$E$96,MATCH(E28,'Rates &amp; Settings'!$B$75:$B$96,0)))),0))</f>
        <v/>
      </c>
      <c r="AL28" s="22" t="str">
        <f aca="false">IF(B28="","",Q28+AF28+AG28+AH28+AI28+AJ28+AK28)</f>
        <v/>
      </c>
      <c r="AM28" s="22" t="str">
        <f aca="false">IF(B28="","",MAX(0,P28*12-'Rates &amp; Settings'!$C$18))</f>
        <v/>
      </c>
      <c r="AN28" s="22" t="str">
        <f aca="false">IF(B28="","",IF(AM28&lt;='Rates &amp; Settings'!$C$19,0,MIN(SUMPRODUCT(--(AM28&gt;'Rates &amp; Settings'!$B$24:$B$30),AM28-'Rates &amp; Settings'!$B$24:$B$30,'Rates &amp; Settings'!$D$24:$D$30),AM28-'Rates &amp; Settings'!$C$19))*(1+'Rates &amp; Settings'!$C$20))</f>
        <v/>
      </c>
    </row>
    <row r="29" customFormat="false" ht="15" hidden="false" customHeight="false" outlineLevel="0" collapsed="false">
      <c r="B29" s="5"/>
      <c r="C29" s="5"/>
      <c r="D29" s="5"/>
      <c r="E29" s="5"/>
      <c r="F29" s="5"/>
      <c r="G29" s="5"/>
      <c r="H29" s="5"/>
      <c r="I29" s="20"/>
      <c r="J29" s="21"/>
      <c r="K29" s="21"/>
      <c r="L29" s="21"/>
      <c r="M29" s="21"/>
      <c r="N29" s="21"/>
      <c r="O29" s="21"/>
      <c r="P29" s="22" t="str">
        <f aca="false">IF(B29="","",SUM(J29:O29))</f>
        <v/>
      </c>
      <c r="Q29" s="22" t="str">
        <f aca="false">IF(B29="","",ROUND(P29*N(I29)/'Rates &amp; Settings'!$C$7,0))</f>
        <v/>
      </c>
      <c r="R29" s="22" t="str">
        <f aca="false">IF(B29="","",ROUND((N(J29)+N(K29))*N(I29)/'Rates &amp; Settings'!$C$7,0))</f>
        <v/>
      </c>
      <c r="S29" s="22" t="str">
        <f aca="false">IF(B29="","",IF('Rates &amp; Settings'!$C$14="Yes",MAX(R29,ROUND(Q29*0.5,0)),R29))</f>
        <v/>
      </c>
      <c r="T29" s="22" t="str">
        <f aca="false">IF(B29="","",IF(F29="Yes",IF(G29="Yes",MIN(S29,'Rates &amp; Settings'!$C$8),S29),0))</f>
        <v/>
      </c>
      <c r="U29" s="22" t="str">
        <f aca="false">IF(B29="","",ROUND(T29*'Rates &amp; Settings'!$C$9,0))</f>
        <v/>
      </c>
      <c r="V29" s="7" t="str">
        <f aca="false">IF(B29="","",IF(P29&lt;='Rates &amp; Settings'!$C$17,"Yes","No"))</f>
        <v/>
      </c>
      <c r="W29" s="22" t="str">
        <f aca="false">IF(B29="","",IF(V29="Yes",ROUNDUP(Q29*'Rates &amp; Settings'!$C$15,0),0))</f>
        <v/>
      </c>
      <c r="X29" s="22" t="str">
        <f aca="false">IF(B29="","",IF(Y29&lt;&gt;"",N(Y29),IF(MONTH('Rates &amp; Settings'!$C$6)=2,SUMIFS('Rates &amp; Settings'!$F$35:$F$70,'Rates &amp; Settings'!$B$35:$B$70,E29,'Rates &amp; Settings'!$C$35:$C$70,"&lt;="&amp;Q29,'Rates &amp; Settings'!$D$35:$D$70,"&gt;="&amp;Q29),SUMIFS('Rates &amp; Settings'!$E$35:$E$70,'Rates &amp; Settings'!$B$35:$B$70,E29,'Rates &amp; Settings'!$C$35:$C$70,"&lt;="&amp;Q29,'Rates &amp; Settings'!$D$35:$D$70,"&gt;="&amp;Q29))))</f>
        <v/>
      </c>
      <c r="Y29" s="21"/>
      <c r="Z29" s="22" t="str">
        <f aca="false">IF(B29="","",IFERROR(IF(OR(INDEX('Rates &amp; Settings'!$H$75:$H$96,MATCH(E29,'Rates &amp; Settings'!$B$75:$B$96,0))="All",ISNUMBER(SEARCH(","&amp;MONTH('Rates &amp; Settings'!$C$6)&amp;",",","&amp;INDEX('Rates &amp; Settings'!$H$75:$H$96,MATCH(E29,'Rates &amp; Settings'!$B$75:$B$96,0))&amp;","))),IF(INDEX('Rates &amp; Settings'!$C$75:$C$96,MATCH(E29,'Rates &amp; Settings'!$B$75:$B$96,0))="Percent",MIN(ROUND(Q29*INDEX('Rates &amp; Settings'!$D$75:$D$96,MATCH(E29,'Rates &amp; Settings'!$B$75:$B$96,0)),0),INDEX('Rates &amp; Settings'!$F$75:$F$96,MATCH(E29,'Rates &amp; Settings'!$B$75:$B$96,0))),INDEX('Rates &amp; Settings'!$D$75:$D$96,MATCH(E29,'Rates &amp; Settings'!$B$75:$B$96,0))),0),0))</f>
        <v/>
      </c>
      <c r="AA29" s="22" t="str">
        <f aca="false">IF(B29="","",ROUND(AN29/12,0))</f>
        <v/>
      </c>
      <c r="AB29" s="21"/>
      <c r="AC29" s="21"/>
      <c r="AD29" s="22" t="str">
        <f aca="false">IF(B29="","",U29+W29+X29+Z29+IF(AB29&lt;&gt;"",N(AB29),AA29)+N(AC29))</f>
        <v/>
      </c>
      <c r="AE29" s="23" t="str">
        <f aca="false">IF(B29="","",Q29-AD29)</f>
        <v/>
      </c>
      <c r="AF29" s="22" t="str">
        <f aca="false">IF(B29="","",ROUND(T29*'Rates &amp; Settings'!$C$10,0)-AG29)</f>
        <v/>
      </c>
      <c r="AG29" s="22" t="str">
        <f aca="false">IF(B29="","",IF(H29="Yes",ROUND(MIN(T29,'Rates &amp; Settings'!$C$8)*'Rates &amp; Settings'!$C$11,0),0))</f>
        <v/>
      </c>
      <c r="AH29" s="22" t="str">
        <f aca="false">IF(B29="","",ROUND(MIN(T29,'Rates &amp; Settings'!$C$8)*'Rates &amp; Settings'!$C$12,0))</f>
        <v/>
      </c>
      <c r="AI29" s="22" t="str">
        <f aca="false">IF(B29="","",ROUND(T29*'Rates &amp; Settings'!$C$13,0))</f>
        <v/>
      </c>
      <c r="AJ29" s="22" t="str">
        <f aca="false">IF(B29="","",IF(V29="Yes",ROUNDUP(Q29*'Rates &amp; Settings'!$C$16,0),0))</f>
        <v/>
      </c>
      <c r="AK29" s="22" t="str">
        <f aca="false">IF(B29="","",IFERROR(IF(Z29=0,0,IF(INDEX('Rates &amp; Settings'!$C$75:$C$96,MATCH(E29,'Rates &amp; Settings'!$B$75:$B$96,0))="Percent",MIN(Z29*INDEX('Rates &amp; Settings'!$E$75:$E$96,MATCH(E29,'Rates &amp; Settings'!$B$75:$B$96,0)),INDEX('Rates &amp; Settings'!$G$75:$G$96,MATCH(E29,'Rates &amp; Settings'!$B$75:$B$96,0))),INDEX('Rates &amp; Settings'!$E$75:$E$96,MATCH(E29,'Rates &amp; Settings'!$B$75:$B$96,0)))),0))</f>
        <v/>
      </c>
      <c r="AL29" s="22" t="str">
        <f aca="false">IF(B29="","",Q29+AF29+AG29+AH29+AI29+AJ29+AK29)</f>
        <v/>
      </c>
      <c r="AM29" s="22" t="str">
        <f aca="false">IF(B29="","",MAX(0,P29*12-'Rates &amp; Settings'!$C$18))</f>
        <v/>
      </c>
      <c r="AN29" s="22" t="str">
        <f aca="false">IF(B29="","",IF(AM29&lt;='Rates &amp; Settings'!$C$19,0,MIN(SUMPRODUCT(--(AM29&gt;'Rates &amp; Settings'!$B$24:$B$30),AM29-'Rates &amp; Settings'!$B$24:$B$30,'Rates &amp; Settings'!$D$24:$D$30),AM29-'Rates &amp; Settings'!$C$19))*(1+'Rates &amp; Settings'!$C$20))</f>
        <v/>
      </c>
    </row>
    <row r="30" customFormat="false" ht="15" hidden="false" customHeight="false" outlineLevel="0" collapsed="false">
      <c r="B30" s="5"/>
      <c r="C30" s="5"/>
      <c r="D30" s="5"/>
      <c r="E30" s="5"/>
      <c r="F30" s="5"/>
      <c r="G30" s="5"/>
      <c r="H30" s="5"/>
      <c r="I30" s="20"/>
      <c r="J30" s="21"/>
      <c r="K30" s="21"/>
      <c r="L30" s="21"/>
      <c r="M30" s="21"/>
      <c r="N30" s="21"/>
      <c r="O30" s="21"/>
      <c r="P30" s="22" t="str">
        <f aca="false">IF(B30="","",SUM(J30:O30))</f>
        <v/>
      </c>
      <c r="Q30" s="22" t="str">
        <f aca="false">IF(B30="","",ROUND(P30*N(I30)/'Rates &amp; Settings'!$C$7,0))</f>
        <v/>
      </c>
      <c r="R30" s="22" t="str">
        <f aca="false">IF(B30="","",ROUND((N(J30)+N(K30))*N(I30)/'Rates &amp; Settings'!$C$7,0))</f>
        <v/>
      </c>
      <c r="S30" s="22" t="str">
        <f aca="false">IF(B30="","",IF('Rates &amp; Settings'!$C$14="Yes",MAX(R30,ROUND(Q30*0.5,0)),R30))</f>
        <v/>
      </c>
      <c r="T30" s="22" t="str">
        <f aca="false">IF(B30="","",IF(F30="Yes",IF(G30="Yes",MIN(S30,'Rates &amp; Settings'!$C$8),S30),0))</f>
        <v/>
      </c>
      <c r="U30" s="22" t="str">
        <f aca="false">IF(B30="","",ROUND(T30*'Rates &amp; Settings'!$C$9,0))</f>
        <v/>
      </c>
      <c r="V30" s="7" t="str">
        <f aca="false">IF(B30="","",IF(P30&lt;='Rates &amp; Settings'!$C$17,"Yes","No"))</f>
        <v/>
      </c>
      <c r="W30" s="22" t="str">
        <f aca="false">IF(B30="","",IF(V30="Yes",ROUNDUP(Q30*'Rates &amp; Settings'!$C$15,0),0))</f>
        <v/>
      </c>
      <c r="X30" s="22" t="str">
        <f aca="false">IF(B30="","",IF(Y30&lt;&gt;"",N(Y30),IF(MONTH('Rates &amp; Settings'!$C$6)=2,SUMIFS('Rates &amp; Settings'!$F$35:$F$70,'Rates &amp; Settings'!$B$35:$B$70,E30,'Rates &amp; Settings'!$C$35:$C$70,"&lt;="&amp;Q30,'Rates &amp; Settings'!$D$35:$D$70,"&gt;="&amp;Q30),SUMIFS('Rates &amp; Settings'!$E$35:$E$70,'Rates &amp; Settings'!$B$35:$B$70,E30,'Rates &amp; Settings'!$C$35:$C$70,"&lt;="&amp;Q30,'Rates &amp; Settings'!$D$35:$D$70,"&gt;="&amp;Q30))))</f>
        <v/>
      </c>
      <c r="Y30" s="21"/>
      <c r="Z30" s="22" t="str">
        <f aca="false">IF(B30="","",IFERROR(IF(OR(INDEX('Rates &amp; Settings'!$H$75:$H$96,MATCH(E30,'Rates &amp; Settings'!$B$75:$B$96,0))="All",ISNUMBER(SEARCH(","&amp;MONTH('Rates &amp; Settings'!$C$6)&amp;",",","&amp;INDEX('Rates &amp; Settings'!$H$75:$H$96,MATCH(E30,'Rates &amp; Settings'!$B$75:$B$96,0))&amp;","))),IF(INDEX('Rates &amp; Settings'!$C$75:$C$96,MATCH(E30,'Rates &amp; Settings'!$B$75:$B$96,0))="Percent",MIN(ROUND(Q30*INDEX('Rates &amp; Settings'!$D$75:$D$96,MATCH(E30,'Rates &amp; Settings'!$B$75:$B$96,0)),0),INDEX('Rates &amp; Settings'!$F$75:$F$96,MATCH(E30,'Rates &amp; Settings'!$B$75:$B$96,0))),INDEX('Rates &amp; Settings'!$D$75:$D$96,MATCH(E30,'Rates &amp; Settings'!$B$75:$B$96,0))),0),0))</f>
        <v/>
      </c>
      <c r="AA30" s="22" t="str">
        <f aca="false">IF(B30="","",ROUND(AN30/12,0))</f>
        <v/>
      </c>
      <c r="AB30" s="21"/>
      <c r="AC30" s="21"/>
      <c r="AD30" s="22" t="str">
        <f aca="false">IF(B30="","",U30+W30+X30+Z30+IF(AB30&lt;&gt;"",N(AB30),AA30)+N(AC30))</f>
        <v/>
      </c>
      <c r="AE30" s="23" t="str">
        <f aca="false">IF(B30="","",Q30-AD30)</f>
        <v/>
      </c>
      <c r="AF30" s="22" t="str">
        <f aca="false">IF(B30="","",ROUND(T30*'Rates &amp; Settings'!$C$10,0)-AG30)</f>
        <v/>
      </c>
      <c r="AG30" s="22" t="str">
        <f aca="false">IF(B30="","",IF(H30="Yes",ROUND(MIN(T30,'Rates &amp; Settings'!$C$8)*'Rates &amp; Settings'!$C$11,0),0))</f>
        <v/>
      </c>
      <c r="AH30" s="22" t="str">
        <f aca="false">IF(B30="","",ROUND(MIN(T30,'Rates &amp; Settings'!$C$8)*'Rates &amp; Settings'!$C$12,0))</f>
        <v/>
      </c>
      <c r="AI30" s="22" t="str">
        <f aca="false">IF(B30="","",ROUND(T30*'Rates &amp; Settings'!$C$13,0))</f>
        <v/>
      </c>
      <c r="AJ30" s="22" t="str">
        <f aca="false">IF(B30="","",IF(V30="Yes",ROUNDUP(Q30*'Rates &amp; Settings'!$C$16,0),0))</f>
        <v/>
      </c>
      <c r="AK30" s="22" t="str">
        <f aca="false">IF(B30="","",IFERROR(IF(Z30=0,0,IF(INDEX('Rates &amp; Settings'!$C$75:$C$96,MATCH(E30,'Rates &amp; Settings'!$B$75:$B$96,0))="Percent",MIN(Z30*INDEX('Rates &amp; Settings'!$E$75:$E$96,MATCH(E30,'Rates &amp; Settings'!$B$75:$B$96,0)),INDEX('Rates &amp; Settings'!$G$75:$G$96,MATCH(E30,'Rates &amp; Settings'!$B$75:$B$96,0))),INDEX('Rates &amp; Settings'!$E$75:$E$96,MATCH(E30,'Rates &amp; Settings'!$B$75:$B$96,0)))),0))</f>
        <v/>
      </c>
      <c r="AL30" s="22" t="str">
        <f aca="false">IF(B30="","",Q30+AF30+AG30+AH30+AI30+AJ30+AK30)</f>
        <v/>
      </c>
      <c r="AM30" s="22" t="str">
        <f aca="false">IF(B30="","",MAX(0,P30*12-'Rates &amp; Settings'!$C$18))</f>
        <v/>
      </c>
      <c r="AN30" s="22" t="str">
        <f aca="false">IF(B30="","",IF(AM30&lt;='Rates &amp; Settings'!$C$19,0,MIN(SUMPRODUCT(--(AM30&gt;'Rates &amp; Settings'!$B$24:$B$30),AM30-'Rates &amp; Settings'!$B$24:$B$30,'Rates &amp; Settings'!$D$24:$D$30),AM30-'Rates &amp; Settings'!$C$19))*(1+'Rates &amp; Settings'!$C$20))</f>
        <v/>
      </c>
    </row>
    <row r="31" customFormat="false" ht="15" hidden="false" customHeight="false" outlineLevel="0" collapsed="false">
      <c r="B31" s="5"/>
      <c r="C31" s="5"/>
      <c r="D31" s="5"/>
      <c r="E31" s="5"/>
      <c r="F31" s="5"/>
      <c r="G31" s="5"/>
      <c r="H31" s="5"/>
      <c r="I31" s="20"/>
      <c r="J31" s="21"/>
      <c r="K31" s="21"/>
      <c r="L31" s="21"/>
      <c r="M31" s="21"/>
      <c r="N31" s="21"/>
      <c r="O31" s="21"/>
      <c r="P31" s="22" t="str">
        <f aca="false">IF(B31="","",SUM(J31:O31))</f>
        <v/>
      </c>
      <c r="Q31" s="22" t="str">
        <f aca="false">IF(B31="","",ROUND(P31*N(I31)/'Rates &amp; Settings'!$C$7,0))</f>
        <v/>
      </c>
      <c r="R31" s="22" t="str">
        <f aca="false">IF(B31="","",ROUND((N(J31)+N(K31))*N(I31)/'Rates &amp; Settings'!$C$7,0))</f>
        <v/>
      </c>
      <c r="S31" s="22" t="str">
        <f aca="false">IF(B31="","",IF('Rates &amp; Settings'!$C$14="Yes",MAX(R31,ROUND(Q31*0.5,0)),R31))</f>
        <v/>
      </c>
      <c r="T31" s="22" t="str">
        <f aca="false">IF(B31="","",IF(F31="Yes",IF(G31="Yes",MIN(S31,'Rates &amp; Settings'!$C$8),S31),0))</f>
        <v/>
      </c>
      <c r="U31" s="22" t="str">
        <f aca="false">IF(B31="","",ROUND(T31*'Rates &amp; Settings'!$C$9,0))</f>
        <v/>
      </c>
      <c r="V31" s="7" t="str">
        <f aca="false">IF(B31="","",IF(P31&lt;='Rates &amp; Settings'!$C$17,"Yes","No"))</f>
        <v/>
      </c>
      <c r="W31" s="22" t="str">
        <f aca="false">IF(B31="","",IF(V31="Yes",ROUNDUP(Q31*'Rates &amp; Settings'!$C$15,0),0))</f>
        <v/>
      </c>
      <c r="X31" s="22" t="str">
        <f aca="false">IF(B31="","",IF(Y31&lt;&gt;"",N(Y31),IF(MONTH('Rates &amp; Settings'!$C$6)=2,SUMIFS('Rates &amp; Settings'!$F$35:$F$70,'Rates &amp; Settings'!$B$35:$B$70,E31,'Rates &amp; Settings'!$C$35:$C$70,"&lt;="&amp;Q31,'Rates &amp; Settings'!$D$35:$D$70,"&gt;="&amp;Q31),SUMIFS('Rates &amp; Settings'!$E$35:$E$70,'Rates &amp; Settings'!$B$35:$B$70,E31,'Rates &amp; Settings'!$C$35:$C$70,"&lt;="&amp;Q31,'Rates &amp; Settings'!$D$35:$D$70,"&gt;="&amp;Q31))))</f>
        <v/>
      </c>
      <c r="Y31" s="21"/>
      <c r="Z31" s="22" t="str">
        <f aca="false">IF(B31="","",IFERROR(IF(OR(INDEX('Rates &amp; Settings'!$H$75:$H$96,MATCH(E31,'Rates &amp; Settings'!$B$75:$B$96,0))="All",ISNUMBER(SEARCH(","&amp;MONTH('Rates &amp; Settings'!$C$6)&amp;",",","&amp;INDEX('Rates &amp; Settings'!$H$75:$H$96,MATCH(E31,'Rates &amp; Settings'!$B$75:$B$96,0))&amp;","))),IF(INDEX('Rates &amp; Settings'!$C$75:$C$96,MATCH(E31,'Rates &amp; Settings'!$B$75:$B$96,0))="Percent",MIN(ROUND(Q31*INDEX('Rates &amp; Settings'!$D$75:$D$96,MATCH(E31,'Rates &amp; Settings'!$B$75:$B$96,0)),0),INDEX('Rates &amp; Settings'!$F$75:$F$96,MATCH(E31,'Rates &amp; Settings'!$B$75:$B$96,0))),INDEX('Rates &amp; Settings'!$D$75:$D$96,MATCH(E31,'Rates &amp; Settings'!$B$75:$B$96,0))),0),0))</f>
        <v/>
      </c>
      <c r="AA31" s="22" t="str">
        <f aca="false">IF(B31="","",ROUND(AN31/12,0))</f>
        <v/>
      </c>
      <c r="AB31" s="21"/>
      <c r="AC31" s="21"/>
      <c r="AD31" s="22" t="str">
        <f aca="false">IF(B31="","",U31+W31+X31+Z31+IF(AB31&lt;&gt;"",N(AB31),AA31)+N(AC31))</f>
        <v/>
      </c>
      <c r="AE31" s="23" t="str">
        <f aca="false">IF(B31="","",Q31-AD31)</f>
        <v/>
      </c>
      <c r="AF31" s="22" t="str">
        <f aca="false">IF(B31="","",ROUND(T31*'Rates &amp; Settings'!$C$10,0)-AG31)</f>
        <v/>
      </c>
      <c r="AG31" s="22" t="str">
        <f aca="false">IF(B31="","",IF(H31="Yes",ROUND(MIN(T31,'Rates &amp; Settings'!$C$8)*'Rates &amp; Settings'!$C$11,0),0))</f>
        <v/>
      </c>
      <c r="AH31" s="22" t="str">
        <f aca="false">IF(B31="","",ROUND(MIN(T31,'Rates &amp; Settings'!$C$8)*'Rates &amp; Settings'!$C$12,0))</f>
        <v/>
      </c>
      <c r="AI31" s="22" t="str">
        <f aca="false">IF(B31="","",ROUND(T31*'Rates &amp; Settings'!$C$13,0))</f>
        <v/>
      </c>
      <c r="AJ31" s="22" t="str">
        <f aca="false">IF(B31="","",IF(V31="Yes",ROUNDUP(Q31*'Rates &amp; Settings'!$C$16,0),0))</f>
        <v/>
      </c>
      <c r="AK31" s="22" t="str">
        <f aca="false">IF(B31="","",IFERROR(IF(Z31=0,0,IF(INDEX('Rates &amp; Settings'!$C$75:$C$96,MATCH(E31,'Rates &amp; Settings'!$B$75:$B$96,0))="Percent",MIN(Z31*INDEX('Rates &amp; Settings'!$E$75:$E$96,MATCH(E31,'Rates &amp; Settings'!$B$75:$B$96,0)),INDEX('Rates &amp; Settings'!$G$75:$G$96,MATCH(E31,'Rates &amp; Settings'!$B$75:$B$96,0))),INDEX('Rates &amp; Settings'!$E$75:$E$96,MATCH(E31,'Rates &amp; Settings'!$B$75:$B$96,0)))),0))</f>
        <v/>
      </c>
      <c r="AL31" s="22" t="str">
        <f aca="false">IF(B31="","",Q31+AF31+AG31+AH31+AI31+AJ31+AK31)</f>
        <v/>
      </c>
      <c r="AM31" s="22" t="str">
        <f aca="false">IF(B31="","",MAX(0,P31*12-'Rates &amp; Settings'!$C$18))</f>
        <v/>
      </c>
      <c r="AN31" s="22" t="str">
        <f aca="false">IF(B31="","",IF(AM31&lt;='Rates &amp; Settings'!$C$19,0,MIN(SUMPRODUCT(--(AM31&gt;'Rates &amp; Settings'!$B$24:$B$30),AM31-'Rates &amp; Settings'!$B$24:$B$30,'Rates &amp; Settings'!$D$24:$D$30),AM31-'Rates &amp; Settings'!$C$19))*(1+'Rates &amp; Settings'!$C$20))</f>
        <v/>
      </c>
    </row>
    <row r="32" customFormat="false" ht="15" hidden="false" customHeight="false" outlineLevel="0" collapsed="false">
      <c r="B32" s="5"/>
      <c r="C32" s="5"/>
      <c r="D32" s="5"/>
      <c r="E32" s="5"/>
      <c r="F32" s="5"/>
      <c r="G32" s="5"/>
      <c r="H32" s="5"/>
      <c r="I32" s="20"/>
      <c r="J32" s="21"/>
      <c r="K32" s="21"/>
      <c r="L32" s="21"/>
      <c r="M32" s="21"/>
      <c r="N32" s="21"/>
      <c r="O32" s="21"/>
      <c r="P32" s="22" t="str">
        <f aca="false">IF(B32="","",SUM(J32:O32))</f>
        <v/>
      </c>
      <c r="Q32" s="22" t="str">
        <f aca="false">IF(B32="","",ROUND(P32*N(I32)/'Rates &amp; Settings'!$C$7,0))</f>
        <v/>
      </c>
      <c r="R32" s="22" t="str">
        <f aca="false">IF(B32="","",ROUND((N(J32)+N(K32))*N(I32)/'Rates &amp; Settings'!$C$7,0))</f>
        <v/>
      </c>
      <c r="S32" s="22" t="str">
        <f aca="false">IF(B32="","",IF('Rates &amp; Settings'!$C$14="Yes",MAX(R32,ROUND(Q32*0.5,0)),R32))</f>
        <v/>
      </c>
      <c r="T32" s="22" t="str">
        <f aca="false">IF(B32="","",IF(F32="Yes",IF(G32="Yes",MIN(S32,'Rates &amp; Settings'!$C$8),S32),0))</f>
        <v/>
      </c>
      <c r="U32" s="22" t="str">
        <f aca="false">IF(B32="","",ROUND(T32*'Rates &amp; Settings'!$C$9,0))</f>
        <v/>
      </c>
      <c r="V32" s="7" t="str">
        <f aca="false">IF(B32="","",IF(P32&lt;='Rates &amp; Settings'!$C$17,"Yes","No"))</f>
        <v/>
      </c>
      <c r="W32" s="22" t="str">
        <f aca="false">IF(B32="","",IF(V32="Yes",ROUNDUP(Q32*'Rates &amp; Settings'!$C$15,0),0))</f>
        <v/>
      </c>
      <c r="X32" s="22" t="str">
        <f aca="false">IF(B32="","",IF(Y32&lt;&gt;"",N(Y32),IF(MONTH('Rates &amp; Settings'!$C$6)=2,SUMIFS('Rates &amp; Settings'!$F$35:$F$70,'Rates &amp; Settings'!$B$35:$B$70,E32,'Rates &amp; Settings'!$C$35:$C$70,"&lt;="&amp;Q32,'Rates &amp; Settings'!$D$35:$D$70,"&gt;="&amp;Q32),SUMIFS('Rates &amp; Settings'!$E$35:$E$70,'Rates &amp; Settings'!$B$35:$B$70,E32,'Rates &amp; Settings'!$C$35:$C$70,"&lt;="&amp;Q32,'Rates &amp; Settings'!$D$35:$D$70,"&gt;="&amp;Q32))))</f>
        <v/>
      </c>
      <c r="Y32" s="21"/>
      <c r="Z32" s="22" t="str">
        <f aca="false">IF(B32="","",IFERROR(IF(OR(INDEX('Rates &amp; Settings'!$H$75:$H$96,MATCH(E32,'Rates &amp; Settings'!$B$75:$B$96,0))="All",ISNUMBER(SEARCH(","&amp;MONTH('Rates &amp; Settings'!$C$6)&amp;",",","&amp;INDEX('Rates &amp; Settings'!$H$75:$H$96,MATCH(E32,'Rates &amp; Settings'!$B$75:$B$96,0))&amp;","))),IF(INDEX('Rates &amp; Settings'!$C$75:$C$96,MATCH(E32,'Rates &amp; Settings'!$B$75:$B$96,0))="Percent",MIN(ROUND(Q32*INDEX('Rates &amp; Settings'!$D$75:$D$96,MATCH(E32,'Rates &amp; Settings'!$B$75:$B$96,0)),0),INDEX('Rates &amp; Settings'!$F$75:$F$96,MATCH(E32,'Rates &amp; Settings'!$B$75:$B$96,0))),INDEX('Rates &amp; Settings'!$D$75:$D$96,MATCH(E32,'Rates &amp; Settings'!$B$75:$B$96,0))),0),0))</f>
        <v/>
      </c>
      <c r="AA32" s="22" t="str">
        <f aca="false">IF(B32="","",ROUND(AN32/12,0))</f>
        <v/>
      </c>
      <c r="AB32" s="21"/>
      <c r="AC32" s="21"/>
      <c r="AD32" s="22" t="str">
        <f aca="false">IF(B32="","",U32+W32+X32+Z32+IF(AB32&lt;&gt;"",N(AB32),AA32)+N(AC32))</f>
        <v/>
      </c>
      <c r="AE32" s="23" t="str">
        <f aca="false">IF(B32="","",Q32-AD32)</f>
        <v/>
      </c>
      <c r="AF32" s="22" t="str">
        <f aca="false">IF(B32="","",ROUND(T32*'Rates &amp; Settings'!$C$10,0)-AG32)</f>
        <v/>
      </c>
      <c r="AG32" s="22" t="str">
        <f aca="false">IF(B32="","",IF(H32="Yes",ROUND(MIN(T32,'Rates &amp; Settings'!$C$8)*'Rates &amp; Settings'!$C$11,0),0))</f>
        <v/>
      </c>
      <c r="AH32" s="22" t="str">
        <f aca="false">IF(B32="","",ROUND(MIN(T32,'Rates &amp; Settings'!$C$8)*'Rates &amp; Settings'!$C$12,0))</f>
        <v/>
      </c>
      <c r="AI32" s="22" t="str">
        <f aca="false">IF(B32="","",ROUND(T32*'Rates &amp; Settings'!$C$13,0))</f>
        <v/>
      </c>
      <c r="AJ32" s="22" t="str">
        <f aca="false">IF(B32="","",IF(V32="Yes",ROUNDUP(Q32*'Rates &amp; Settings'!$C$16,0),0))</f>
        <v/>
      </c>
      <c r="AK32" s="22" t="str">
        <f aca="false">IF(B32="","",IFERROR(IF(Z32=0,0,IF(INDEX('Rates &amp; Settings'!$C$75:$C$96,MATCH(E32,'Rates &amp; Settings'!$B$75:$B$96,0))="Percent",MIN(Z32*INDEX('Rates &amp; Settings'!$E$75:$E$96,MATCH(E32,'Rates &amp; Settings'!$B$75:$B$96,0)),INDEX('Rates &amp; Settings'!$G$75:$G$96,MATCH(E32,'Rates &amp; Settings'!$B$75:$B$96,0))),INDEX('Rates &amp; Settings'!$E$75:$E$96,MATCH(E32,'Rates &amp; Settings'!$B$75:$B$96,0)))),0))</f>
        <v/>
      </c>
      <c r="AL32" s="22" t="str">
        <f aca="false">IF(B32="","",Q32+AF32+AG32+AH32+AI32+AJ32+AK32)</f>
        <v/>
      </c>
      <c r="AM32" s="22" t="str">
        <f aca="false">IF(B32="","",MAX(0,P32*12-'Rates &amp; Settings'!$C$18))</f>
        <v/>
      </c>
      <c r="AN32" s="22" t="str">
        <f aca="false">IF(B32="","",IF(AM32&lt;='Rates &amp; Settings'!$C$19,0,MIN(SUMPRODUCT(--(AM32&gt;'Rates &amp; Settings'!$B$24:$B$30),AM32-'Rates &amp; Settings'!$B$24:$B$30,'Rates &amp; Settings'!$D$24:$D$30),AM32-'Rates &amp; Settings'!$C$19))*(1+'Rates &amp; Settings'!$C$20))</f>
        <v/>
      </c>
    </row>
    <row r="33" customFormat="false" ht="15" hidden="false" customHeight="false" outlineLevel="0" collapsed="false">
      <c r="B33" s="5"/>
      <c r="C33" s="5"/>
      <c r="D33" s="5"/>
      <c r="E33" s="5"/>
      <c r="F33" s="5"/>
      <c r="G33" s="5"/>
      <c r="H33" s="5"/>
      <c r="I33" s="20"/>
      <c r="J33" s="21"/>
      <c r="K33" s="21"/>
      <c r="L33" s="21"/>
      <c r="M33" s="21"/>
      <c r="N33" s="21"/>
      <c r="O33" s="21"/>
      <c r="P33" s="22" t="str">
        <f aca="false">IF(B33="","",SUM(J33:O33))</f>
        <v/>
      </c>
      <c r="Q33" s="22" t="str">
        <f aca="false">IF(B33="","",ROUND(P33*N(I33)/'Rates &amp; Settings'!$C$7,0))</f>
        <v/>
      </c>
      <c r="R33" s="22" t="str">
        <f aca="false">IF(B33="","",ROUND((N(J33)+N(K33))*N(I33)/'Rates &amp; Settings'!$C$7,0))</f>
        <v/>
      </c>
      <c r="S33" s="22" t="str">
        <f aca="false">IF(B33="","",IF('Rates &amp; Settings'!$C$14="Yes",MAX(R33,ROUND(Q33*0.5,0)),R33))</f>
        <v/>
      </c>
      <c r="T33" s="22" t="str">
        <f aca="false">IF(B33="","",IF(F33="Yes",IF(G33="Yes",MIN(S33,'Rates &amp; Settings'!$C$8),S33),0))</f>
        <v/>
      </c>
      <c r="U33" s="22" t="str">
        <f aca="false">IF(B33="","",ROUND(T33*'Rates &amp; Settings'!$C$9,0))</f>
        <v/>
      </c>
      <c r="V33" s="7" t="str">
        <f aca="false">IF(B33="","",IF(P33&lt;='Rates &amp; Settings'!$C$17,"Yes","No"))</f>
        <v/>
      </c>
      <c r="W33" s="22" t="str">
        <f aca="false">IF(B33="","",IF(V33="Yes",ROUNDUP(Q33*'Rates &amp; Settings'!$C$15,0),0))</f>
        <v/>
      </c>
      <c r="X33" s="22" t="str">
        <f aca="false">IF(B33="","",IF(Y33&lt;&gt;"",N(Y33),IF(MONTH('Rates &amp; Settings'!$C$6)=2,SUMIFS('Rates &amp; Settings'!$F$35:$F$70,'Rates &amp; Settings'!$B$35:$B$70,E33,'Rates &amp; Settings'!$C$35:$C$70,"&lt;="&amp;Q33,'Rates &amp; Settings'!$D$35:$D$70,"&gt;="&amp;Q33),SUMIFS('Rates &amp; Settings'!$E$35:$E$70,'Rates &amp; Settings'!$B$35:$B$70,E33,'Rates &amp; Settings'!$C$35:$C$70,"&lt;="&amp;Q33,'Rates &amp; Settings'!$D$35:$D$70,"&gt;="&amp;Q33))))</f>
        <v/>
      </c>
      <c r="Y33" s="21"/>
      <c r="Z33" s="22" t="str">
        <f aca="false">IF(B33="","",IFERROR(IF(OR(INDEX('Rates &amp; Settings'!$H$75:$H$96,MATCH(E33,'Rates &amp; Settings'!$B$75:$B$96,0))="All",ISNUMBER(SEARCH(","&amp;MONTH('Rates &amp; Settings'!$C$6)&amp;",",","&amp;INDEX('Rates &amp; Settings'!$H$75:$H$96,MATCH(E33,'Rates &amp; Settings'!$B$75:$B$96,0))&amp;","))),IF(INDEX('Rates &amp; Settings'!$C$75:$C$96,MATCH(E33,'Rates &amp; Settings'!$B$75:$B$96,0))="Percent",MIN(ROUND(Q33*INDEX('Rates &amp; Settings'!$D$75:$D$96,MATCH(E33,'Rates &amp; Settings'!$B$75:$B$96,0)),0),INDEX('Rates &amp; Settings'!$F$75:$F$96,MATCH(E33,'Rates &amp; Settings'!$B$75:$B$96,0))),INDEX('Rates &amp; Settings'!$D$75:$D$96,MATCH(E33,'Rates &amp; Settings'!$B$75:$B$96,0))),0),0))</f>
        <v/>
      </c>
      <c r="AA33" s="22" t="str">
        <f aca="false">IF(B33="","",ROUND(AN33/12,0))</f>
        <v/>
      </c>
      <c r="AB33" s="21"/>
      <c r="AC33" s="21"/>
      <c r="AD33" s="22" t="str">
        <f aca="false">IF(B33="","",U33+W33+X33+Z33+IF(AB33&lt;&gt;"",N(AB33),AA33)+N(AC33))</f>
        <v/>
      </c>
      <c r="AE33" s="23" t="str">
        <f aca="false">IF(B33="","",Q33-AD33)</f>
        <v/>
      </c>
      <c r="AF33" s="22" t="str">
        <f aca="false">IF(B33="","",ROUND(T33*'Rates &amp; Settings'!$C$10,0)-AG33)</f>
        <v/>
      </c>
      <c r="AG33" s="22" t="str">
        <f aca="false">IF(B33="","",IF(H33="Yes",ROUND(MIN(T33,'Rates &amp; Settings'!$C$8)*'Rates &amp; Settings'!$C$11,0),0))</f>
        <v/>
      </c>
      <c r="AH33" s="22" t="str">
        <f aca="false">IF(B33="","",ROUND(MIN(T33,'Rates &amp; Settings'!$C$8)*'Rates &amp; Settings'!$C$12,0))</f>
        <v/>
      </c>
      <c r="AI33" s="22" t="str">
        <f aca="false">IF(B33="","",ROUND(T33*'Rates &amp; Settings'!$C$13,0))</f>
        <v/>
      </c>
      <c r="AJ33" s="22" t="str">
        <f aca="false">IF(B33="","",IF(V33="Yes",ROUNDUP(Q33*'Rates &amp; Settings'!$C$16,0),0))</f>
        <v/>
      </c>
      <c r="AK33" s="22" t="str">
        <f aca="false">IF(B33="","",IFERROR(IF(Z33=0,0,IF(INDEX('Rates &amp; Settings'!$C$75:$C$96,MATCH(E33,'Rates &amp; Settings'!$B$75:$B$96,0))="Percent",MIN(Z33*INDEX('Rates &amp; Settings'!$E$75:$E$96,MATCH(E33,'Rates &amp; Settings'!$B$75:$B$96,0)),INDEX('Rates &amp; Settings'!$G$75:$G$96,MATCH(E33,'Rates &amp; Settings'!$B$75:$B$96,0))),INDEX('Rates &amp; Settings'!$E$75:$E$96,MATCH(E33,'Rates &amp; Settings'!$B$75:$B$96,0)))),0))</f>
        <v/>
      </c>
      <c r="AL33" s="22" t="str">
        <f aca="false">IF(B33="","",Q33+AF33+AG33+AH33+AI33+AJ33+AK33)</f>
        <v/>
      </c>
      <c r="AM33" s="22" t="str">
        <f aca="false">IF(B33="","",MAX(0,P33*12-'Rates &amp; Settings'!$C$18))</f>
        <v/>
      </c>
      <c r="AN33" s="22" t="str">
        <f aca="false">IF(B33="","",IF(AM33&lt;='Rates &amp; Settings'!$C$19,0,MIN(SUMPRODUCT(--(AM33&gt;'Rates &amp; Settings'!$B$24:$B$30),AM33-'Rates &amp; Settings'!$B$24:$B$30,'Rates &amp; Settings'!$D$24:$D$30),AM33-'Rates &amp; Settings'!$C$19))*(1+'Rates &amp; Settings'!$C$20))</f>
        <v/>
      </c>
    </row>
    <row r="34" customFormat="false" ht="15" hidden="false" customHeight="false" outlineLevel="0" collapsed="false">
      <c r="B34" s="5"/>
      <c r="C34" s="5"/>
      <c r="D34" s="5"/>
      <c r="E34" s="5"/>
      <c r="F34" s="5"/>
      <c r="G34" s="5"/>
      <c r="H34" s="5"/>
      <c r="I34" s="20"/>
      <c r="J34" s="21"/>
      <c r="K34" s="21"/>
      <c r="L34" s="21"/>
      <c r="M34" s="21"/>
      <c r="N34" s="21"/>
      <c r="O34" s="21"/>
      <c r="P34" s="22" t="str">
        <f aca="false">IF(B34="","",SUM(J34:O34))</f>
        <v/>
      </c>
      <c r="Q34" s="22" t="str">
        <f aca="false">IF(B34="","",ROUND(P34*N(I34)/'Rates &amp; Settings'!$C$7,0))</f>
        <v/>
      </c>
      <c r="R34" s="22" t="str">
        <f aca="false">IF(B34="","",ROUND((N(J34)+N(K34))*N(I34)/'Rates &amp; Settings'!$C$7,0))</f>
        <v/>
      </c>
      <c r="S34" s="22" t="str">
        <f aca="false">IF(B34="","",IF('Rates &amp; Settings'!$C$14="Yes",MAX(R34,ROUND(Q34*0.5,0)),R34))</f>
        <v/>
      </c>
      <c r="T34" s="22" t="str">
        <f aca="false">IF(B34="","",IF(F34="Yes",IF(G34="Yes",MIN(S34,'Rates &amp; Settings'!$C$8),S34),0))</f>
        <v/>
      </c>
      <c r="U34" s="22" t="str">
        <f aca="false">IF(B34="","",ROUND(T34*'Rates &amp; Settings'!$C$9,0))</f>
        <v/>
      </c>
      <c r="V34" s="7" t="str">
        <f aca="false">IF(B34="","",IF(P34&lt;='Rates &amp; Settings'!$C$17,"Yes","No"))</f>
        <v/>
      </c>
      <c r="W34" s="22" t="str">
        <f aca="false">IF(B34="","",IF(V34="Yes",ROUNDUP(Q34*'Rates &amp; Settings'!$C$15,0),0))</f>
        <v/>
      </c>
      <c r="X34" s="22" t="str">
        <f aca="false">IF(B34="","",IF(Y34&lt;&gt;"",N(Y34),IF(MONTH('Rates &amp; Settings'!$C$6)=2,SUMIFS('Rates &amp; Settings'!$F$35:$F$70,'Rates &amp; Settings'!$B$35:$B$70,E34,'Rates &amp; Settings'!$C$35:$C$70,"&lt;="&amp;Q34,'Rates &amp; Settings'!$D$35:$D$70,"&gt;="&amp;Q34),SUMIFS('Rates &amp; Settings'!$E$35:$E$70,'Rates &amp; Settings'!$B$35:$B$70,E34,'Rates &amp; Settings'!$C$35:$C$70,"&lt;="&amp;Q34,'Rates &amp; Settings'!$D$35:$D$70,"&gt;="&amp;Q34))))</f>
        <v/>
      </c>
      <c r="Y34" s="21"/>
      <c r="Z34" s="22" t="str">
        <f aca="false">IF(B34="","",IFERROR(IF(OR(INDEX('Rates &amp; Settings'!$H$75:$H$96,MATCH(E34,'Rates &amp; Settings'!$B$75:$B$96,0))="All",ISNUMBER(SEARCH(","&amp;MONTH('Rates &amp; Settings'!$C$6)&amp;",",","&amp;INDEX('Rates &amp; Settings'!$H$75:$H$96,MATCH(E34,'Rates &amp; Settings'!$B$75:$B$96,0))&amp;","))),IF(INDEX('Rates &amp; Settings'!$C$75:$C$96,MATCH(E34,'Rates &amp; Settings'!$B$75:$B$96,0))="Percent",MIN(ROUND(Q34*INDEX('Rates &amp; Settings'!$D$75:$D$96,MATCH(E34,'Rates &amp; Settings'!$B$75:$B$96,0)),0),INDEX('Rates &amp; Settings'!$F$75:$F$96,MATCH(E34,'Rates &amp; Settings'!$B$75:$B$96,0))),INDEX('Rates &amp; Settings'!$D$75:$D$96,MATCH(E34,'Rates &amp; Settings'!$B$75:$B$96,0))),0),0))</f>
        <v/>
      </c>
      <c r="AA34" s="22" t="str">
        <f aca="false">IF(B34="","",ROUND(AN34/12,0))</f>
        <v/>
      </c>
      <c r="AB34" s="21"/>
      <c r="AC34" s="21"/>
      <c r="AD34" s="22" t="str">
        <f aca="false">IF(B34="","",U34+W34+X34+Z34+IF(AB34&lt;&gt;"",N(AB34),AA34)+N(AC34))</f>
        <v/>
      </c>
      <c r="AE34" s="23" t="str">
        <f aca="false">IF(B34="","",Q34-AD34)</f>
        <v/>
      </c>
      <c r="AF34" s="22" t="str">
        <f aca="false">IF(B34="","",ROUND(T34*'Rates &amp; Settings'!$C$10,0)-AG34)</f>
        <v/>
      </c>
      <c r="AG34" s="22" t="str">
        <f aca="false">IF(B34="","",IF(H34="Yes",ROUND(MIN(T34,'Rates &amp; Settings'!$C$8)*'Rates &amp; Settings'!$C$11,0),0))</f>
        <v/>
      </c>
      <c r="AH34" s="22" t="str">
        <f aca="false">IF(B34="","",ROUND(MIN(T34,'Rates &amp; Settings'!$C$8)*'Rates &amp; Settings'!$C$12,0))</f>
        <v/>
      </c>
      <c r="AI34" s="22" t="str">
        <f aca="false">IF(B34="","",ROUND(T34*'Rates &amp; Settings'!$C$13,0))</f>
        <v/>
      </c>
      <c r="AJ34" s="22" t="str">
        <f aca="false">IF(B34="","",IF(V34="Yes",ROUNDUP(Q34*'Rates &amp; Settings'!$C$16,0),0))</f>
        <v/>
      </c>
      <c r="AK34" s="22" t="str">
        <f aca="false">IF(B34="","",IFERROR(IF(Z34=0,0,IF(INDEX('Rates &amp; Settings'!$C$75:$C$96,MATCH(E34,'Rates &amp; Settings'!$B$75:$B$96,0))="Percent",MIN(Z34*INDEX('Rates &amp; Settings'!$E$75:$E$96,MATCH(E34,'Rates &amp; Settings'!$B$75:$B$96,0)),INDEX('Rates &amp; Settings'!$G$75:$G$96,MATCH(E34,'Rates &amp; Settings'!$B$75:$B$96,0))),INDEX('Rates &amp; Settings'!$E$75:$E$96,MATCH(E34,'Rates &amp; Settings'!$B$75:$B$96,0)))),0))</f>
        <v/>
      </c>
      <c r="AL34" s="22" t="str">
        <f aca="false">IF(B34="","",Q34+AF34+AG34+AH34+AI34+AJ34+AK34)</f>
        <v/>
      </c>
      <c r="AM34" s="22" t="str">
        <f aca="false">IF(B34="","",MAX(0,P34*12-'Rates &amp; Settings'!$C$18))</f>
        <v/>
      </c>
      <c r="AN34" s="22" t="str">
        <f aca="false">IF(B34="","",IF(AM34&lt;='Rates &amp; Settings'!$C$19,0,MIN(SUMPRODUCT(--(AM34&gt;'Rates &amp; Settings'!$B$24:$B$30),AM34-'Rates &amp; Settings'!$B$24:$B$30,'Rates &amp; Settings'!$D$24:$D$30),AM34-'Rates &amp; Settings'!$C$19))*(1+'Rates &amp; Settings'!$C$20))</f>
        <v/>
      </c>
    </row>
    <row r="35" customFormat="false" ht="15" hidden="false" customHeight="false" outlineLevel="0" collapsed="false">
      <c r="B35" s="5"/>
      <c r="C35" s="5"/>
      <c r="D35" s="5"/>
      <c r="E35" s="5"/>
      <c r="F35" s="5"/>
      <c r="G35" s="5"/>
      <c r="H35" s="5"/>
      <c r="I35" s="20"/>
      <c r="J35" s="21"/>
      <c r="K35" s="21"/>
      <c r="L35" s="21"/>
      <c r="M35" s="21"/>
      <c r="N35" s="21"/>
      <c r="O35" s="21"/>
      <c r="P35" s="22" t="str">
        <f aca="false">IF(B35="","",SUM(J35:O35))</f>
        <v/>
      </c>
      <c r="Q35" s="22" t="str">
        <f aca="false">IF(B35="","",ROUND(P35*N(I35)/'Rates &amp; Settings'!$C$7,0))</f>
        <v/>
      </c>
      <c r="R35" s="22" t="str">
        <f aca="false">IF(B35="","",ROUND((N(J35)+N(K35))*N(I35)/'Rates &amp; Settings'!$C$7,0))</f>
        <v/>
      </c>
      <c r="S35" s="22" t="str">
        <f aca="false">IF(B35="","",IF('Rates &amp; Settings'!$C$14="Yes",MAX(R35,ROUND(Q35*0.5,0)),R35))</f>
        <v/>
      </c>
      <c r="T35" s="22" t="str">
        <f aca="false">IF(B35="","",IF(F35="Yes",IF(G35="Yes",MIN(S35,'Rates &amp; Settings'!$C$8),S35),0))</f>
        <v/>
      </c>
      <c r="U35" s="22" t="str">
        <f aca="false">IF(B35="","",ROUND(T35*'Rates &amp; Settings'!$C$9,0))</f>
        <v/>
      </c>
      <c r="V35" s="7" t="str">
        <f aca="false">IF(B35="","",IF(P35&lt;='Rates &amp; Settings'!$C$17,"Yes","No"))</f>
        <v/>
      </c>
      <c r="W35" s="22" t="str">
        <f aca="false">IF(B35="","",IF(V35="Yes",ROUNDUP(Q35*'Rates &amp; Settings'!$C$15,0),0))</f>
        <v/>
      </c>
      <c r="X35" s="22" t="str">
        <f aca="false">IF(B35="","",IF(Y35&lt;&gt;"",N(Y35),IF(MONTH('Rates &amp; Settings'!$C$6)=2,SUMIFS('Rates &amp; Settings'!$F$35:$F$70,'Rates &amp; Settings'!$B$35:$B$70,E35,'Rates &amp; Settings'!$C$35:$C$70,"&lt;="&amp;Q35,'Rates &amp; Settings'!$D$35:$D$70,"&gt;="&amp;Q35),SUMIFS('Rates &amp; Settings'!$E$35:$E$70,'Rates &amp; Settings'!$B$35:$B$70,E35,'Rates &amp; Settings'!$C$35:$C$70,"&lt;="&amp;Q35,'Rates &amp; Settings'!$D$35:$D$70,"&gt;="&amp;Q35))))</f>
        <v/>
      </c>
      <c r="Y35" s="21"/>
      <c r="Z35" s="22" t="str">
        <f aca="false">IF(B35="","",IFERROR(IF(OR(INDEX('Rates &amp; Settings'!$H$75:$H$96,MATCH(E35,'Rates &amp; Settings'!$B$75:$B$96,0))="All",ISNUMBER(SEARCH(","&amp;MONTH('Rates &amp; Settings'!$C$6)&amp;",",","&amp;INDEX('Rates &amp; Settings'!$H$75:$H$96,MATCH(E35,'Rates &amp; Settings'!$B$75:$B$96,0))&amp;","))),IF(INDEX('Rates &amp; Settings'!$C$75:$C$96,MATCH(E35,'Rates &amp; Settings'!$B$75:$B$96,0))="Percent",MIN(ROUND(Q35*INDEX('Rates &amp; Settings'!$D$75:$D$96,MATCH(E35,'Rates &amp; Settings'!$B$75:$B$96,0)),0),INDEX('Rates &amp; Settings'!$F$75:$F$96,MATCH(E35,'Rates &amp; Settings'!$B$75:$B$96,0))),INDEX('Rates &amp; Settings'!$D$75:$D$96,MATCH(E35,'Rates &amp; Settings'!$B$75:$B$96,0))),0),0))</f>
        <v/>
      </c>
      <c r="AA35" s="22" t="str">
        <f aca="false">IF(B35="","",ROUND(AN35/12,0))</f>
        <v/>
      </c>
      <c r="AB35" s="21"/>
      <c r="AC35" s="21"/>
      <c r="AD35" s="22" t="str">
        <f aca="false">IF(B35="","",U35+W35+X35+Z35+IF(AB35&lt;&gt;"",N(AB35),AA35)+N(AC35))</f>
        <v/>
      </c>
      <c r="AE35" s="23" t="str">
        <f aca="false">IF(B35="","",Q35-AD35)</f>
        <v/>
      </c>
      <c r="AF35" s="22" t="str">
        <f aca="false">IF(B35="","",ROUND(T35*'Rates &amp; Settings'!$C$10,0)-AG35)</f>
        <v/>
      </c>
      <c r="AG35" s="22" t="str">
        <f aca="false">IF(B35="","",IF(H35="Yes",ROUND(MIN(T35,'Rates &amp; Settings'!$C$8)*'Rates &amp; Settings'!$C$11,0),0))</f>
        <v/>
      </c>
      <c r="AH35" s="22" t="str">
        <f aca="false">IF(B35="","",ROUND(MIN(T35,'Rates &amp; Settings'!$C$8)*'Rates &amp; Settings'!$C$12,0))</f>
        <v/>
      </c>
      <c r="AI35" s="22" t="str">
        <f aca="false">IF(B35="","",ROUND(T35*'Rates &amp; Settings'!$C$13,0))</f>
        <v/>
      </c>
      <c r="AJ35" s="22" t="str">
        <f aca="false">IF(B35="","",IF(V35="Yes",ROUNDUP(Q35*'Rates &amp; Settings'!$C$16,0),0))</f>
        <v/>
      </c>
      <c r="AK35" s="22" t="str">
        <f aca="false">IF(B35="","",IFERROR(IF(Z35=0,0,IF(INDEX('Rates &amp; Settings'!$C$75:$C$96,MATCH(E35,'Rates &amp; Settings'!$B$75:$B$96,0))="Percent",MIN(Z35*INDEX('Rates &amp; Settings'!$E$75:$E$96,MATCH(E35,'Rates &amp; Settings'!$B$75:$B$96,0)),INDEX('Rates &amp; Settings'!$G$75:$G$96,MATCH(E35,'Rates &amp; Settings'!$B$75:$B$96,0))),INDEX('Rates &amp; Settings'!$E$75:$E$96,MATCH(E35,'Rates &amp; Settings'!$B$75:$B$96,0)))),0))</f>
        <v/>
      </c>
      <c r="AL35" s="22" t="str">
        <f aca="false">IF(B35="","",Q35+AF35+AG35+AH35+AI35+AJ35+AK35)</f>
        <v/>
      </c>
      <c r="AM35" s="22" t="str">
        <f aca="false">IF(B35="","",MAX(0,P35*12-'Rates &amp; Settings'!$C$18))</f>
        <v/>
      </c>
      <c r="AN35" s="22" t="str">
        <f aca="false">IF(B35="","",IF(AM35&lt;='Rates &amp; Settings'!$C$19,0,MIN(SUMPRODUCT(--(AM35&gt;'Rates &amp; Settings'!$B$24:$B$30),AM35-'Rates &amp; Settings'!$B$24:$B$30,'Rates &amp; Settings'!$D$24:$D$30),AM35-'Rates &amp; Settings'!$C$19))*(1+'Rates &amp; Settings'!$C$20))</f>
        <v/>
      </c>
    </row>
    <row r="36" customFormat="false" ht="15" hidden="false" customHeight="false" outlineLevel="0" collapsed="false">
      <c r="B36" s="5"/>
      <c r="C36" s="5"/>
      <c r="D36" s="5"/>
      <c r="E36" s="5"/>
      <c r="F36" s="5"/>
      <c r="G36" s="5"/>
      <c r="H36" s="5"/>
      <c r="I36" s="20"/>
      <c r="J36" s="21"/>
      <c r="K36" s="21"/>
      <c r="L36" s="21"/>
      <c r="M36" s="21"/>
      <c r="N36" s="21"/>
      <c r="O36" s="21"/>
      <c r="P36" s="22" t="str">
        <f aca="false">IF(B36="","",SUM(J36:O36))</f>
        <v/>
      </c>
      <c r="Q36" s="22" t="str">
        <f aca="false">IF(B36="","",ROUND(P36*N(I36)/'Rates &amp; Settings'!$C$7,0))</f>
        <v/>
      </c>
      <c r="R36" s="22" t="str">
        <f aca="false">IF(B36="","",ROUND((N(J36)+N(K36))*N(I36)/'Rates &amp; Settings'!$C$7,0))</f>
        <v/>
      </c>
      <c r="S36" s="22" t="str">
        <f aca="false">IF(B36="","",IF('Rates &amp; Settings'!$C$14="Yes",MAX(R36,ROUND(Q36*0.5,0)),R36))</f>
        <v/>
      </c>
      <c r="T36" s="22" t="str">
        <f aca="false">IF(B36="","",IF(F36="Yes",IF(G36="Yes",MIN(S36,'Rates &amp; Settings'!$C$8),S36),0))</f>
        <v/>
      </c>
      <c r="U36" s="22" t="str">
        <f aca="false">IF(B36="","",ROUND(T36*'Rates &amp; Settings'!$C$9,0))</f>
        <v/>
      </c>
      <c r="V36" s="7" t="str">
        <f aca="false">IF(B36="","",IF(P36&lt;='Rates &amp; Settings'!$C$17,"Yes","No"))</f>
        <v/>
      </c>
      <c r="W36" s="22" t="str">
        <f aca="false">IF(B36="","",IF(V36="Yes",ROUNDUP(Q36*'Rates &amp; Settings'!$C$15,0),0))</f>
        <v/>
      </c>
      <c r="X36" s="22" t="str">
        <f aca="false">IF(B36="","",IF(Y36&lt;&gt;"",N(Y36),IF(MONTH('Rates &amp; Settings'!$C$6)=2,SUMIFS('Rates &amp; Settings'!$F$35:$F$70,'Rates &amp; Settings'!$B$35:$B$70,E36,'Rates &amp; Settings'!$C$35:$C$70,"&lt;="&amp;Q36,'Rates &amp; Settings'!$D$35:$D$70,"&gt;="&amp;Q36),SUMIFS('Rates &amp; Settings'!$E$35:$E$70,'Rates &amp; Settings'!$B$35:$B$70,E36,'Rates &amp; Settings'!$C$35:$C$70,"&lt;="&amp;Q36,'Rates &amp; Settings'!$D$35:$D$70,"&gt;="&amp;Q36))))</f>
        <v/>
      </c>
      <c r="Y36" s="21"/>
      <c r="Z36" s="22" t="str">
        <f aca="false">IF(B36="","",IFERROR(IF(OR(INDEX('Rates &amp; Settings'!$H$75:$H$96,MATCH(E36,'Rates &amp; Settings'!$B$75:$B$96,0))="All",ISNUMBER(SEARCH(","&amp;MONTH('Rates &amp; Settings'!$C$6)&amp;",",","&amp;INDEX('Rates &amp; Settings'!$H$75:$H$96,MATCH(E36,'Rates &amp; Settings'!$B$75:$B$96,0))&amp;","))),IF(INDEX('Rates &amp; Settings'!$C$75:$C$96,MATCH(E36,'Rates &amp; Settings'!$B$75:$B$96,0))="Percent",MIN(ROUND(Q36*INDEX('Rates &amp; Settings'!$D$75:$D$96,MATCH(E36,'Rates &amp; Settings'!$B$75:$B$96,0)),0),INDEX('Rates &amp; Settings'!$F$75:$F$96,MATCH(E36,'Rates &amp; Settings'!$B$75:$B$96,0))),INDEX('Rates &amp; Settings'!$D$75:$D$96,MATCH(E36,'Rates &amp; Settings'!$B$75:$B$96,0))),0),0))</f>
        <v/>
      </c>
      <c r="AA36" s="22" t="str">
        <f aca="false">IF(B36="","",ROUND(AN36/12,0))</f>
        <v/>
      </c>
      <c r="AB36" s="21"/>
      <c r="AC36" s="21"/>
      <c r="AD36" s="22" t="str">
        <f aca="false">IF(B36="","",U36+W36+X36+Z36+IF(AB36&lt;&gt;"",N(AB36),AA36)+N(AC36))</f>
        <v/>
      </c>
      <c r="AE36" s="23" t="str">
        <f aca="false">IF(B36="","",Q36-AD36)</f>
        <v/>
      </c>
      <c r="AF36" s="22" t="str">
        <f aca="false">IF(B36="","",ROUND(T36*'Rates &amp; Settings'!$C$10,0)-AG36)</f>
        <v/>
      </c>
      <c r="AG36" s="22" t="str">
        <f aca="false">IF(B36="","",IF(H36="Yes",ROUND(MIN(T36,'Rates &amp; Settings'!$C$8)*'Rates &amp; Settings'!$C$11,0),0))</f>
        <v/>
      </c>
      <c r="AH36" s="22" t="str">
        <f aca="false">IF(B36="","",ROUND(MIN(T36,'Rates &amp; Settings'!$C$8)*'Rates &amp; Settings'!$C$12,0))</f>
        <v/>
      </c>
      <c r="AI36" s="22" t="str">
        <f aca="false">IF(B36="","",ROUND(T36*'Rates &amp; Settings'!$C$13,0))</f>
        <v/>
      </c>
      <c r="AJ36" s="22" t="str">
        <f aca="false">IF(B36="","",IF(V36="Yes",ROUNDUP(Q36*'Rates &amp; Settings'!$C$16,0),0))</f>
        <v/>
      </c>
      <c r="AK36" s="22" t="str">
        <f aca="false">IF(B36="","",IFERROR(IF(Z36=0,0,IF(INDEX('Rates &amp; Settings'!$C$75:$C$96,MATCH(E36,'Rates &amp; Settings'!$B$75:$B$96,0))="Percent",MIN(Z36*INDEX('Rates &amp; Settings'!$E$75:$E$96,MATCH(E36,'Rates &amp; Settings'!$B$75:$B$96,0)),INDEX('Rates &amp; Settings'!$G$75:$G$96,MATCH(E36,'Rates &amp; Settings'!$B$75:$B$96,0))),INDEX('Rates &amp; Settings'!$E$75:$E$96,MATCH(E36,'Rates &amp; Settings'!$B$75:$B$96,0)))),0))</f>
        <v/>
      </c>
      <c r="AL36" s="22" t="str">
        <f aca="false">IF(B36="","",Q36+AF36+AG36+AH36+AI36+AJ36+AK36)</f>
        <v/>
      </c>
      <c r="AM36" s="22" t="str">
        <f aca="false">IF(B36="","",MAX(0,P36*12-'Rates &amp; Settings'!$C$18))</f>
        <v/>
      </c>
      <c r="AN36" s="22" t="str">
        <f aca="false">IF(B36="","",IF(AM36&lt;='Rates &amp; Settings'!$C$19,0,MIN(SUMPRODUCT(--(AM36&gt;'Rates &amp; Settings'!$B$24:$B$30),AM36-'Rates &amp; Settings'!$B$24:$B$30,'Rates &amp; Settings'!$D$24:$D$30),AM36-'Rates &amp; Settings'!$C$19))*(1+'Rates &amp; Settings'!$C$20))</f>
        <v/>
      </c>
    </row>
    <row r="37" customFormat="false" ht="15" hidden="false" customHeight="false" outlineLevel="0" collapsed="false">
      <c r="B37" s="5"/>
      <c r="C37" s="5"/>
      <c r="D37" s="5"/>
      <c r="E37" s="5"/>
      <c r="F37" s="5"/>
      <c r="G37" s="5"/>
      <c r="H37" s="5"/>
      <c r="I37" s="20"/>
      <c r="J37" s="21"/>
      <c r="K37" s="21"/>
      <c r="L37" s="21"/>
      <c r="M37" s="21"/>
      <c r="N37" s="21"/>
      <c r="O37" s="21"/>
      <c r="P37" s="22" t="str">
        <f aca="false">IF(B37="","",SUM(J37:O37))</f>
        <v/>
      </c>
      <c r="Q37" s="22" t="str">
        <f aca="false">IF(B37="","",ROUND(P37*N(I37)/'Rates &amp; Settings'!$C$7,0))</f>
        <v/>
      </c>
      <c r="R37" s="22" t="str">
        <f aca="false">IF(B37="","",ROUND((N(J37)+N(K37))*N(I37)/'Rates &amp; Settings'!$C$7,0))</f>
        <v/>
      </c>
      <c r="S37" s="22" t="str">
        <f aca="false">IF(B37="","",IF('Rates &amp; Settings'!$C$14="Yes",MAX(R37,ROUND(Q37*0.5,0)),R37))</f>
        <v/>
      </c>
      <c r="T37" s="22" t="str">
        <f aca="false">IF(B37="","",IF(F37="Yes",IF(G37="Yes",MIN(S37,'Rates &amp; Settings'!$C$8),S37),0))</f>
        <v/>
      </c>
      <c r="U37" s="22" t="str">
        <f aca="false">IF(B37="","",ROUND(T37*'Rates &amp; Settings'!$C$9,0))</f>
        <v/>
      </c>
      <c r="V37" s="7" t="str">
        <f aca="false">IF(B37="","",IF(P37&lt;='Rates &amp; Settings'!$C$17,"Yes","No"))</f>
        <v/>
      </c>
      <c r="W37" s="22" t="str">
        <f aca="false">IF(B37="","",IF(V37="Yes",ROUNDUP(Q37*'Rates &amp; Settings'!$C$15,0),0))</f>
        <v/>
      </c>
      <c r="X37" s="22" t="str">
        <f aca="false">IF(B37="","",IF(Y37&lt;&gt;"",N(Y37),IF(MONTH('Rates &amp; Settings'!$C$6)=2,SUMIFS('Rates &amp; Settings'!$F$35:$F$70,'Rates &amp; Settings'!$B$35:$B$70,E37,'Rates &amp; Settings'!$C$35:$C$70,"&lt;="&amp;Q37,'Rates &amp; Settings'!$D$35:$D$70,"&gt;="&amp;Q37),SUMIFS('Rates &amp; Settings'!$E$35:$E$70,'Rates &amp; Settings'!$B$35:$B$70,E37,'Rates &amp; Settings'!$C$35:$C$70,"&lt;="&amp;Q37,'Rates &amp; Settings'!$D$35:$D$70,"&gt;="&amp;Q37))))</f>
        <v/>
      </c>
      <c r="Y37" s="21"/>
      <c r="Z37" s="22" t="str">
        <f aca="false">IF(B37="","",IFERROR(IF(OR(INDEX('Rates &amp; Settings'!$H$75:$H$96,MATCH(E37,'Rates &amp; Settings'!$B$75:$B$96,0))="All",ISNUMBER(SEARCH(","&amp;MONTH('Rates &amp; Settings'!$C$6)&amp;",",","&amp;INDEX('Rates &amp; Settings'!$H$75:$H$96,MATCH(E37,'Rates &amp; Settings'!$B$75:$B$96,0))&amp;","))),IF(INDEX('Rates &amp; Settings'!$C$75:$C$96,MATCH(E37,'Rates &amp; Settings'!$B$75:$B$96,0))="Percent",MIN(ROUND(Q37*INDEX('Rates &amp; Settings'!$D$75:$D$96,MATCH(E37,'Rates &amp; Settings'!$B$75:$B$96,0)),0),INDEX('Rates &amp; Settings'!$F$75:$F$96,MATCH(E37,'Rates &amp; Settings'!$B$75:$B$96,0))),INDEX('Rates &amp; Settings'!$D$75:$D$96,MATCH(E37,'Rates &amp; Settings'!$B$75:$B$96,0))),0),0))</f>
        <v/>
      </c>
      <c r="AA37" s="22" t="str">
        <f aca="false">IF(B37="","",ROUND(AN37/12,0))</f>
        <v/>
      </c>
      <c r="AB37" s="21"/>
      <c r="AC37" s="21"/>
      <c r="AD37" s="22" t="str">
        <f aca="false">IF(B37="","",U37+W37+X37+Z37+IF(AB37&lt;&gt;"",N(AB37),AA37)+N(AC37))</f>
        <v/>
      </c>
      <c r="AE37" s="23" t="str">
        <f aca="false">IF(B37="","",Q37-AD37)</f>
        <v/>
      </c>
      <c r="AF37" s="22" t="str">
        <f aca="false">IF(B37="","",ROUND(T37*'Rates &amp; Settings'!$C$10,0)-AG37)</f>
        <v/>
      </c>
      <c r="AG37" s="22" t="str">
        <f aca="false">IF(B37="","",IF(H37="Yes",ROUND(MIN(T37,'Rates &amp; Settings'!$C$8)*'Rates &amp; Settings'!$C$11,0),0))</f>
        <v/>
      </c>
      <c r="AH37" s="22" t="str">
        <f aca="false">IF(B37="","",ROUND(MIN(T37,'Rates &amp; Settings'!$C$8)*'Rates &amp; Settings'!$C$12,0))</f>
        <v/>
      </c>
      <c r="AI37" s="22" t="str">
        <f aca="false">IF(B37="","",ROUND(T37*'Rates &amp; Settings'!$C$13,0))</f>
        <v/>
      </c>
      <c r="AJ37" s="22" t="str">
        <f aca="false">IF(B37="","",IF(V37="Yes",ROUNDUP(Q37*'Rates &amp; Settings'!$C$16,0),0))</f>
        <v/>
      </c>
      <c r="AK37" s="22" t="str">
        <f aca="false">IF(B37="","",IFERROR(IF(Z37=0,0,IF(INDEX('Rates &amp; Settings'!$C$75:$C$96,MATCH(E37,'Rates &amp; Settings'!$B$75:$B$96,0))="Percent",MIN(Z37*INDEX('Rates &amp; Settings'!$E$75:$E$96,MATCH(E37,'Rates &amp; Settings'!$B$75:$B$96,0)),INDEX('Rates &amp; Settings'!$G$75:$G$96,MATCH(E37,'Rates &amp; Settings'!$B$75:$B$96,0))),INDEX('Rates &amp; Settings'!$E$75:$E$96,MATCH(E37,'Rates &amp; Settings'!$B$75:$B$96,0)))),0))</f>
        <v/>
      </c>
      <c r="AL37" s="22" t="str">
        <f aca="false">IF(B37="","",Q37+AF37+AG37+AH37+AI37+AJ37+AK37)</f>
        <v/>
      </c>
      <c r="AM37" s="22" t="str">
        <f aca="false">IF(B37="","",MAX(0,P37*12-'Rates &amp; Settings'!$C$18))</f>
        <v/>
      </c>
      <c r="AN37" s="22" t="str">
        <f aca="false">IF(B37="","",IF(AM37&lt;='Rates &amp; Settings'!$C$19,0,MIN(SUMPRODUCT(--(AM37&gt;'Rates &amp; Settings'!$B$24:$B$30),AM37-'Rates &amp; Settings'!$B$24:$B$30,'Rates &amp; Settings'!$D$24:$D$30),AM37-'Rates &amp; Settings'!$C$19))*(1+'Rates &amp; Settings'!$C$20))</f>
        <v/>
      </c>
    </row>
    <row r="38" customFormat="false" ht="15" hidden="false" customHeight="false" outlineLevel="0" collapsed="false">
      <c r="B38" s="5"/>
      <c r="C38" s="5"/>
      <c r="D38" s="5"/>
      <c r="E38" s="5"/>
      <c r="F38" s="5"/>
      <c r="G38" s="5"/>
      <c r="H38" s="5"/>
      <c r="I38" s="20"/>
      <c r="J38" s="21"/>
      <c r="K38" s="21"/>
      <c r="L38" s="21"/>
      <c r="M38" s="21"/>
      <c r="N38" s="21"/>
      <c r="O38" s="21"/>
      <c r="P38" s="22" t="str">
        <f aca="false">IF(B38="","",SUM(J38:O38))</f>
        <v/>
      </c>
      <c r="Q38" s="22" t="str">
        <f aca="false">IF(B38="","",ROUND(P38*N(I38)/'Rates &amp; Settings'!$C$7,0))</f>
        <v/>
      </c>
      <c r="R38" s="22" t="str">
        <f aca="false">IF(B38="","",ROUND((N(J38)+N(K38))*N(I38)/'Rates &amp; Settings'!$C$7,0))</f>
        <v/>
      </c>
      <c r="S38" s="22" t="str">
        <f aca="false">IF(B38="","",IF('Rates &amp; Settings'!$C$14="Yes",MAX(R38,ROUND(Q38*0.5,0)),R38))</f>
        <v/>
      </c>
      <c r="T38" s="22" t="str">
        <f aca="false">IF(B38="","",IF(F38="Yes",IF(G38="Yes",MIN(S38,'Rates &amp; Settings'!$C$8),S38),0))</f>
        <v/>
      </c>
      <c r="U38" s="22" t="str">
        <f aca="false">IF(B38="","",ROUND(T38*'Rates &amp; Settings'!$C$9,0))</f>
        <v/>
      </c>
      <c r="V38" s="7" t="str">
        <f aca="false">IF(B38="","",IF(P38&lt;='Rates &amp; Settings'!$C$17,"Yes","No"))</f>
        <v/>
      </c>
      <c r="W38" s="22" t="str">
        <f aca="false">IF(B38="","",IF(V38="Yes",ROUNDUP(Q38*'Rates &amp; Settings'!$C$15,0),0))</f>
        <v/>
      </c>
      <c r="X38" s="22" t="str">
        <f aca="false">IF(B38="","",IF(Y38&lt;&gt;"",N(Y38),IF(MONTH('Rates &amp; Settings'!$C$6)=2,SUMIFS('Rates &amp; Settings'!$F$35:$F$70,'Rates &amp; Settings'!$B$35:$B$70,E38,'Rates &amp; Settings'!$C$35:$C$70,"&lt;="&amp;Q38,'Rates &amp; Settings'!$D$35:$D$70,"&gt;="&amp;Q38),SUMIFS('Rates &amp; Settings'!$E$35:$E$70,'Rates &amp; Settings'!$B$35:$B$70,E38,'Rates &amp; Settings'!$C$35:$C$70,"&lt;="&amp;Q38,'Rates &amp; Settings'!$D$35:$D$70,"&gt;="&amp;Q38))))</f>
        <v/>
      </c>
      <c r="Y38" s="21"/>
      <c r="Z38" s="22" t="str">
        <f aca="false">IF(B38="","",IFERROR(IF(OR(INDEX('Rates &amp; Settings'!$H$75:$H$96,MATCH(E38,'Rates &amp; Settings'!$B$75:$B$96,0))="All",ISNUMBER(SEARCH(","&amp;MONTH('Rates &amp; Settings'!$C$6)&amp;",",","&amp;INDEX('Rates &amp; Settings'!$H$75:$H$96,MATCH(E38,'Rates &amp; Settings'!$B$75:$B$96,0))&amp;","))),IF(INDEX('Rates &amp; Settings'!$C$75:$C$96,MATCH(E38,'Rates &amp; Settings'!$B$75:$B$96,0))="Percent",MIN(ROUND(Q38*INDEX('Rates &amp; Settings'!$D$75:$D$96,MATCH(E38,'Rates &amp; Settings'!$B$75:$B$96,0)),0),INDEX('Rates &amp; Settings'!$F$75:$F$96,MATCH(E38,'Rates &amp; Settings'!$B$75:$B$96,0))),INDEX('Rates &amp; Settings'!$D$75:$D$96,MATCH(E38,'Rates &amp; Settings'!$B$75:$B$96,0))),0),0))</f>
        <v/>
      </c>
      <c r="AA38" s="22" t="str">
        <f aca="false">IF(B38="","",ROUND(AN38/12,0))</f>
        <v/>
      </c>
      <c r="AB38" s="21"/>
      <c r="AC38" s="21"/>
      <c r="AD38" s="22" t="str">
        <f aca="false">IF(B38="","",U38+W38+X38+Z38+IF(AB38&lt;&gt;"",N(AB38),AA38)+N(AC38))</f>
        <v/>
      </c>
      <c r="AE38" s="23" t="str">
        <f aca="false">IF(B38="","",Q38-AD38)</f>
        <v/>
      </c>
      <c r="AF38" s="22" t="str">
        <f aca="false">IF(B38="","",ROUND(T38*'Rates &amp; Settings'!$C$10,0)-AG38)</f>
        <v/>
      </c>
      <c r="AG38" s="22" t="str">
        <f aca="false">IF(B38="","",IF(H38="Yes",ROUND(MIN(T38,'Rates &amp; Settings'!$C$8)*'Rates &amp; Settings'!$C$11,0),0))</f>
        <v/>
      </c>
      <c r="AH38" s="22" t="str">
        <f aca="false">IF(B38="","",ROUND(MIN(T38,'Rates &amp; Settings'!$C$8)*'Rates &amp; Settings'!$C$12,0))</f>
        <v/>
      </c>
      <c r="AI38" s="22" t="str">
        <f aca="false">IF(B38="","",ROUND(T38*'Rates &amp; Settings'!$C$13,0))</f>
        <v/>
      </c>
      <c r="AJ38" s="22" t="str">
        <f aca="false">IF(B38="","",IF(V38="Yes",ROUNDUP(Q38*'Rates &amp; Settings'!$C$16,0),0))</f>
        <v/>
      </c>
      <c r="AK38" s="22" t="str">
        <f aca="false">IF(B38="","",IFERROR(IF(Z38=0,0,IF(INDEX('Rates &amp; Settings'!$C$75:$C$96,MATCH(E38,'Rates &amp; Settings'!$B$75:$B$96,0))="Percent",MIN(Z38*INDEX('Rates &amp; Settings'!$E$75:$E$96,MATCH(E38,'Rates &amp; Settings'!$B$75:$B$96,0)),INDEX('Rates &amp; Settings'!$G$75:$G$96,MATCH(E38,'Rates &amp; Settings'!$B$75:$B$96,0))),INDEX('Rates &amp; Settings'!$E$75:$E$96,MATCH(E38,'Rates &amp; Settings'!$B$75:$B$96,0)))),0))</f>
        <v/>
      </c>
      <c r="AL38" s="22" t="str">
        <f aca="false">IF(B38="","",Q38+AF38+AG38+AH38+AI38+AJ38+AK38)</f>
        <v/>
      </c>
      <c r="AM38" s="22" t="str">
        <f aca="false">IF(B38="","",MAX(0,P38*12-'Rates &amp; Settings'!$C$18))</f>
        <v/>
      </c>
      <c r="AN38" s="22" t="str">
        <f aca="false">IF(B38="","",IF(AM38&lt;='Rates &amp; Settings'!$C$19,0,MIN(SUMPRODUCT(--(AM38&gt;'Rates &amp; Settings'!$B$24:$B$30),AM38-'Rates &amp; Settings'!$B$24:$B$30,'Rates &amp; Settings'!$D$24:$D$30),AM38-'Rates &amp; Settings'!$C$19))*(1+'Rates &amp; Settings'!$C$20))</f>
        <v/>
      </c>
    </row>
    <row r="39" customFormat="false" ht="15" hidden="false" customHeight="false" outlineLevel="0" collapsed="false">
      <c r="B39" s="5"/>
      <c r="C39" s="5"/>
      <c r="D39" s="5"/>
      <c r="E39" s="5"/>
      <c r="F39" s="5"/>
      <c r="G39" s="5"/>
      <c r="H39" s="5"/>
      <c r="I39" s="20"/>
      <c r="J39" s="21"/>
      <c r="K39" s="21"/>
      <c r="L39" s="21"/>
      <c r="M39" s="21"/>
      <c r="N39" s="21"/>
      <c r="O39" s="21"/>
      <c r="P39" s="22" t="str">
        <f aca="false">IF(B39="","",SUM(J39:O39))</f>
        <v/>
      </c>
      <c r="Q39" s="22" t="str">
        <f aca="false">IF(B39="","",ROUND(P39*N(I39)/'Rates &amp; Settings'!$C$7,0))</f>
        <v/>
      </c>
      <c r="R39" s="22" t="str">
        <f aca="false">IF(B39="","",ROUND((N(J39)+N(K39))*N(I39)/'Rates &amp; Settings'!$C$7,0))</f>
        <v/>
      </c>
      <c r="S39" s="22" t="str">
        <f aca="false">IF(B39="","",IF('Rates &amp; Settings'!$C$14="Yes",MAX(R39,ROUND(Q39*0.5,0)),R39))</f>
        <v/>
      </c>
      <c r="T39" s="22" t="str">
        <f aca="false">IF(B39="","",IF(F39="Yes",IF(G39="Yes",MIN(S39,'Rates &amp; Settings'!$C$8),S39),0))</f>
        <v/>
      </c>
      <c r="U39" s="22" t="str">
        <f aca="false">IF(B39="","",ROUND(T39*'Rates &amp; Settings'!$C$9,0))</f>
        <v/>
      </c>
      <c r="V39" s="7" t="str">
        <f aca="false">IF(B39="","",IF(P39&lt;='Rates &amp; Settings'!$C$17,"Yes","No"))</f>
        <v/>
      </c>
      <c r="W39" s="22" t="str">
        <f aca="false">IF(B39="","",IF(V39="Yes",ROUNDUP(Q39*'Rates &amp; Settings'!$C$15,0),0))</f>
        <v/>
      </c>
      <c r="X39" s="22" t="str">
        <f aca="false">IF(B39="","",IF(Y39&lt;&gt;"",N(Y39),IF(MONTH('Rates &amp; Settings'!$C$6)=2,SUMIFS('Rates &amp; Settings'!$F$35:$F$70,'Rates &amp; Settings'!$B$35:$B$70,E39,'Rates &amp; Settings'!$C$35:$C$70,"&lt;="&amp;Q39,'Rates &amp; Settings'!$D$35:$D$70,"&gt;="&amp;Q39),SUMIFS('Rates &amp; Settings'!$E$35:$E$70,'Rates &amp; Settings'!$B$35:$B$70,E39,'Rates &amp; Settings'!$C$35:$C$70,"&lt;="&amp;Q39,'Rates &amp; Settings'!$D$35:$D$70,"&gt;="&amp;Q39))))</f>
        <v/>
      </c>
      <c r="Y39" s="21"/>
      <c r="Z39" s="22" t="str">
        <f aca="false">IF(B39="","",IFERROR(IF(OR(INDEX('Rates &amp; Settings'!$H$75:$H$96,MATCH(E39,'Rates &amp; Settings'!$B$75:$B$96,0))="All",ISNUMBER(SEARCH(","&amp;MONTH('Rates &amp; Settings'!$C$6)&amp;",",","&amp;INDEX('Rates &amp; Settings'!$H$75:$H$96,MATCH(E39,'Rates &amp; Settings'!$B$75:$B$96,0))&amp;","))),IF(INDEX('Rates &amp; Settings'!$C$75:$C$96,MATCH(E39,'Rates &amp; Settings'!$B$75:$B$96,0))="Percent",MIN(ROUND(Q39*INDEX('Rates &amp; Settings'!$D$75:$D$96,MATCH(E39,'Rates &amp; Settings'!$B$75:$B$96,0)),0),INDEX('Rates &amp; Settings'!$F$75:$F$96,MATCH(E39,'Rates &amp; Settings'!$B$75:$B$96,0))),INDEX('Rates &amp; Settings'!$D$75:$D$96,MATCH(E39,'Rates &amp; Settings'!$B$75:$B$96,0))),0),0))</f>
        <v/>
      </c>
      <c r="AA39" s="22" t="str">
        <f aca="false">IF(B39="","",ROUND(AN39/12,0))</f>
        <v/>
      </c>
      <c r="AB39" s="21"/>
      <c r="AC39" s="21"/>
      <c r="AD39" s="22" t="str">
        <f aca="false">IF(B39="","",U39+W39+X39+Z39+IF(AB39&lt;&gt;"",N(AB39),AA39)+N(AC39))</f>
        <v/>
      </c>
      <c r="AE39" s="23" t="str">
        <f aca="false">IF(B39="","",Q39-AD39)</f>
        <v/>
      </c>
      <c r="AF39" s="22" t="str">
        <f aca="false">IF(B39="","",ROUND(T39*'Rates &amp; Settings'!$C$10,0)-AG39)</f>
        <v/>
      </c>
      <c r="AG39" s="22" t="str">
        <f aca="false">IF(B39="","",IF(H39="Yes",ROUND(MIN(T39,'Rates &amp; Settings'!$C$8)*'Rates &amp; Settings'!$C$11,0),0))</f>
        <v/>
      </c>
      <c r="AH39" s="22" t="str">
        <f aca="false">IF(B39="","",ROUND(MIN(T39,'Rates &amp; Settings'!$C$8)*'Rates &amp; Settings'!$C$12,0))</f>
        <v/>
      </c>
      <c r="AI39" s="22" t="str">
        <f aca="false">IF(B39="","",ROUND(T39*'Rates &amp; Settings'!$C$13,0))</f>
        <v/>
      </c>
      <c r="AJ39" s="22" t="str">
        <f aca="false">IF(B39="","",IF(V39="Yes",ROUNDUP(Q39*'Rates &amp; Settings'!$C$16,0),0))</f>
        <v/>
      </c>
      <c r="AK39" s="22" t="str">
        <f aca="false">IF(B39="","",IFERROR(IF(Z39=0,0,IF(INDEX('Rates &amp; Settings'!$C$75:$C$96,MATCH(E39,'Rates &amp; Settings'!$B$75:$B$96,0))="Percent",MIN(Z39*INDEX('Rates &amp; Settings'!$E$75:$E$96,MATCH(E39,'Rates &amp; Settings'!$B$75:$B$96,0)),INDEX('Rates &amp; Settings'!$G$75:$G$96,MATCH(E39,'Rates &amp; Settings'!$B$75:$B$96,0))),INDEX('Rates &amp; Settings'!$E$75:$E$96,MATCH(E39,'Rates &amp; Settings'!$B$75:$B$96,0)))),0))</f>
        <v/>
      </c>
      <c r="AL39" s="22" t="str">
        <f aca="false">IF(B39="","",Q39+AF39+AG39+AH39+AI39+AJ39+AK39)</f>
        <v/>
      </c>
      <c r="AM39" s="22" t="str">
        <f aca="false">IF(B39="","",MAX(0,P39*12-'Rates &amp; Settings'!$C$18))</f>
        <v/>
      </c>
      <c r="AN39" s="22" t="str">
        <f aca="false">IF(B39="","",IF(AM39&lt;='Rates &amp; Settings'!$C$19,0,MIN(SUMPRODUCT(--(AM39&gt;'Rates &amp; Settings'!$B$24:$B$30),AM39-'Rates &amp; Settings'!$B$24:$B$30,'Rates &amp; Settings'!$D$24:$D$30),AM39-'Rates &amp; Settings'!$C$19))*(1+'Rates &amp; Settings'!$C$20))</f>
        <v/>
      </c>
    </row>
    <row r="40" customFormat="false" ht="15" hidden="false" customHeight="false" outlineLevel="0" collapsed="false">
      <c r="B40" s="5"/>
      <c r="C40" s="5"/>
      <c r="D40" s="5"/>
      <c r="E40" s="5"/>
      <c r="F40" s="5"/>
      <c r="G40" s="5"/>
      <c r="H40" s="5"/>
      <c r="I40" s="20"/>
      <c r="J40" s="21"/>
      <c r="K40" s="21"/>
      <c r="L40" s="21"/>
      <c r="M40" s="21"/>
      <c r="N40" s="21"/>
      <c r="O40" s="21"/>
      <c r="P40" s="22" t="str">
        <f aca="false">IF(B40="","",SUM(J40:O40))</f>
        <v/>
      </c>
      <c r="Q40" s="22" t="str">
        <f aca="false">IF(B40="","",ROUND(P40*N(I40)/'Rates &amp; Settings'!$C$7,0))</f>
        <v/>
      </c>
      <c r="R40" s="22" t="str">
        <f aca="false">IF(B40="","",ROUND((N(J40)+N(K40))*N(I40)/'Rates &amp; Settings'!$C$7,0))</f>
        <v/>
      </c>
      <c r="S40" s="22" t="str">
        <f aca="false">IF(B40="","",IF('Rates &amp; Settings'!$C$14="Yes",MAX(R40,ROUND(Q40*0.5,0)),R40))</f>
        <v/>
      </c>
      <c r="T40" s="22" t="str">
        <f aca="false">IF(B40="","",IF(F40="Yes",IF(G40="Yes",MIN(S40,'Rates &amp; Settings'!$C$8),S40),0))</f>
        <v/>
      </c>
      <c r="U40" s="22" t="str">
        <f aca="false">IF(B40="","",ROUND(T40*'Rates &amp; Settings'!$C$9,0))</f>
        <v/>
      </c>
      <c r="V40" s="7" t="str">
        <f aca="false">IF(B40="","",IF(P40&lt;='Rates &amp; Settings'!$C$17,"Yes","No"))</f>
        <v/>
      </c>
      <c r="W40" s="22" t="str">
        <f aca="false">IF(B40="","",IF(V40="Yes",ROUNDUP(Q40*'Rates &amp; Settings'!$C$15,0),0))</f>
        <v/>
      </c>
      <c r="X40" s="22" t="str">
        <f aca="false">IF(B40="","",IF(Y40&lt;&gt;"",N(Y40),IF(MONTH('Rates &amp; Settings'!$C$6)=2,SUMIFS('Rates &amp; Settings'!$F$35:$F$70,'Rates &amp; Settings'!$B$35:$B$70,E40,'Rates &amp; Settings'!$C$35:$C$70,"&lt;="&amp;Q40,'Rates &amp; Settings'!$D$35:$D$70,"&gt;="&amp;Q40),SUMIFS('Rates &amp; Settings'!$E$35:$E$70,'Rates &amp; Settings'!$B$35:$B$70,E40,'Rates &amp; Settings'!$C$35:$C$70,"&lt;="&amp;Q40,'Rates &amp; Settings'!$D$35:$D$70,"&gt;="&amp;Q40))))</f>
        <v/>
      </c>
      <c r="Y40" s="21"/>
      <c r="Z40" s="22" t="str">
        <f aca="false">IF(B40="","",IFERROR(IF(OR(INDEX('Rates &amp; Settings'!$H$75:$H$96,MATCH(E40,'Rates &amp; Settings'!$B$75:$B$96,0))="All",ISNUMBER(SEARCH(","&amp;MONTH('Rates &amp; Settings'!$C$6)&amp;",",","&amp;INDEX('Rates &amp; Settings'!$H$75:$H$96,MATCH(E40,'Rates &amp; Settings'!$B$75:$B$96,0))&amp;","))),IF(INDEX('Rates &amp; Settings'!$C$75:$C$96,MATCH(E40,'Rates &amp; Settings'!$B$75:$B$96,0))="Percent",MIN(ROUND(Q40*INDEX('Rates &amp; Settings'!$D$75:$D$96,MATCH(E40,'Rates &amp; Settings'!$B$75:$B$96,0)),0),INDEX('Rates &amp; Settings'!$F$75:$F$96,MATCH(E40,'Rates &amp; Settings'!$B$75:$B$96,0))),INDEX('Rates &amp; Settings'!$D$75:$D$96,MATCH(E40,'Rates &amp; Settings'!$B$75:$B$96,0))),0),0))</f>
        <v/>
      </c>
      <c r="AA40" s="22" t="str">
        <f aca="false">IF(B40="","",ROUND(AN40/12,0))</f>
        <v/>
      </c>
      <c r="AB40" s="21"/>
      <c r="AC40" s="21"/>
      <c r="AD40" s="22" t="str">
        <f aca="false">IF(B40="","",U40+W40+X40+Z40+IF(AB40&lt;&gt;"",N(AB40),AA40)+N(AC40))</f>
        <v/>
      </c>
      <c r="AE40" s="23" t="str">
        <f aca="false">IF(B40="","",Q40-AD40)</f>
        <v/>
      </c>
      <c r="AF40" s="22" t="str">
        <f aca="false">IF(B40="","",ROUND(T40*'Rates &amp; Settings'!$C$10,0)-AG40)</f>
        <v/>
      </c>
      <c r="AG40" s="22" t="str">
        <f aca="false">IF(B40="","",IF(H40="Yes",ROUND(MIN(T40,'Rates &amp; Settings'!$C$8)*'Rates &amp; Settings'!$C$11,0),0))</f>
        <v/>
      </c>
      <c r="AH40" s="22" t="str">
        <f aca="false">IF(B40="","",ROUND(MIN(T40,'Rates &amp; Settings'!$C$8)*'Rates &amp; Settings'!$C$12,0))</f>
        <v/>
      </c>
      <c r="AI40" s="22" t="str">
        <f aca="false">IF(B40="","",ROUND(T40*'Rates &amp; Settings'!$C$13,0))</f>
        <v/>
      </c>
      <c r="AJ40" s="22" t="str">
        <f aca="false">IF(B40="","",IF(V40="Yes",ROUNDUP(Q40*'Rates &amp; Settings'!$C$16,0),0))</f>
        <v/>
      </c>
      <c r="AK40" s="22" t="str">
        <f aca="false">IF(B40="","",IFERROR(IF(Z40=0,0,IF(INDEX('Rates &amp; Settings'!$C$75:$C$96,MATCH(E40,'Rates &amp; Settings'!$B$75:$B$96,0))="Percent",MIN(Z40*INDEX('Rates &amp; Settings'!$E$75:$E$96,MATCH(E40,'Rates &amp; Settings'!$B$75:$B$96,0)),INDEX('Rates &amp; Settings'!$G$75:$G$96,MATCH(E40,'Rates &amp; Settings'!$B$75:$B$96,0))),INDEX('Rates &amp; Settings'!$E$75:$E$96,MATCH(E40,'Rates &amp; Settings'!$B$75:$B$96,0)))),0))</f>
        <v/>
      </c>
      <c r="AL40" s="22" t="str">
        <f aca="false">IF(B40="","",Q40+AF40+AG40+AH40+AI40+AJ40+AK40)</f>
        <v/>
      </c>
      <c r="AM40" s="22" t="str">
        <f aca="false">IF(B40="","",MAX(0,P40*12-'Rates &amp; Settings'!$C$18))</f>
        <v/>
      </c>
      <c r="AN40" s="22" t="str">
        <f aca="false">IF(B40="","",IF(AM40&lt;='Rates &amp; Settings'!$C$19,0,MIN(SUMPRODUCT(--(AM40&gt;'Rates &amp; Settings'!$B$24:$B$30),AM40-'Rates &amp; Settings'!$B$24:$B$30,'Rates &amp; Settings'!$D$24:$D$30),AM40-'Rates &amp; Settings'!$C$19))*(1+'Rates &amp; Settings'!$C$20))</f>
        <v/>
      </c>
    </row>
    <row r="41" customFormat="false" ht="15" hidden="false" customHeight="false" outlineLevel="0" collapsed="false">
      <c r="B41" s="5"/>
      <c r="C41" s="5"/>
      <c r="D41" s="5"/>
      <c r="E41" s="5"/>
      <c r="F41" s="5"/>
      <c r="G41" s="5"/>
      <c r="H41" s="5"/>
      <c r="I41" s="20"/>
      <c r="J41" s="21"/>
      <c r="K41" s="21"/>
      <c r="L41" s="21"/>
      <c r="M41" s="21"/>
      <c r="N41" s="21"/>
      <c r="O41" s="21"/>
      <c r="P41" s="22" t="str">
        <f aca="false">IF(B41="","",SUM(J41:O41))</f>
        <v/>
      </c>
      <c r="Q41" s="22" t="str">
        <f aca="false">IF(B41="","",ROUND(P41*N(I41)/'Rates &amp; Settings'!$C$7,0))</f>
        <v/>
      </c>
      <c r="R41" s="22" t="str">
        <f aca="false">IF(B41="","",ROUND((N(J41)+N(K41))*N(I41)/'Rates &amp; Settings'!$C$7,0))</f>
        <v/>
      </c>
      <c r="S41" s="22" t="str">
        <f aca="false">IF(B41="","",IF('Rates &amp; Settings'!$C$14="Yes",MAX(R41,ROUND(Q41*0.5,0)),R41))</f>
        <v/>
      </c>
      <c r="T41" s="22" t="str">
        <f aca="false">IF(B41="","",IF(F41="Yes",IF(G41="Yes",MIN(S41,'Rates &amp; Settings'!$C$8),S41),0))</f>
        <v/>
      </c>
      <c r="U41" s="22" t="str">
        <f aca="false">IF(B41="","",ROUND(T41*'Rates &amp; Settings'!$C$9,0))</f>
        <v/>
      </c>
      <c r="V41" s="7" t="str">
        <f aca="false">IF(B41="","",IF(P41&lt;='Rates &amp; Settings'!$C$17,"Yes","No"))</f>
        <v/>
      </c>
      <c r="W41" s="22" t="str">
        <f aca="false">IF(B41="","",IF(V41="Yes",ROUNDUP(Q41*'Rates &amp; Settings'!$C$15,0),0))</f>
        <v/>
      </c>
      <c r="X41" s="22" t="str">
        <f aca="false">IF(B41="","",IF(Y41&lt;&gt;"",N(Y41),IF(MONTH('Rates &amp; Settings'!$C$6)=2,SUMIFS('Rates &amp; Settings'!$F$35:$F$70,'Rates &amp; Settings'!$B$35:$B$70,E41,'Rates &amp; Settings'!$C$35:$C$70,"&lt;="&amp;Q41,'Rates &amp; Settings'!$D$35:$D$70,"&gt;="&amp;Q41),SUMIFS('Rates &amp; Settings'!$E$35:$E$70,'Rates &amp; Settings'!$B$35:$B$70,E41,'Rates &amp; Settings'!$C$35:$C$70,"&lt;="&amp;Q41,'Rates &amp; Settings'!$D$35:$D$70,"&gt;="&amp;Q41))))</f>
        <v/>
      </c>
      <c r="Y41" s="21"/>
      <c r="Z41" s="22" t="str">
        <f aca="false">IF(B41="","",IFERROR(IF(OR(INDEX('Rates &amp; Settings'!$H$75:$H$96,MATCH(E41,'Rates &amp; Settings'!$B$75:$B$96,0))="All",ISNUMBER(SEARCH(","&amp;MONTH('Rates &amp; Settings'!$C$6)&amp;",",","&amp;INDEX('Rates &amp; Settings'!$H$75:$H$96,MATCH(E41,'Rates &amp; Settings'!$B$75:$B$96,0))&amp;","))),IF(INDEX('Rates &amp; Settings'!$C$75:$C$96,MATCH(E41,'Rates &amp; Settings'!$B$75:$B$96,0))="Percent",MIN(ROUND(Q41*INDEX('Rates &amp; Settings'!$D$75:$D$96,MATCH(E41,'Rates &amp; Settings'!$B$75:$B$96,0)),0),INDEX('Rates &amp; Settings'!$F$75:$F$96,MATCH(E41,'Rates &amp; Settings'!$B$75:$B$96,0))),INDEX('Rates &amp; Settings'!$D$75:$D$96,MATCH(E41,'Rates &amp; Settings'!$B$75:$B$96,0))),0),0))</f>
        <v/>
      </c>
      <c r="AA41" s="22" t="str">
        <f aca="false">IF(B41="","",ROUND(AN41/12,0))</f>
        <v/>
      </c>
      <c r="AB41" s="21"/>
      <c r="AC41" s="21"/>
      <c r="AD41" s="22" t="str">
        <f aca="false">IF(B41="","",U41+W41+X41+Z41+IF(AB41&lt;&gt;"",N(AB41),AA41)+N(AC41))</f>
        <v/>
      </c>
      <c r="AE41" s="23" t="str">
        <f aca="false">IF(B41="","",Q41-AD41)</f>
        <v/>
      </c>
      <c r="AF41" s="22" t="str">
        <f aca="false">IF(B41="","",ROUND(T41*'Rates &amp; Settings'!$C$10,0)-AG41)</f>
        <v/>
      </c>
      <c r="AG41" s="22" t="str">
        <f aca="false">IF(B41="","",IF(H41="Yes",ROUND(MIN(T41,'Rates &amp; Settings'!$C$8)*'Rates &amp; Settings'!$C$11,0),0))</f>
        <v/>
      </c>
      <c r="AH41" s="22" t="str">
        <f aca="false">IF(B41="","",ROUND(MIN(T41,'Rates &amp; Settings'!$C$8)*'Rates &amp; Settings'!$C$12,0))</f>
        <v/>
      </c>
      <c r="AI41" s="22" t="str">
        <f aca="false">IF(B41="","",ROUND(T41*'Rates &amp; Settings'!$C$13,0))</f>
        <v/>
      </c>
      <c r="AJ41" s="22" t="str">
        <f aca="false">IF(B41="","",IF(V41="Yes",ROUNDUP(Q41*'Rates &amp; Settings'!$C$16,0),0))</f>
        <v/>
      </c>
      <c r="AK41" s="22" t="str">
        <f aca="false">IF(B41="","",IFERROR(IF(Z41=0,0,IF(INDEX('Rates &amp; Settings'!$C$75:$C$96,MATCH(E41,'Rates &amp; Settings'!$B$75:$B$96,0))="Percent",MIN(Z41*INDEX('Rates &amp; Settings'!$E$75:$E$96,MATCH(E41,'Rates &amp; Settings'!$B$75:$B$96,0)),INDEX('Rates &amp; Settings'!$G$75:$G$96,MATCH(E41,'Rates &amp; Settings'!$B$75:$B$96,0))),INDEX('Rates &amp; Settings'!$E$75:$E$96,MATCH(E41,'Rates &amp; Settings'!$B$75:$B$96,0)))),0))</f>
        <v/>
      </c>
      <c r="AL41" s="22" t="str">
        <f aca="false">IF(B41="","",Q41+AF41+AG41+AH41+AI41+AJ41+AK41)</f>
        <v/>
      </c>
      <c r="AM41" s="22" t="str">
        <f aca="false">IF(B41="","",MAX(0,P41*12-'Rates &amp; Settings'!$C$18))</f>
        <v/>
      </c>
      <c r="AN41" s="22" t="str">
        <f aca="false">IF(B41="","",IF(AM41&lt;='Rates &amp; Settings'!$C$19,0,MIN(SUMPRODUCT(--(AM41&gt;'Rates &amp; Settings'!$B$24:$B$30),AM41-'Rates &amp; Settings'!$B$24:$B$30,'Rates &amp; Settings'!$D$24:$D$30),AM41-'Rates &amp; Settings'!$C$19))*(1+'Rates &amp; Settings'!$C$20))</f>
        <v/>
      </c>
    </row>
    <row r="42" customFormat="false" ht="15" hidden="false" customHeight="false" outlineLevel="0" collapsed="false">
      <c r="B42" s="5"/>
      <c r="C42" s="5"/>
      <c r="D42" s="5"/>
      <c r="E42" s="5"/>
      <c r="F42" s="5"/>
      <c r="G42" s="5"/>
      <c r="H42" s="5"/>
      <c r="I42" s="20"/>
      <c r="J42" s="21"/>
      <c r="K42" s="21"/>
      <c r="L42" s="21"/>
      <c r="M42" s="21"/>
      <c r="N42" s="21"/>
      <c r="O42" s="21"/>
      <c r="P42" s="22" t="str">
        <f aca="false">IF(B42="","",SUM(J42:O42))</f>
        <v/>
      </c>
      <c r="Q42" s="22" t="str">
        <f aca="false">IF(B42="","",ROUND(P42*N(I42)/'Rates &amp; Settings'!$C$7,0))</f>
        <v/>
      </c>
      <c r="R42" s="22" t="str">
        <f aca="false">IF(B42="","",ROUND((N(J42)+N(K42))*N(I42)/'Rates &amp; Settings'!$C$7,0))</f>
        <v/>
      </c>
      <c r="S42" s="22" t="str">
        <f aca="false">IF(B42="","",IF('Rates &amp; Settings'!$C$14="Yes",MAX(R42,ROUND(Q42*0.5,0)),R42))</f>
        <v/>
      </c>
      <c r="T42" s="22" t="str">
        <f aca="false">IF(B42="","",IF(F42="Yes",IF(G42="Yes",MIN(S42,'Rates &amp; Settings'!$C$8),S42),0))</f>
        <v/>
      </c>
      <c r="U42" s="22" t="str">
        <f aca="false">IF(B42="","",ROUND(T42*'Rates &amp; Settings'!$C$9,0))</f>
        <v/>
      </c>
      <c r="V42" s="7" t="str">
        <f aca="false">IF(B42="","",IF(P42&lt;='Rates &amp; Settings'!$C$17,"Yes","No"))</f>
        <v/>
      </c>
      <c r="W42" s="22" t="str">
        <f aca="false">IF(B42="","",IF(V42="Yes",ROUNDUP(Q42*'Rates &amp; Settings'!$C$15,0),0))</f>
        <v/>
      </c>
      <c r="X42" s="22" t="str">
        <f aca="false">IF(B42="","",IF(Y42&lt;&gt;"",N(Y42),IF(MONTH('Rates &amp; Settings'!$C$6)=2,SUMIFS('Rates &amp; Settings'!$F$35:$F$70,'Rates &amp; Settings'!$B$35:$B$70,E42,'Rates &amp; Settings'!$C$35:$C$70,"&lt;="&amp;Q42,'Rates &amp; Settings'!$D$35:$D$70,"&gt;="&amp;Q42),SUMIFS('Rates &amp; Settings'!$E$35:$E$70,'Rates &amp; Settings'!$B$35:$B$70,E42,'Rates &amp; Settings'!$C$35:$C$70,"&lt;="&amp;Q42,'Rates &amp; Settings'!$D$35:$D$70,"&gt;="&amp;Q42))))</f>
        <v/>
      </c>
      <c r="Y42" s="21"/>
      <c r="Z42" s="22" t="str">
        <f aca="false">IF(B42="","",IFERROR(IF(OR(INDEX('Rates &amp; Settings'!$H$75:$H$96,MATCH(E42,'Rates &amp; Settings'!$B$75:$B$96,0))="All",ISNUMBER(SEARCH(","&amp;MONTH('Rates &amp; Settings'!$C$6)&amp;",",","&amp;INDEX('Rates &amp; Settings'!$H$75:$H$96,MATCH(E42,'Rates &amp; Settings'!$B$75:$B$96,0))&amp;","))),IF(INDEX('Rates &amp; Settings'!$C$75:$C$96,MATCH(E42,'Rates &amp; Settings'!$B$75:$B$96,0))="Percent",MIN(ROUND(Q42*INDEX('Rates &amp; Settings'!$D$75:$D$96,MATCH(E42,'Rates &amp; Settings'!$B$75:$B$96,0)),0),INDEX('Rates &amp; Settings'!$F$75:$F$96,MATCH(E42,'Rates &amp; Settings'!$B$75:$B$96,0))),INDEX('Rates &amp; Settings'!$D$75:$D$96,MATCH(E42,'Rates &amp; Settings'!$B$75:$B$96,0))),0),0))</f>
        <v/>
      </c>
      <c r="AA42" s="22" t="str">
        <f aca="false">IF(B42="","",ROUND(AN42/12,0))</f>
        <v/>
      </c>
      <c r="AB42" s="21"/>
      <c r="AC42" s="21"/>
      <c r="AD42" s="22" t="str">
        <f aca="false">IF(B42="","",U42+W42+X42+Z42+IF(AB42&lt;&gt;"",N(AB42),AA42)+N(AC42))</f>
        <v/>
      </c>
      <c r="AE42" s="23" t="str">
        <f aca="false">IF(B42="","",Q42-AD42)</f>
        <v/>
      </c>
      <c r="AF42" s="22" t="str">
        <f aca="false">IF(B42="","",ROUND(T42*'Rates &amp; Settings'!$C$10,0)-AG42)</f>
        <v/>
      </c>
      <c r="AG42" s="22" t="str">
        <f aca="false">IF(B42="","",IF(H42="Yes",ROUND(MIN(T42,'Rates &amp; Settings'!$C$8)*'Rates &amp; Settings'!$C$11,0),0))</f>
        <v/>
      </c>
      <c r="AH42" s="22" t="str">
        <f aca="false">IF(B42="","",ROUND(MIN(T42,'Rates &amp; Settings'!$C$8)*'Rates &amp; Settings'!$C$12,0))</f>
        <v/>
      </c>
      <c r="AI42" s="22" t="str">
        <f aca="false">IF(B42="","",ROUND(T42*'Rates &amp; Settings'!$C$13,0))</f>
        <v/>
      </c>
      <c r="AJ42" s="22" t="str">
        <f aca="false">IF(B42="","",IF(V42="Yes",ROUNDUP(Q42*'Rates &amp; Settings'!$C$16,0),0))</f>
        <v/>
      </c>
      <c r="AK42" s="22" t="str">
        <f aca="false">IF(B42="","",IFERROR(IF(Z42=0,0,IF(INDEX('Rates &amp; Settings'!$C$75:$C$96,MATCH(E42,'Rates &amp; Settings'!$B$75:$B$96,0))="Percent",MIN(Z42*INDEX('Rates &amp; Settings'!$E$75:$E$96,MATCH(E42,'Rates &amp; Settings'!$B$75:$B$96,0)),INDEX('Rates &amp; Settings'!$G$75:$G$96,MATCH(E42,'Rates &amp; Settings'!$B$75:$B$96,0))),INDEX('Rates &amp; Settings'!$E$75:$E$96,MATCH(E42,'Rates &amp; Settings'!$B$75:$B$96,0)))),0))</f>
        <v/>
      </c>
      <c r="AL42" s="22" t="str">
        <f aca="false">IF(B42="","",Q42+AF42+AG42+AH42+AI42+AJ42+AK42)</f>
        <v/>
      </c>
      <c r="AM42" s="22" t="str">
        <f aca="false">IF(B42="","",MAX(0,P42*12-'Rates &amp; Settings'!$C$18))</f>
        <v/>
      </c>
      <c r="AN42" s="22" t="str">
        <f aca="false">IF(B42="","",IF(AM42&lt;='Rates &amp; Settings'!$C$19,0,MIN(SUMPRODUCT(--(AM42&gt;'Rates &amp; Settings'!$B$24:$B$30),AM42-'Rates &amp; Settings'!$B$24:$B$30,'Rates &amp; Settings'!$D$24:$D$30),AM42-'Rates &amp; Settings'!$C$19))*(1+'Rates &amp; Settings'!$C$20))</f>
        <v/>
      </c>
    </row>
    <row r="43" customFormat="false" ht="15" hidden="false" customHeight="false" outlineLevel="0" collapsed="false">
      <c r="B43" s="5"/>
      <c r="C43" s="5"/>
      <c r="D43" s="5"/>
      <c r="E43" s="5"/>
      <c r="F43" s="5"/>
      <c r="G43" s="5"/>
      <c r="H43" s="5"/>
      <c r="I43" s="20"/>
      <c r="J43" s="21"/>
      <c r="K43" s="21"/>
      <c r="L43" s="21"/>
      <c r="M43" s="21"/>
      <c r="N43" s="21"/>
      <c r="O43" s="21"/>
      <c r="P43" s="22" t="str">
        <f aca="false">IF(B43="","",SUM(J43:O43))</f>
        <v/>
      </c>
      <c r="Q43" s="22" t="str">
        <f aca="false">IF(B43="","",ROUND(P43*N(I43)/'Rates &amp; Settings'!$C$7,0))</f>
        <v/>
      </c>
      <c r="R43" s="22" t="str">
        <f aca="false">IF(B43="","",ROUND((N(J43)+N(K43))*N(I43)/'Rates &amp; Settings'!$C$7,0))</f>
        <v/>
      </c>
      <c r="S43" s="22" t="str">
        <f aca="false">IF(B43="","",IF('Rates &amp; Settings'!$C$14="Yes",MAX(R43,ROUND(Q43*0.5,0)),R43))</f>
        <v/>
      </c>
      <c r="T43" s="22" t="str">
        <f aca="false">IF(B43="","",IF(F43="Yes",IF(G43="Yes",MIN(S43,'Rates &amp; Settings'!$C$8),S43),0))</f>
        <v/>
      </c>
      <c r="U43" s="22" t="str">
        <f aca="false">IF(B43="","",ROUND(T43*'Rates &amp; Settings'!$C$9,0))</f>
        <v/>
      </c>
      <c r="V43" s="7" t="str">
        <f aca="false">IF(B43="","",IF(P43&lt;='Rates &amp; Settings'!$C$17,"Yes","No"))</f>
        <v/>
      </c>
      <c r="W43" s="22" t="str">
        <f aca="false">IF(B43="","",IF(V43="Yes",ROUNDUP(Q43*'Rates &amp; Settings'!$C$15,0),0))</f>
        <v/>
      </c>
      <c r="X43" s="22" t="str">
        <f aca="false">IF(B43="","",IF(Y43&lt;&gt;"",N(Y43),IF(MONTH('Rates &amp; Settings'!$C$6)=2,SUMIFS('Rates &amp; Settings'!$F$35:$F$70,'Rates &amp; Settings'!$B$35:$B$70,E43,'Rates &amp; Settings'!$C$35:$C$70,"&lt;="&amp;Q43,'Rates &amp; Settings'!$D$35:$D$70,"&gt;="&amp;Q43),SUMIFS('Rates &amp; Settings'!$E$35:$E$70,'Rates &amp; Settings'!$B$35:$B$70,E43,'Rates &amp; Settings'!$C$35:$C$70,"&lt;="&amp;Q43,'Rates &amp; Settings'!$D$35:$D$70,"&gt;="&amp;Q43))))</f>
        <v/>
      </c>
      <c r="Y43" s="21"/>
      <c r="Z43" s="22" t="str">
        <f aca="false">IF(B43="","",IFERROR(IF(OR(INDEX('Rates &amp; Settings'!$H$75:$H$96,MATCH(E43,'Rates &amp; Settings'!$B$75:$B$96,0))="All",ISNUMBER(SEARCH(","&amp;MONTH('Rates &amp; Settings'!$C$6)&amp;",",","&amp;INDEX('Rates &amp; Settings'!$H$75:$H$96,MATCH(E43,'Rates &amp; Settings'!$B$75:$B$96,0))&amp;","))),IF(INDEX('Rates &amp; Settings'!$C$75:$C$96,MATCH(E43,'Rates &amp; Settings'!$B$75:$B$96,0))="Percent",MIN(ROUND(Q43*INDEX('Rates &amp; Settings'!$D$75:$D$96,MATCH(E43,'Rates &amp; Settings'!$B$75:$B$96,0)),0),INDEX('Rates &amp; Settings'!$F$75:$F$96,MATCH(E43,'Rates &amp; Settings'!$B$75:$B$96,0))),INDEX('Rates &amp; Settings'!$D$75:$D$96,MATCH(E43,'Rates &amp; Settings'!$B$75:$B$96,0))),0),0))</f>
        <v/>
      </c>
      <c r="AA43" s="22" t="str">
        <f aca="false">IF(B43="","",ROUND(AN43/12,0))</f>
        <v/>
      </c>
      <c r="AB43" s="21"/>
      <c r="AC43" s="21"/>
      <c r="AD43" s="22" t="str">
        <f aca="false">IF(B43="","",U43+W43+X43+Z43+IF(AB43&lt;&gt;"",N(AB43),AA43)+N(AC43))</f>
        <v/>
      </c>
      <c r="AE43" s="23" t="str">
        <f aca="false">IF(B43="","",Q43-AD43)</f>
        <v/>
      </c>
      <c r="AF43" s="22" t="str">
        <f aca="false">IF(B43="","",ROUND(T43*'Rates &amp; Settings'!$C$10,0)-AG43)</f>
        <v/>
      </c>
      <c r="AG43" s="22" t="str">
        <f aca="false">IF(B43="","",IF(H43="Yes",ROUND(MIN(T43,'Rates &amp; Settings'!$C$8)*'Rates &amp; Settings'!$C$11,0),0))</f>
        <v/>
      </c>
      <c r="AH43" s="22" t="str">
        <f aca="false">IF(B43="","",ROUND(MIN(T43,'Rates &amp; Settings'!$C$8)*'Rates &amp; Settings'!$C$12,0))</f>
        <v/>
      </c>
      <c r="AI43" s="22" t="str">
        <f aca="false">IF(B43="","",ROUND(T43*'Rates &amp; Settings'!$C$13,0))</f>
        <v/>
      </c>
      <c r="AJ43" s="22" t="str">
        <f aca="false">IF(B43="","",IF(V43="Yes",ROUNDUP(Q43*'Rates &amp; Settings'!$C$16,0),0))</f>
        <v/>
      </c>
      <c r="AK43" s="22" t="str">
        <f aca="false">IF(B43="","",IFERROR(IF(Z43=0,0,IF(INDEX('Rates &amp; Settings'!$C$75:$C$96,MATCH(E43,'Rates &amp; Settings'!$B$75:$B$96,0))="Percent",MIN(Z43*INDEX('Rates &amp; Settings'!$E$75:$E$96,MATCH(E43,'Rates &amp; Settings'!$B$75:$B$96,0)),INDEX('Rates &amp; Settings'!$G$75:$G$96,MATCH(E43,'Rates &amp; Settings'!$B$75:$B$96,0))),INDEX('Rates &amp; Settings'!$E$75:$E$96,MATCH(E43,'Rates &amp; Settings'!$B$75:$B$96,0)))),0))</f>
        <v/>
      </c>
      <c r="AL43" s="22" t="str">
        <f aca="false">IF(B43="","",Q43+AF43+AG43+AH43+AI43+AJ43+AK43)</f>
        <v/>
      </c>
      <c r="AM43" s="22" t="str">
        <f aca="false">IF(B43="","",MAX(0,P43*12-'Rates &amp; Settings'!$C$18))</f>
        <v/>
      </c>
      <c r="AN43" s="22" t="str">
        <f aca="false">IF(B43="","",IF(AM43&lt;='Rates &amp; Settings'!$C$19,0,MIN(SUMPRODUCT(--(AM43&gt;'Rates &amp; Settings'!$B$24:$B$30),AM43-'Rates &amp; Settings'!$B$24:$B$30,'Rates &amp; Settings'!$D$24:$D$30),AM43-'Rates &amp; Settings'!$C$19))*(1+'Rates &amp; Settings'!$C$20))</f>
        <v/>
      </c>
    </row>
    <row r="44" customFormat="false" ht="15" hidden="false" customHeight="false" outlineLevel="0" collapsed="false">
      <c r="B44" s="5"/>
      <c r="C44" s="5"/>
      <c r="D44" s="5"/>
      <c r="E44" s="5"/>
      <c r="F44" s="5"/>
      <c r="G44" s="5"/>
      <c r="H44" s="5"/>
      <c r="I44" s="20"/>
      <c r="J44" s="21"/>
      <c r="K44" s="21"/>
      <c r="L44" s="21"/>
      <c r="M44" s="21"/>
      <c r="N44" s="21"/>
      <c r="O44" s="21"/>
      <c r="P44" s="22" t="str">
        <f aca="false">IF(B44="","",SUM(J44:O44))</f>
        <v/>
      </c>
      <c r="Q44" s="22" t="str">
        <f aca="false">IF(B44="","",ROUND(P44*N(I44)/'Rates &amp; Settings'!$C$7,0))</f>
        <v/>
      </c>
      <c r="R44" s="22" t="str">
        <f aca="false">IF(B44="","",ROUND((N(J44)+N(K44))*N(I44)/'Rates &amp; Settings'!$C$7,0))</f>
        <v/>
      </c>
      <c r="S44" s="22" t="str">
        <f aca="false">IF(B44="","",IF('Rates &amp; Settings'!$C$14="Yes",MAX(R44,ROUND(Q44*0.5,0)),R44))</f>
        <v/>
      </c>
      <c r="T44" s="22" t="str">
        <f aca="false">IF(B44="","",IF(F44="Yes",IF(G44="Yes",MIN(S44,'Rates &amp; Settings'!$C$8),S44),0))</f>
        <v/>
      </c>
      <c r="U44" s="22" t="str">
        <f aca="false">IF(B44="","",ROUND(T44*'Rates &amp; Settings'!$C$9,0))</f>
        <v/>
      </c>
      <c r="V44" s="7" t="str">
        <f aca="false">IF(B44="","",IF(P44&lt;='Rates &amp; Settings'!$C$17,"Yes","No"))</f>
        <v/>
      </c>
      <c r="W44" s="22" t="str">
        <f aca="false">IF(B44="","",IF(V44="Yes",ROUNDUP(Q44*'Rates &amp; Settings'!$C$15,0),0))</f>
        <v/>
      </c>
      <c r="X44" s="22" t="str">
        <f aca="false">IF(B44="","",IF(Y44&lt;&gt;"",N(Y44),IF(MONTH('Rates &amp; Settings'!$C$6)=2,SUMIFS('Rates &amp; Settings'!$F$35:$F$70,'Rates &amp; Settings'!$B$35:$B$70,E44,'Rates &amp; Settings'!$C$35:$C$70,"&lt;="&amp;Q44,'Rates &amp; Settings'!$D$35:$D$70,"&gt;="&amp;Q44),SUMIFS('Rates &amp; Settings'!$E$35:$E$70,'Rates &amp; Settings'!$B$35:$B$70,E44,'Rates &amp; Settings'!$C$35:$C$70,"&lt;="&amp;Q44,'Rates &amp; Settings'!$D$35:$D$70,"&gt;="&amp;Q44))))</f>
        <v/>
      </c>
      <c r="Y44" s="21"/>
      <c r="Z44" s="22" t="str">
        <f aca="false">IF(B44="","",IFERROR(IF(OR(INDEX('Rates &amp; Settings'!$H$75:$H$96,MATCH(E44,'Rates &amp; Settings'!$B$75:$B$96,0))="All",ISNUMBER(SEARCH(","&amp;MONTH('Rates &amp; Settings'!$C$6)&amp;",",","&amp;INDEX('Rates &amp; Settings'!$H$75:$H$96,MATCH(E44,'Rates &amp; Settings'!$B$75:$B$96,0))&amp;","))),IF(INDEX('Rates &amp; Settings'!$C$75:$C$96,MATCH(E44,'Rates &amp; Settings'!$B$75:$B$96,0))="Percent",MIN(ROUND(Q44*INDEX('Rates &amp; Settings'!$D$75:$D$96,MATCH(E44,'Rates &amp; Settings'!$B$75:$B$96,0)),0),INDEX('Rates &amp; Settings'!$F$75:$F$96,MATCH(E44,'Rates &amp; Settings'!$B$75:$B$96,0))),INDEX('Rates &amp; Settings'!$D$75:$D$96,MATCH(E44,'Rates &amp; Settings'!$B$75:$B$96,0))),0),0))</f>
        <v/>
      </c>
      <c r="AA44" s="22" t="str">
        <f aca="false">IF(B44="","",ROUND(AN44/12,0))</f>
        <v/>
      </c>
      <c r="AB44" s="21"/>
      <c r="AC44" s="21"/>
      <c r="AD44" s="22" t="str">
        <f aca="false">IF(B44="","",U44+W44+X44+Z44+IF(AB44&lt;&gt;"",N(AB44),AA44)+N(AC44))</f>
        <v/>
      </c>
      <c r="AE44" s="23" t="str">
        <f aca="false">IF(B44="","",Q44-AD44)</f>
        <v/>
      </c>
      <c r="AF44" s="22" t="str">
        <f aca="false">IF(B44="","",ROUND(T44*'Rates &amp; Settings'!$C$10,0)-AG44)</f>
        <v/>
      </c>
      <c r="AG44" s="22" t="str">
        <f aca="false">IF(B44="","",IF(H44="Yes",ROUND(MIN(T44,'Rates &amp; Settings'!$C$8)*'Rates &amp; Settings'!$C$11,0),0))</f>
        <v/>
      </c>
      <c r="AH44" s="22" t="str">
        <f aca="false">IF(B44="","",ROUND(MIN(T44,'Rates &amp; Settings'!$C$8)*'Rates &amp; Settings'!$C$12,0))</f>
        <v/>
      </c>
      <c r="AI44" s="22" t="str">
        <f aca="false">IF(B44="","",ROUND(T44*'Rates &amp; Settings'!$C$13,0))</f>
        <v/>
      </c>
      <c r="AJ44" s="22" t="str">
        <f aca="false">IF(B44="","",IF(V44="Yes",ROUNDUP(Q44*'Rates &amp; Settings'!$C$16,0),0))</f>
        <v/>
      </c>
      <c r="AK44" s="22" t="str">
        <f aca="false">IF(B44="","",IFERROR(IF(Z44=0,0,IF(INDEX('Rates &amp; Settings'!$C$75:$C$96,MATCH(E44,'Rates &amp; Settings'!$B$75:$B$96,0))="Percent",MIN(Z44*INDEX('Rates &amp; Settings'!$E$75:$E$96,MATCH(E44,'Rates &amp; Settings'!$B$75:$B$96,0)),INDEX('Rates &amp; Settings'!$G$75:$G$96,MATCH(E44,'Rates &amp; Settings'!$B$75:$B$96,0))),INDEX('Rates &amp; Settings'!$E$75:$E$96,MATCH(E44,'Rates &amp; Settings'!$B$75:$B$96,0)))),0))</f>
        <v/>
      </c>
      <c r="AL44" s="22" t="str">
        <f aca="false">IF(B44="","",Q44+AF44+AG44+AH44+AI44+AJ44+AK44)</f>
        <v/>
      </c>
      <c r="AM44" s="22" t="str">
        <f aca="false">IF(B44="","",MAX(0,P44*12-'Rates &amp; Settings'!$C$18))</f>
        <v/>
      </c>
      <c r="AN44" s="22" t="str">
        <f aca="false">IF(B44="","",IF(AM44&lt;='Rates &amp; Settings'!$C$19,0,MIN(SUMPRODUCT(--(AM44&gt;'Rates &amp; Settings'!$B$24:$B$30),AM44-'Rates &amp; Settings'!$B$24:$B$30,'Rates &amp; Settings'!$D$24:$D$30),AM44-'Rates &amp; Settings'!$C$19))*(1+'Rates &amp; Settings'!$C$20))</f>
        <v/>
      </c>
    </row>
    <row r="45" customFormat="false" ht="15" hidden="false" customHeight="false" outlineLevel="0" collapsed="false">
      <c r="B45" s="5"/>
      <c r="C45" s="5"/>
      <c r="D45" s="5"/>
      <c r="E45" s="5"/>
      <c r="F45" s="5"/>
      <c r="G45" s="5"/>
      <c r="H45" s="5"/>
      <c r="I45" s="20"/>
      <c r="J45" s="21"/>
      <c r="K45" s="21"/>
      <c r="L45" s="21"/>
      <c r="M45" s="21"/>
      <c r="N45" s="21"/>
      <c r="O45" s="21"/>
      <c r="P45" s="22" t="str">
        <f aca="false">IF(B45="","",SUM(J45:O45))</f>
        <v/>
      </c>
      <c r="Q45" s="22" t="str">
        <f aca="false">IF(B45="","",ROUND(P45*N(I45)/'Rates &amp; Settings'!$C$7,0))</f>
        <v/>
      </c>
      <c r="R45" s="22" t="str">
        <f aca="false">IF(B45="","",ROUND((N(J45)+N(K45))*N(I45)/'Rates &amp; Settings'!$C$7,0))</f>
        <v/>
      </c>
      <c r="S45" s="22" t="str">
        <f aca="false">IF(B45="","",IF('Rates &amp; Settings'!$C$14="Yes",MAX(R45,ROUND(Q45*0.5,0)),R45))</f>
        <v/>
      </c>
      <c r="T45" s="22" t="str">
        <f aca="false">IF(B45="","",IF(F45="Yes",IF(G45="Yes",MIN(S45,'Rates &amp; Settings'!$C$8),S45),0))</f>
        <v/>
      </c>
      <c r="U45" s="22" t="str">
        <f aca="false">IF(B45="","",ROUND(T45*'Rates &amp; Settings'!$C$9,0))</f>
        <v/>
      </c>
      <c r="V45" s="7" t="str">
        <f aca="false">IF(B45="","",IF(P45&lt;='Rates &amp; Settings'!$C$17,"Yes","No"))</f>
        <v/>
      </c>
      <c r="W45" s="22" t="str">
        <f aca="false">IF(B45="","",IF(V45="Yes",ROUNDUP(Q45*'Rates &amp; Settings'!$C$15,0),0))</f>
        <v/>
      </c>
      <c r="X45" s="22" t="str">
        <f aca="false">IF(B45="","",IF(Y45&lt;&gt;"",N(Y45),IF(MONTH('Rates &amp; Settings'!$C$6)=2,SUMIFS('Rates &amp; Settings'!$F$35:$F$70,'Rates &amp; Settings'!$B$35:$B$70,E45,'Rates &amp; Settings'!$C$35:$C$70,"&lt;="&amp;Q45,'Rates &amp; Settings'!$D$35:$D$70,"&gt;="&amp;Q45),SUMIFS('Rates &amp; Settings'!$E$35:$E$70,'Rates &amp; Settings'!$B$35:$B$70,E45,'Rates &amp; Settings'!$C$35:$C$70,"&lt;="&amp;Q45,'Rates &amp; Settings'!$D$35:$D$70,"&gt;="&amp;Q45))))</f>
        <v/>
      </c>
      <c r="Y45" s="21"/>
      <c r="Z45" s="22" t="str">
        <f aca="false">IF(B45="","",IFERROR(IF(OR(INDEX('Rates &amp; Settings'!$H$75:$H$96,MATCH(E45,'Rates &amp; Settings'!$B$75:$B$96,0))="All",ISNUMBER(SEARCH(","&amp;MONTH('Rates &amp; Settings'!$C$6)&amp;",",","&amp;INDEX('Rates &amp; Settings'!$H$75:$H$96,MATCH(E45,'Rates &amp; Settings'!$B$75:$B$96,0))&amp;","))),IF(INDEX('Rates &amp; Settings'!$C$75:$C$96,MATCH(E45,'Rates &amp; Settings'!$B$75:$B$96,0))="Percent",MIN(ROUND(Q45*INDEX('Rates &amp; Settings'!$D$75:$D$96,MATCH(E45,'Rates &amp; Settings'!$B$75:$B$96,0)),0),INDEX('Rates &amp; Settings'!$F$75:$F$96,MATCH(E45,'Rates &amp; Settings'!$B$75:$B$96,0))),INDEX('Rates &amp; Settings'!$D$75:$D$96,MATCH(E45,'Rates &amp; Settings'!$B$75:$B$96,0))),0),0))</f>
        <v/>
      </c>
      <c r="AA45" s="22" t="str">
        <f aca="false">IF(B45="","",ROUND(AN45/12,0))</f>
        <v/>
      </c>
      <c r="AB45" s="21"/>
      <c r="AC45" s="21"/>
      <c r="AD45" s="22" t="str">
        <f aca="false">IF(B45="","",U45+W45+X45+Z45+IF(AB45&lt;&gt;"",N(AB45),AA45)+N(AC45))</f>
        <v/>
      </c>
      <c r="AE45" s="23" t="str">
        <f aca="false">IF(B45="","",Q45-AD45)</f>
        <v/>
      </c>
      <c r="AF45" s="22" t="str">
        <f aca="false">IF(B45="","",ROUND(T45*'Rates &amp; Settings'!$C$10,0)-AG45)</f>
        <v/>
      </c>
      <c r="AG45" s="22" t="str">
        <f aca="false">IF(B45="","",IF(H45="Yes",ROUND(MIN(T45,'Rates &amp; Settings'!$C$8)*'Rates &amp; Settings'!$C$11,0),0))</f>
        <v/>
      </c>
      <c r="AH45" s="22" t="str">
        <f aca="false">IF(B45="","",ROUND(MIN(T45,'Rates &amp; Settings'!$C$8)*'Rates &amp; Settings'!$C$12,0))</f>
        <v/>
      </c>
      <c r="AI45" s="22" t="str">
        <f aca="false">IF(B45="","",ROUND(T45*'Rates &amp; Settings'!$C$13,0))</f>
        <v/>
      </c>
      <c r="AJ45" s="22" t="str">
        <f aca="false">IF(B45="","",IF(V45="Yes",ROUNDUP(Q45*'Rates &amp; Settings'!$C$16,0),0))</f>
        <v/>
      </c>
      <c r="AK45" s="22" t="str">
        <f aca="false">IF(B45="","",IFERROR(IF(Z45=0,0,IF(INDEX('Rates &amp; Settings'!$C$75:$C$96,MATCH(E45,'Rates &amp; Settings'!$B$75:$B$96,0))="Percent",MIN(Z45*INDEX('Rates &amp; Settings'!$E$75:$E$96,MATCH(E45,'Rates &amp; Settings'!$B$75:$B$96,0)),INDEX('Rates &amp; Settings'!$G$75:$G$96,MATCH(E45,'Rates &amp; Settings'!$B$75:$B$96,0))),INDEX('Rates &amp; Settings'!$E$75:$E$96,MATCH(E45,'Rates &amp; Settings'!$B$75:$B$96,0)))),0))</f>
        <v/>
      </c>
      <c r="AL45" s="22" t="str">
        <f aca="false">IF(B45="","",Q45+AF45+AG45+AH45+AI45+AJ45+AK45)</f>
        <v/>
      </c>
      <c r="AM45" s="22" t="str">
        <f aca="false">IF(B45="","",MAX(0,P45*12-'Rates &amp; Settings'!$C$18))</f>
        <v/>
      </c>
      <c r="AN45" s="22" t="str">
        <f aca="false">IF(B45="","",IF(AM45&lt;='Rates &amp; Settings'!$C$19,0,MIN(SUMPRODUCT(--(AM45&gt;'Rates &amp; Settings'!$B$24:$B$30),AM45-'Rates &amp; Settings'!$B$24:$B$30,'Rates &amp; Settings'!$D$24:$D$30),AM45-'Rates &amp; Settings'!$C$19))*(1+'Rates &amp; Settings'!$C$20))</f>
        <v/>
      </c>
    </row>
    <row r="46" customFormat="false" ht="15" hidden="false" customHeight="false" outlineLevel="0" collapsed="false">
      <c r="B46" s="5"/>
      <c r="C46" s="5"/>
      <c r="D46" s="5"/>
      <c r="E46" s="5"/>
      <c r="F46" s="5"/>
      <c r="G46" s="5"/>
      <c r="H46" s="5"/>
      <c r="I46" s="20"/>
      <c r="J46" s="21"/>
      <c r="K46" s="21"/>
      <c r="L46" s="21"/>
      <c r="M46" s="21"/>
      <c r="N46" s="21"/>
      <c r="O46" s="21"/>
      <c r="P46" s="22" t="str">
        <f aca="false">IF(B46="","",SUM(J46:O46))</f>
        <v/>
      </c>
      <c r="Q46" s="22" t="str">
        <f aca="false">IF(B46="","",ROUND(P46*N(I46)/'Rates &amp; Settings'!$C$7,0))</f>
        <v/>
      </c>
      <c r="R46" s="22" t="str">
        <f aca="false">IF(B46="","",ROUND((N(J46)+N(K46))*N(I46)/'Rates &amp; Settings'!$C$7,0))</f>
        <v/>
      </c>
      <c r="S46" s="22" t="str">
        <f aca="false">IF(B46="","",IF('Rates &amp; Settings'!$C$14="Yes",MAX(R46,ROUND(Q46*0.5,0)),R46))</f>
        <v/>
      </c>
      <c r="T46" s="22" t="str">
        <f aca="false">IF(B46="","",IF(F46="Yes",IF(G46="Yes",MIN(S46,'Rates &amp; Settings'!$C$8),S46),0))</f>
        <v/>
      </c>
      <c r="U46" s="22" t="str">
        <f aca="false">IF(B46="","",ROUND(T46*'Rates &amp; Settings'!$C$9,0))</f>
        <v/>
      </c>
      <c r="V46" s="7" t="str">
        <f aca="false">IF(B46="","",IF(P46&lt;='Rates &amp; Settings'!$C$17,"Yes","No"))</f>
        <v/>
      </c>
      <c r="W46" s="22" t="str">
        <f aca="false">IF(B46="","",IF(V46="Yes",ROUNDUP(Q46*'Rates &amp; Settings'!$C$15,0),0))</f>
        <v/>
      </c>
      <c r="X46" s="22" t="str">
        <f aca="false">IF(B46="","",IF(Y46&lt;&gt;"",N(Y46),IF(MONTH('Rates &amp; Settings'!$C$6)=2,SUMIFS('Rates &amp; Settings'!$F$35:$F$70,'Rates &amp; Settings'!$B$35:$B$70,E46,'Rates &amp; Settings'!$C$35:$C$70,"&lt;="&amp;Q46,'Rates &amp; Settings'!$D$35:$D$70,"&gt;="&amp;Q46),SUMIFS('Rates &amp; Settings'!$E$35:$E$70,'Rates &amp; Settings'!$B$35:$B$70,E46,'Rates &amp; Settings'!$C$35:$C$70,"&lt;="&amp;Q46,'Rates &amp; Settings'!$D$35:$D$70,"&gt;="&amp;Q46))))</f>
        <v/>
      </c>
      <c r="Y46" s="21"/>
      <c r="Z46" s="22" t="str">
        <f aca="false">IF(B46="","",IFERROR(IF(OR(INDEX('Rates &amp; Settings'!$H$75:$H$96,MATCH(E46,'Rates &amp; Settings'!$B$75:$B$96,0))="All",ISNUMBER(SEARCH(","&amp;MONTH('Rates &amp; Settings'!$C$6)&amp;",",","&amp;INDEX('Rates &amp; Settings'!$H$75:$H$96,MATCH(E46,'Rates &amp; Settings'!$B$75:$B$96,0))&amp;","))),IF(INDEX('Rates &amp; Settings'!$C$75:$C$96,MATCH(E46,'Rates &amp; Settings'!$B$75:$B$96,0))="Percent",MIN(ROUND(Q46*INDEX('Rates &amp; Settings'!$D$75:$D$96,MATCH(E46,'Rates &amp; Settings'!$B$75:$B$96,0)),0),INDEX('Rates &amp; Settings'!$F$75:$F$96,MATCH(E46,'Rates &amp; Settings'!$B$75:$B$96,0))),INDEX('Rates &amp; Settings'!$D$75:$D$96,MATCH(E46,'Rates &amp; Settings'!$B$75:$B$96,0))),0),0))</f>
        <v/>
      </c>
      <c r="AA46" s="22" t="str">
        <f aca="false">IF(B46="","",ROUND(AN46/12,0))</f>
        <v/>
      </c>
      <c r="AB46" s="21"/>
      <c r="AC46" s="21"/>
      <c r="AD46" s="22" t="str">
        <f aca="false">IF(B46="","",U46+W46+X46+Z46+IF(AB46&lt;&gt;"",N(AB46),AA46)+N(AC46))</f>
        <v/>
      </c>
      <c r="AE46" s="23" t="str">
        <f aca="false">IF(B46="","",Q46-AD46)</f>
        <v/>
      </c>
      <c r="AF46" s="22" t="str">
        <f aca="false">IF(B46="","",ROUND(T46*'Rates &amp; Settings'!$C$10,0)-AG46)</f>
        <v/>
      </c>
      <c r="AG46" s="22" t="str">
        <f aca="false">IF(B46="","",IF(H46="Yes",ROUND(MIN(T46,'Rates &amp; Settings'!$C$8)*'Rates &amp; Settings'!$C$11,0),0))</f>
        <v/>
      </c>
      <c r="AH46" s="22" t="str">
        <f aca="false">IF(B46="","",ROUND(MIN(T46,'Rates &amp; Settings'!$C$8)*'Rates &amp; Settings'!$C$12,0))</f>
        <v/>
      </c>
      <c r="AI46" s="22" t="str">
        <f aca="false">IF(B46="","",ROUND(T46*'Rates &amp; Settings'!$C$13,0))</f>
        <v/>
      </c>
      <c r="AJ46" s="22" t="str">
        <f aca="false">IF(B46="","",IF(V46="Yes",ROUNDUP(Q46*'Rates &amp; Settings'!$C$16,0),0))</f>
        <v/>
      </c>
      <c r="AK46" s="22" t="str">
        <f aca="false">IF(B46="","",IFERROR(IF(Z46=0,0,IF(INDEX('Rates &amp; Settings'!$C$75:$C$96,MATCH(E46,'Rates &amp; Settings'!$B$75:$B$96,0))="Percent",MIN(Z46*INDEX('Rates &amp; Settings'!$E$75:$E$96,MATCH(E46,'Rates &amp; Settings'!$B$75:$B$96,0)),INDEX('Rates &amp; Settings'!$G$75:$G$96,MATCH(E46,'Rates &amp; Settings'!$B$75:$B$96,0))),INDEX('Rates &amp; Settings'!$E$75:$E$96,MATCH(E46,'Rates &amp; Settings'!$B$75:$B$96,0)))),0))</f>
        <v/>
      </c>
      <c r="AL46" s="22" t="str">
        <f aca="false">IF(B46="","",Q46+AF46+AG46+AH46+AI46+AJ46+AK46)</f>
        <v/>
      </c>
      <c r="AM46" s="22" t="str">
        <f aca="false">IF(B46="","",MAX(0,P46*12-'Rates &amp; Settings'!$C$18))</f>
        <v/>
      </c>
      <c r="AN46" s="22" t="str">
        <f aca="false">IF(B46="","",IF(AM46&lt;='Rates &amp; Settings'!$C$19,0,MIN(SUMPRODUCT(--(AM46&gt;'Rates &amp; Settings'!$B$24:$B$30),AM46-'Rates &amp; Settings'!$B$24:$B$30,'Rates &amp; Settings'!$D$24:$D$30),AM46-'Rates &amp; Settings'!$C$19))*(1+'Rates &amp; Settings'!$C$20))</f>
        <v/>
      </c>
    </row>
    <row r="47" customFormat="false" ht="15" hidden="false" customHeight="false" outlineLevel="0" collapsed="false">
      <c r="B47" s="5"/>
      <c r="C47" s="5"/>
      <c r="D47" s="5"/>
      <c r="E47" s="5"/>
      <c r="F47" s="5"/>
      <c r="G47" s="5"/>
      <c r="H47" s="5"/>
      <c r="I47" s="20"/>
      <c r="J47" s="21"/>
      <c r="K47" s="21"/>
      <c r="L47" s="21"/>
      <c r="M47" s="21"/>
      <c r="N47" s="21"/>
      <c r="O47" s="21"/>
      <c r="P47" s="22" t="str">
        <f aca="false">IF(B47="","",SUM(J47:O47))</f>
        <v/>
      </c>
      <c r="Q47" s="22" t="str">
        <f aca="false">IF(B47="","",ROUND(P47*N(I47)/'Rates &amp; Settings'!$C$7,0))</f>
        <v/>
      </c>
      <c r="R47" s="22" t="str">
        <f aca="false">IF(B47="","",ROUND((N(J47)+N(K47))*N(I47)/'Rates &amp; Settings'!$C$7,0))</f>
        <v/>
      </c>
      <c r="S47" s="22" t="str">
        <f aca="false">IF(B47="","",IF('Rates &amp; Settings'!$C$14="Yes",MAX(R47,ROUND(Q47*0.5,0)),R47))</f>
        <v/>
      </c>
      <c r="T47" s="22" t="str">
        <f aca="false">IF(B47="","",IF(F47="Yes",IF(G47="Yes",MIN(S47,'Rates &amp; Settings'!$C$8),S47),0))</f>
        <v/>
      </c>
      <c r="U47" s="22" t="str">
        <f aca="false">IF(B47="","",ROUND(T47*'Rates &amp; Settings'!$C$9,0))</f>
        <v/>
      </c>
      <c r="V47" s="7" t="str">
        <f aca="false">IF(B47="","",IF(P47&lt;='Rates &amp; Settings'!$C$17,"Yes","No"))</f>
        <v/>
      </c>
      <c r="W47" s="22" t="str">
        <f aca="false">IF(B47="","",IF(V47="Yes",ROUNDUP(Q47*'Rates &amp; Settings'!$C$15,0),0))</f>
        <v/>
      </c>
      <c r="X47" s="22" t="str">
        <f aca="false">IF(B47="","",IF(Y47&lt;&gt;"",N(Y47),IF(MONTH('Rates &amp; Settings'!$C$6)=2,SUMIFS('Rates &amp; Settings'!$F$35:$F$70,'Rates &amp; Settings'!$B$35:$B$70,E47,'Rates &amp; Settings'!$C$35:$C$70,"&lt;="&amp;Q47,'Rates &amp; Settings'!$D$35:$D$70,"&gt;="&amp;Q47),SUMIFS('Rates &amp; Settings'!$E$35:$E$70,'Rates &amp; Settings'!$B$35:$B$70,E47,'Rates &amp; Settings'!$C$35:$C$70,"&lt;="&amp;Q47,'Rates &amp; Settings'!$D$35:$D$70,"&gt;="&amp;Q47))))</f>
        <v/>
      </c>
      <c r="Y47" s="21"/>
      <c r="Z47" s="22" t="str">
        <f aca="false">IF(B47="","",IFERROR(IF(OR(INDEX('Rates &amp; Settings'!$H$75:$H$96,MATCH(E47,'Rates &amp; Settings'!$B$75:$B$96,0))="All",ISNUMBER(SEARCH(","&amp;MONTH('Rates &amp; Settings'!$C$6)&amp;",",","&amp;INDEX('Rates &amp; Settings'!$H$75:$H$96,MATCH(E47,'Rates &amp; Settings'!$B$75:$B$96,0))&amp;","))),IF(INDEX('Rates &amp; Settings'!$C$75:$C$96,MATCH(E47,'Rates &amp; Settings'!$B$75:$B$96,0))="Percent",MIN(ROUND(Q47*INDEX('Rates &amp; Settings'!$D$75:$D$96,MATCH(E47,'Rates &amp; Settings'!$B$75:$B$96,0)),0),INDEX('Rates &amp; Settings'!$F$75:$F$96,MATCH(E47,'Rates &amp; Settings'!$B$75:$B$96,0))),INDEX('Rates &amp; Settings'!$D$75:$D$96,MATCH(E47,'Rates &amp; Settings'!$B$75:$B$96,0))),0),0))</f>
        <v/>
      </c>
      <c r="AA47" s="22" t="str">
        <f aca="false">IF(B47="","",ROUND(AN47/12,0))</f>
        <v/>
      </c>
      <c r="AB47" s="21"/>
      <c r="AC47" s="21"/>
      <c r="AD47" s="22" t="str">
        <f aca="false">IF(B47="","",U47+W47+X47+Z47+IF(AB47&lt;&gt;"",N(AB47),AA47)+N(AC47))</f>
        <v/>
      </c>
      <c r="AE47" s="23" t="str">
        <f aca="false">IF(B47="","",Q47-AD47)</f>
        <v/>
      </c>
      <c r="AF47" s="22" t="str">
        <f aca="false">IF(B47="","",ROUND(T47*'Rates &amp; Settings'!$C$10,0)-AG47)</f>
        <v/>
      </c>
      <c r="AG47" s="22" t="str">
        <f aca="false">IF(B47="","",IF(H47="Yes",ROUND(MIN(T47,'Rates &amp; Settings'!$C$8)*'Rates &amp; Settings'!$C$11,0),0))</f>
        <v/>
      </c>
      <c r="AH47" s="22" t="str">
        <f aca="false">IF(B47="","",ROUND(MIN(T47,'Rates &amp; Settings'!$C$8)*'Rates &amp; Settings'!$C$12,0))</f>
        <v/>
      </c>
      <c r="AI47" s="22" t="str">
        <f aca="false">IF(B47="","",ROUND(T47*'Rates &amp; Settings'!$C$13,0))</f>
        <v/>
      </c>
      <c r="AJ47" s="22" t="str">
        <f aca="false">IF(B47="","",IF(V47="Yes",ROUNDUP(Q47*'Rates &amp; Settings'!$C$16,0),0))</f>
        <v/>
      </c>
      <c r="AK47" s="22" t="str">
        <f aca="false">IF(B47="","",IFERROR(IF(Z47=0,0,IF(INDEX('Rates &amp; Settings'!$C$75:$C$96,MATCH(E47,'Rates &amp; Settings'!$B$75:$B$96,0))="Percent",MIN(Z47*INDEX('Rates &amp; Settings'!$E$75:$E$96,MATCH(E47,'Rates &amp; Settings'!$B$75:$B$96,0)),INDEX('Rates &amp; Settings'!$G$75:$G$96,MATCH(E47,'Rates &amp; Settings'!$B$75:$B$96,0))),INDEX('Rates &amp; Settings'!$E$75:$E$96,MATCH(E47,'Rates &amp; Settings'!$B$75:$B$96,0)))),0))</f>
        <v/>
      </c>
      <c r="AL47" s="22" t="str">
        <f aca="false">IF(B47="","",Q47+AF47+AG47+AH47+AI47+AJ47+AK47)</f>
        <v/>
      </c>
      <c r="AM47" s="22" t="str">
        <f aca="false">IF(B47="","",MAX(0,P47*12-'Rates &amp; Settings'!$C$18))</f>
        <v/>
      </c>
      <c r="AN47" s="22" t="str">
        <f aca="false">IF(B47="","",IF(AM47&lt;='Rates &amp; Settings'!$C$19,0,MIN(SUMPRODUCT(--(AM47&gt;'Rates &amp; Settings'!$B$24:$B$30),AM47-'Rates &amp; Settings'!$B$24:$B$30,'Rates &amp; Settings'!$D$24:$D$30),AM47-'Rates &amp; Settings'!$C$19))*(1+'Rates &amp; Settings'!$C$20))</f>
        <v/>
      </c>
    </row>
    <row r="48" customFormat="false" ht="15" hidden="false" customHeight="false" outlineLevel="0" collapsed="false">
      <c r="B48" s="5"/>
      <c r="C48" s="5"/>
      <c r="D48" s="5"/>
      <c r="E48" s="5"/>
      <c r="F48" s="5"/>
      <c r="G48" s="5"/>
      <c r="H48" s="5"/>
      <c r="I48" s="20"/>
      <c r="J48" s="21"/>
      <c r="K48" s="21"/>
      <c r="L48" s="21"/>
      <c r="M48" s="21"/>
      <c r="N48" s="21"/>
      <c r="O48" s="21"/>
      <c r="P48" s="22" t="str">
        <f aca="false">IF(B48="","",SUM(J48:O48))</f>
        <v/>
      </c>
      <c r="Q48" s="22" t="str">
        <f aca="false">IF(B48="","",ROUND(P48*N(I48)/'Rates &amp; Settings'!$C$7,0))</f>
        <v/>
      </c>
      <c r="R48" s="22" t="str">
        <f aca="false">IF(B48="","",ROUND((N(J48)+N(K48))*N(I48)/'Rates &amp; Settings'!$C$7,0))</f>
        <v/>
      </c>
      <c r="S48" s="22" t="str">
        <f aca="false">IF(B48="","",IF('Rates &amp; Settings'!$C$14="Yes",MAX(R48,ROUND(Q48*0.5,0)),R48))</f>
        <v/>
      </c>
      <c r="T48" s="22" t="str">
        <f aca="false">IF(B48="","",IF(F48="Yes",IF(G48="Yes",MIN(S48,'Rates &amp; Settings'!$C$8),S48),0))</f>
        <v/>
      </c>
      <c r="U48" s="22" t="str">
        <f aca="false">IF(B48="","",ROUND(T48*'Rates &amp; Settings'!$C$9,0))</f>
        <v/>
      </c>
      <c r="V48" s="7" t="str">
        <f aca="false">IF(B48="","",IF(P48&lt;='Rates &amp; Settings'!$C$17,"Yes","No"))</f>
        <v/>
      </c>
      <c r="W48" s="22" t="str">
        <f aca="false">IF(B48="","",IF(V48="Yes",ROUNDUP(Q48*'Rates &amp; Settings'!$C$15,0),0))</f>
        <v/>
      </c>
      <c r="X48" s="22" t="str">
        <f aca="false">IF(B48="","",IF(Y48&lt;&gt;"",N(Y48),IF(MONTH('Rates &amp; Settings'!$C$6)=2,SUMIFS('Rates &amp; Settings'!$F$35:$F$70,'Rates &amp; Settings'!$B$35:$B$70,E48,'Rates &amp; Settings'!$C$35:$C$70,"&lt;="&amp;Q48,'Rates &amp; Settings'!$D$35:$D$70,"&gt;="&amp;Q48),SUMIFS('Rates &amp; Settings'!$E$35:$E$70,'Rates &amp; Settings'!$B$35:$B$70,E48,'Rates &amp; Settings'!$C$35:$C$70,"&lt;="&amp;Q48,'Rates &amp; Settings'!$D$35:$D$70,"&gt;="&amp;Q48))))</f>
        <v/>
      </c>
      <c r="Y48" s="21"/>
      <c r="Z48" s="22" t="str">
        <f aca="false">IF(B48="","",IFERROR(IF(OR(INDEX('Rates &amp; Settings'!$H$75:$H$96,MATCH(E48,'Rates &amp; Settings'!$B$75:$B$96,0))="All",ISNUMBER(SEARCH(","&amp;MONTH('Rates &amp; Settings'!$C$6)&amp;",",","&amp;INDEX('Rates &amp; Settings'!$H$75:$H$96,MATCH(E48,'Rates &amp; Settings'!$B$75:$B$96,0))&amp;","))),IF(INDEX('Rates &amp; Settings'!$C$75:$C$96,MATCH(E48,'Rates &amp; Settings'!$B$75:$B$96,0))="Percent",MIN(ROUND(Q48*INDEX('Rates &amp; Settings'!$D$75:$D$96,MATCH(E48,'Rates &amp; Settings'!$B$75:$B$96,0)),0),INDEX('Rates &amp; Settings'!$F$75:$F$96,MATCH(E48,'Rates &amp; Settings'!$B$75:$B$96,0))),INDEX('Rates &amp; Settings'!$D$75:$D$96,MATCH(E48,'Rates &amp; Settings'!$B$75:$B$96,0))),0),0))</f>
        <v/>
      </c>
      <c r="AA48" s="22" t="str">
        <f aca="false">IF(B48="","",ROUND(AN48/12,0))</f>
        <v/>
      </c>
      <c r="AB48" s="21"/>
      <c r="AC48" s="21"/>
      <c r="AD48" s="22" t="str">
        <f aca="false">IF(B48="","",U48+W48+X48+Z48+IF(AB48&lt;&gt;"",N(AB48),AA48)+N(AC48))</f>
        <v/>
      </c>
      <c r="AE48" s="23" t="str">
        <f aca="false">IF(B48="","",Q48-AD48)</f>
        <v/>
      </c>
      <c r="AF48" s="22" t="str">
        <f aca="false">IF(B48="","",ROUND(T48*'Rates &amp; Settings'!$C$10,0)-AG48)</f>
        <v/>
      </c>
      <c r="AG48" s="22" t="str">
        <f aca="false">IF(B48="","",IF(H48="Yes",ROUND(MIN(T48,'Rates &amp; Settings'!$C$8)*'Rates &amp; Settings'!$C$11,0),0))</f>
        <v/>
      </c>
      <c r="AH48" s="22" t="str">
        <f aca="false">IF(B48="","",ROUND(MIN(T48,'Rates &amp; Settings'!$C$8)*'Rates &amp; Settings'!$C$12,0))</f>
        <v/>
      </c>
      <c r="AI48" s="22" t="str">
        <f aca="false">IF(B48="","",ROUND(T48*'Rates &amp; Settings'!$C$13,0))</f>
        <v/>
      </c>
      <c r="AJ48" s="22" t="str">
        <f aca="false">IF(B48="","",IF(V48="Yes",ROUNDUP(Q48*'Rates &amp; Settings'!$C$16,0),0))</f>
        <v/>
      </c>
      <c r="AK48" s="22" t="str">
        <f aca="false">IF(B48="","",IFERROR(IF(Z48=0,0,IF(INDEX('Rates &amp; Settings'!$C$75:$C$96,MATCH(E48,'Rates &amp; Settings'!$B$75:$B$96,0))="Percent",MIN(Z48*INDEX('Rates &amp; Settings'!$E$75:$E$96,MATCH(E48,'Rates &amp; Settings'!$B$75:$B$96,0)),INDEX('Rates &amp; Settings'!$G$75:$G$96,MATCH(E48,'Rates &amp; Settings'!$B$75:$B$96,0))),INDEX('Rates &amp; Settings'!$E$75:$E$96,MATCH(E48,'Rates &amp; Settings'!$B$75:$B$96,0)))),0))</f>
        <v/>
      </c>
      <c r="AL48" s="22" t="str">
        <f aca="false">IF(B48="","",Q48+AF48+AG48+AH48+AI48+AJ48+AK48)</f>
        <v/>
      </c>
      <c r="AM48" s="22" t="str">
        <f aca="false">IF(B48="","",MAX(0,P48*12-'Rates &amp; Settings'!$C$18))</f>
        <v/>
      </c>
      <c r="AN48" s="22" t="str">
        <f aca="false">IF(B48="","",IF(AM48&lt;='Rates &amp; Settings'!$C$19,0,MIN(SUMPRODUCT(--(AM48&gt;'Rates &amp; Settings'!$B$24:$B$30),AM48-'Rates &amp; Settings'!$B$24:$B$30,'Rates &amp; Settings'!$D$24:$D$30),AM48-'Rates &amp; Settings'!$C$19))*(1+'Rates &amp; Settings'!$C$20))</f>
        <v/>
      </c>
    </row>
    <row r="49" customFormat="false" ht="15" hidden="false" customHeight="false" outlineLevel="0" collapsed="false">
      <c r="B49" s="5"/>
      <c r="C49" s="5"/>
      <c r="D49" s="5"/>
      <c r="E49" s="5"/>
      <c r="F49" s="5"/>
      <c r="G49" s="5"/>
      <c r="H49" s="5"/>
      <c r="I49" s="20"/>
      <c r="J49" s="21"/>
      <c r="K49" s="21"/>
      <c r="L49" s="21"/>
      <c r="M49" s="21"/>
      <c r="N49" s="21"/>
      <c r="O49" s="21"/>
      <c r="P49" s="22" t="str">
        <f aca="false">IF(B49="","",SUM(J49:O49))</f>
        <v/>
      </c>
      <c r="Q49" s="22" t="str">
        <f aca="false">IF(B49="","",ROUND(P49*N(I49)/'Rates &amp; Settings'!$C$7,0))</f>
        <v/>
      </c>
      <c r="R49" s="22" t="str">
        <f aca="false">IF(B49="","",ROUND((N(J49)+N(K49))*N(I49)/'Rates &amp; Settings'!$C$7,0))</f>
        <v/>
      </c>
      <c r="S49" s="22" t="str">
        <f aca="false">IF(B49="","",IF('Rates &amp; Settings'!$C$14="Yes",MAX(R49,ROUND(Q49*0.5,0)),R49))</f>
        <v/>
      </c>
      <c r="T49" s="22" t="str">
        <f aca="false">IF(B49="","",IF(F49="Yes",IF(G49="Yes",MIN(S49,'Rates &amp; Settings'!$C$8),S49),0))</f>
        <v/>
      </c>
      <c r="U49" s="22" t="str">
        <f aca="false">IF(B49="","",ROUND(T49*'Rates &amp; Settings'!$C$9,0))</f>
        <v/>
      </c>
      <c r="V49" s="7" t="str">
        <f aca="false">IF(B49="","",IF(P49&lt;='Rates &amp; Settings'!$C$17,"Yes","No"))</f>
        <v/>
      </c>
      <c r="W49" s="22" t="str">
        <f aca="false">IF(B49="","",IF(V49="Yes",ROUNDUP(Q49*'Rates &amp; Settings'!$C$15,0),0))</f>
        <v/>
      </c>
      <c r="X49" s="22" t="str">
        <f aca="false">IF(B49="","",IF(Y49&lt;&gt;"",N(Y49),IF(MONTH('Rates &amp; Settings'!$C$6)=2,SUMIFS('Rates &amp; Settings'!$F$35:$F$70,'Rates &amp; Settings'!$B$35:$B$70,E49,'Rates &amp; Settings'!$C$35:$C$70,"&lt;="&amp;Q49,'Rates &amp; Settings'!$D$35:$D$70,"&gt;="&amp;Q49),SUMIFS('Rates &amp; Settings'!$E$35:$E$70,'Rates &amp; Settings'!$B$35:$B$70,E49,'Rates &amp; Settings'!$C$35:$C$70,"&lt;="&amp;Q49,'Rates &amp; Settings'!$D$35:$D$70,"&gt;="&amp;Q49))))</f>
        <v/>
      </c>
      <c r="Y49" s="21"/>
      <c r="Z49" s="22" t="str">
        <f aca="false">IF(B49="","",IFERROR(IF(OR(INDEX('Rates &amp; Settings'!$H$75:$H$96,MATCH(E49,'Rates &amp; Settings'!$B$75:$B$96,0))="All",ISNUMBER(SEARCH(","&amp;MONTH('Rates &amp; Settings'!$C$6)&amp;",",","&amp;INDEX('Rates &amp; Settings'!$H$75:$H$96,MATCH(E49,'Rates &amp; Settings'!$B$75:$B$96,0))&amp;","))),IF(INDEX('Rates &amp; Settings'!$C$75:$C$96,MATCH(E49,'Rates &amp; Settings'!$B$75:$B$96,0))="Percent",MIN(ROUND(Q49*INDEX('Rates &amp; Settings'!$D$75:$D$96,MATCH(E49,'Rates &amp; Settings'!$B$75:$B$96,0)),0),INDEX('Rates &amp; Settings'!$F$75:$F$96,MATCH(E49,'Rates &amp; Settings'!$B$75:$B$96,0))),INDEX('Rates &amp; Settings'!$D$75:$D$96,MATCH(E49,'Rates &amp; Settings'!$B$75:$B$96,0))),0),0))</f>
        <v/>
      </c>
      <c r="AA49" s="22" t="str">
        <f aca="false">IF(B49="","",ROUND(AN49/12,0))</f>
        <v/>
      </c>
      <c r="AB49" s="21"/>
      <c r="AC49" s="21"/>
      <c r="AD49" s="22" t="str">
        <f aca="false">IF(B49="","",U49+W49+X49+Z49+IF(AB49&lt;&gt;"",N(AB49),AA49)+N(AC49))</f>
        <v/>
      </c>
      <c r="AE49" s="23" t="str">
        <f aca="false">IF(B49="","",Q49-AD49)</f>
        <v/>
      </c>
      <c r="AF49" s="22" t="str">
        <f aca="false">IF(B49="","",ROUND(T49*'Rates &amp; Settings'!$C$10,0)-AG49)</f>
        <v/>
      </c>
      <c r="AG49" s="22" t="str">
        <f aca="false">IF(B49="","",IF(H49="Yes",ROUND(MIN(T49,'Rates &amp; Settings'!$C$8)*'Rates &amp; Settings'!$C$11,0),0))</f>
        <v/>
      </c>
      <c r="AH49" s="22" t="str">
        <f aca="false">IF(B49="","",ROUND(MIN(T49,'Rates &amp; Settings'!$C$8)*'Rates &amp; Settings'!$C$12,0))</f>
        <v/>
      </c>
      <c r="AI49" s="22" t="str">
        <f aca="false">IF(B49="","",ROUND(T49*'Rates &amp; Settings'!$C$13,0))</f>
        <v/>
      </c>
      <c r="AJ49" s="22" t="str">
        <f aca="false">IF(B49="","",IF(V49="Yes",ROUNDUP(Q49*'Rates &amp; Settings'!$C$16,0),0))</f>
        <v/>
      </c>
      <c r="AK49" s="22" t="str">
        <f aca="false">IF(B49="","",IFERROR(IF(Z49=0,0,IF(INDEX('Rates &amp; Settings'!$C$75:$C$96,MATCH(E49,'Rates &amp; Settings'!$B$75:$B$96,0))="Percent",MIN(Z49*INDEX('Rates &amp; Settings'!$E$75:$E$96,MATCH(E49,'Rates &amp; Settings'!$B$75:$B$96,0)),INDEX('Rates &amp; Settings'!$G$75:$G$96,MATCH(E49,'Rates &amp; Settings'!$B$75:$B$96,0))),INDEX('Rates &amp; Settings'!$E$75:$E$96,MATCH(E49,'Rates &amp; Settings'!$B$75:$B$96,0)))),0))</f>
        <v/>
      </c>
      <c r="AL49" s="22" t="str">
        <f aca="false">IF(B49="","",Q49+AF49+AG49+AH49+AI49+AJ49+AK49)</f>
        <v/>
      </c>
      <c r="AM49" s="22" t="str">
        <f aca="false">IF(B49="","",MAX(0,P49*12-'Rates &amp; Settings'!$C$18))</f>
        <v/>
      </c>
      <c r="AN49" s="22" t="str">
        <f aca="false">IF(B49="","",IF(AM49&lt;='Rates &amp; Settings'!$C$19,0,MIN(SUMPRODUCT(--(AM49&gt;'Rates &amp; Settings'!$B$24:$B$30),AM49-'Rates &amp; Settings'!$B$24:$B$30,'Rates &amp; Settings'!$D$24:$D$30),AM49-'Rates &amp; Settings'!$C$19))*(1+'Rates &amp; Settings'!$C$20))</f>
        <v/>
      </c>
    </row>
    <row r="50" customFormat="false" ht="15" hidden="false" customHeight="false" outlineLevel="0" collapsed="false">
      <c r="B50" s="5"/>
      <c r="C50" s="5"/>
      <c r="D50" s="5"/>
      <c r="E50" s="5"/>
      <c r="F50" s="5"/>
      <c r="G50" s="5"/>
      <c r="H50" s="5"/>
      <c r="I50" s="20"/>
      <c r="J50" s="21"/>
      <c r="K50" s="21"/>
      <c r="L50" s="21"/>
      <c r="M50" s="21"/>
      <c r="N50" s="21"/>
      <c r="O50" s="21"/>
      <c r="P50" s="22" t="str">
        <f aca="false">IF(B50="","",SUM(J50:O50))</f>
        <v/>
      </c>
      <c r="Q50" s="22" t="str">
        <f aca="false">IF(B50="","",ROUND(P50*N(I50)/'Rates &amp; Settings'!$C$7,0))</f>
        <v/>
      </c>
      <c r="R50" s="22" t="str">
        <f aca="false">IF(B50="","",ROUND((N(J50)+N(K50))*N(I50)/'Rates &amp; Settings'!$C$7,0))</f>
        <v/>
      </c>
      <c r="S50" s="22" t="str">
        <f aca="false">IF(B50="","",IF('Rates &amp; Settings'!$C$14="Yes",MAX(R50,ROUND(Q50*0.5,0)),R50))</f>
        <v/>
      </c>
      <c r="T50" s="22" t="str">
        <f aca="false">IF(B50="","",IF(F50="Yes",IF(G50="Yes",MIN(S50,'Rates &amp; Settings'!$C$8),S50),0))</f>
        <v/>
      </c>
      <c r="U50" s="22" t="str">
        <f aca="false">IF(B50="","",ROUND(T50*'Rates &amp; Settings'!$C$9,0))</f>
        <v/>
      </c>
      <c r="V50" s="7" t="str">
        <f aca="false">IF(B50="","",IF(P50&lt;='Rates &amp; Settings'!$C$17,"Yes","No"))</f>
        <v/>
      </c>
      <c r="W50" s="22" t="str">
        <f aca="false">IF(B50="","",IF(V50="Yes",ROUNDUP(Q50*'Rates &amp; Settings'!$C$15,0),0))</f>
        <v/>
      </c>
      <c r="X50" s="22" t="str">
        <f aca="false">IF(B50="","",IF(Y50&lt;&gt;"",N(Y50),IF(MONTH('Rates &amp; Settings'!$C$6)=2,SUMIFS('Rates &amp; Settings'!$F$35:$F$70,'Rates &amp; Settings'!$B$35:$B$70,E50,'Rates &amp; Settings'!$C$35:$C$70,"&lt;="&amp;Q50,'Rates &amp; Settings'!$D$35:$D$70,"&gt;="&amp;Q50),SUMIFS('Rates &amp; Settings'!$E$35:$E$70,'Rates &amp; Settings'!$B$35:$B$70,E50,'Rates &amp; Settings'!$C$35:$C$70,"&lt;="&amp;Q50,'Rates &amp; Settings'!$D$35:$D$70,"&gt;="&amp;Q50))))</f>
        <v/>
      </c>
      <c r="Y50" s="21"/>
      <c r="Z50" s="22" t="str">
        <f aca="false">IF(B50="","",IFERROR(IF(OR(INDEX('Rates &amp; Settings'!$H$75:$H$96,MATCH(E50,'Rates &amp; Settings'!$B$75:$B$96,0))="All",ISNUMBER(SEARCH(","&amp;MONTH('Rates &amp; Settings'!$C$6)&amp;",",","&amp;INDEX('Rates &amp; Settings'!$H$75:$H$96,MATCH(E50,'Rates &amp; Settings'!$B$75:$B$96,0))&amp;","))),IF(INDEX('Rates &amp; Settings'!$C$75:$C$96,MATCH(E50,'Rates &amp; Settings'!$B$75:$B$96,0))="Percent",MIN(ROUND(Q50*INDEX('Rates &amp; Settings'!$D$75:$D$96,MATCH(E50,'Rates &amp; Settings'!$B$75:$B$96,0)),0),INDEX('Rates &amp; Settings'!$F$75:$F$96,MATCH(E50,'Rates &amp; Settings'!$B$75:$B$96,0))),INDEX('Rates &amp; Settings'!$D$75:$D$96,MATCH(E50,'Rates &amp; Settings'!$B$75:$B$96,0))),0),0))</f>
        <v/>
      </c>
      <c r="AA50" s="22" t="str">
        <f aca="false">IF(B50="","",ROUND(AN50/12,0))</f>
        <v/>
      </c>
      <c r="AB50" s="21"/>
      <c r="AC50" s="21"/>
      <c r="AD50" s="22" t="str">
        <f aca="false">IF(B50="","",U50+W50+X50+Z50+IF(AB50&lt;&gt;"",N(AB50),AA50)+N(AC50))</f>
        <v/>
      </c>
      <c r="AE50" s="23" t="str">
        <f aca="false">IF(B50="","",Q50-AD50)</f>
        <v/>
      </c>
      <c r="AF50" s="22" t="str">
        <f aca="false">IF(B50="","",ROUND(T50*'Rates &amp; Settings'!$C$10,0)-AG50)</f>
        <v/>
      </c>
      <c r="AG50" s="22" t="str">
        <f aca="false">IF(B50="","",IF(H50="Yes",ROUND(MIN(T50,'Rates &amp; Settings'!$C$8)*'Rates &amp; Settings'!$C$11,0),0))</f>
        <v/>
      </c>
      <c r="AH50" s="22" t="str">
        <f aca="false">IF(B50="","",ROUND(MIN(T50,'Rates &amp; Settings'!$C$8)*'Rates &amp; Settings'!$C$12,0))</f>
        <v/>
      </c>
      <c r="AI50" s="22" t="str">
        <f aca="false">IF(B50="","",ROUND(T50*'Rates &amp; Settings'!$C$13,0))</f>
        <v/>
      </c>
      <c r="AJ50" s="22" t="str">
        <f aca="false">IF(B50="","",IF(V50="Yes",ROUNDUP(Q50*'Rates &amp; Settings'!$C$16,0),0))</f>
        <v/>
      </c>
      <c r="AK50" s="22" t="str">
        <f aca="false">IF(B50="","",IFERROR(IF(Z50=0,0,IF(INDEX('Rates &amp; Settings'!$C$75:$C$96,MATCH(E50,'Rates &amp; Settings'!$B$75:$B$96,0))="Percent",MIN(Z50*INDEX('Rates &amp; Settings'!$E$75:$E$96,MATCH(E50,'Rates &amp; Settings'!$B$75:$B$96,0)),INDEX('Rates &amp; Settings'!$G$75:$G$96,MATCH(E50,'Rates &amp; Settings'!$B$75:$B$96,0))),INDEX('Rates &amp; Settings'!$E$75:$E$96,MATCH(E50,'Rates &amp; Settings'!$B$75:$B$96,0)))),0))</f>
        <v/>
      </c>
      <c r="AL50" s="22" t="str">
        <f aca="false">IF(B50="","",Q50+AF50+AG50+AH50+AI50+AJ50+AK50)</f>
        <v/>
      </c>
      <c r="AM50" s="22" t="str">
        <f aca="false">IF(B50="","",MAX(0,P50*12-'Rates &amp; Settings'!$C$18))</f>
        <v/>
      </c>
      <c r="AN50" s="22" t="str">
        <f aca="false">IF(B50="","",IF(AM50&lt;='Rates &amp; Settings'!$C$19,0,MIN(SUMPRODUCT(--(AM50&gt;'Rates &amp; Settings'!$B$24:$B$30),AM50-'Rates &amp; Settings'!$B$24:$B$30,'Rates &amp; Settings'!$D$24:$D$30),AM50-'Rates &amp; Settings'!$C$19))*(1+'Rates &amp; Settings'!$C$20))</f>
        <v/>
      </c>
    </row>
    <row r="51" customFormat="false" ht="15" hidden="false" customHeight="false" outlineLevel="0" collapsed="false">
      <c r="B51" s="5"/>
      <c r="C51" s="5"/>
      <c r="D51" s="5"/>
      <c r="E51" s="5"/>
      <c r="F51" s="5"/>
      <c r="G51" s="5"/>
      <c r="H51" s="5"/>
      <c r="I51" s="20"/>
      <c r="J51" s="21"/>
      <c r="K51" s="21"/>
      <c r="L51" s="21"/>
      <c r="M51" s="21"/>
      <c r="N51" s="21"/>
      <c r="O51" s="21"/>
      <c r="P51" s="22" t="str">
        <f aca="false">IF(B51="","",SUM(J51:O51))</f>
        <v/>
      </c>
      <c r="Q51" s="22" t="str">
        <f aca="false">IF(B51="","",ROUND(P51*N(I51)/'Rates &amp; Settings'!$C$7,0))</f>
        <v/>
      </c>
      <c r="R51" s="22" t="str">
        <f aca="false">IF(B51="","",ROUND((N(J51)+N(K51))*N(I51)/'Rates &amp; Settings'!$C$7,0))</f>
        <v/>
      </c>
      <c r="S51" s="22" t="str">
        <f aca="false">IF(B51="","",IF('Rates &amp; Settings'!$C$14="Yes",MAX(R51,ROUND(Q51*0.5,0)),R51))</f>
        <v/>
      </c>
      <c r="T51" s="22" t="str">
        <f aca="false">IF(B51="","",IF(F51="Yes",IF(G51="Yes",MIN(S51,'Rates &amp; Settings'!$C$8),S51),0))</f>
        <v/>
      </c>
      <c r="U51" s="22" t="str">
        <f aca="false">IF(B51="","",ROUND(T51*'Rates &amp; Settings'!$C$9,0))</f>
        <v/>
      </c>
      <c r="V51" s="7" t="str">
        <f aca="false">IF(B51="","",IF(P51&lt;='Rates &amp; Settings'!$C$17,"Yes","No"))</f>
        <v/>
      </c>
      <c r="W51" s="22" t="str">
        <f aca="false">IF(B51="","",IF(V51="Yes",ROUNDUP(Q51*'Rates &amp; Settings'!$C$15,0),0))</f>
        <v/>
      </c>
      <c r="X51" s="22" t="str">
        <f aca="false">IF(B51="","",IF(Y51&lt;&gt;"",N(Y51),IF(MONTH('Rates &amp; Settings'!$C$6)=2,SUMIFS('Rates &amp; Settings'!$F$35:$F$70,'Rates &amp; Settings'!$B$35:$B$70,E51,'Rates &amp; Settings'!$C$35:$C$70,"&lt;="&amp;Q51,'Rates &amp; Settings'!$D$35:$D$70,"&gt;="&amp;Q51),SUMIFS('Rates &amp; Settings'!$E$35:$E$70,'Rates &amp; Settings'!$B$35:$B$70,E51,'Rates &amp; Settings'!$C$35:$C$70,"&lt;="&amp;Q51,'Rates &amp; Settings'!$D$35:$D$70,"&gt;="&amp;Q51))))</f>
        <v/>
      </c>
      <c r="Y51" s="21"/>
      <c r="Z51" s="22" t="str">
        <f aca="false">IF(B51="","",IFERROR(IF(OR(INDEX('Rates &amp; Settings'!$H$75:$H$96,MATCH(E51,'Rates &amp; Settings'!$B$75:$B$96,0))="All",ISNUMBER(SEARCH(","&amp;MONTH('Rates &amp; Settings'!$C$6)&amp;",",","&amp;INDEX('Rates &amp; Settings'!$H$75:$H$96,MATCH(E51,'Rates &amp; Settings'!$B$75:$B$96,0))&amp;","))),IF(INDEX('Rates &amp; Settings'!$C$75:$C$96,MATCH(E51,'Rates &amp; Settings'!$B$75:$B$96,0))="Percent",MIN(ROUND(Q51*INDEX('Rates &amp; Settings'!$D$75:$D$96,MATCH(E51,'Rates &amp; Settings'!$B$75:$B$96,0)),0),INDEX('Rates &amp; Settings'!$F$75:$F$96,MATCH(E51,'Rates &amp; Settings'!$B$75:$B$96,0))),INDEX('Rates &amp; Settings'!$D$75:$D$96,MATCH(E51,'Rates &amp; Settings'!$B$75:$B$96,0))),0),0))</f>
        <v/>
      </c>
      <c r="AA51" s="22" t="str">
        <f aca="false">IF(B51="","",ROUND(AN51/12,0))</f>
        <v/>
      </c>
      <c r="AB51" s="21"/>
      <c r="AC51" s="21"/>
      <c r="AD51" s="22" t="str">
        <f aca="false">IF(B51="","",U51+W51+X51+Z51+IF(AB51&lt;&gt;"",N(AB51),AA51)+N(AC51))</f>
        <v/>
      </c>
      <c r="AE51" s="23" t="str">
        <f aca="false">IF(B51="","",Q51-AD51)</f>
        <v/>
      </c>
      <c r="AF51" s="22" t="str">
        <f aca="false">IF(B51="","",ROUND(T51*'Rates &amp; Settings'!$C$10,0)-AG51)</f>
        <v/>
      </c>
      <c r="AG51" s="22" t="str">
        <f aca="false">IF(B51="","",IF(H51="Yes",ROUND(MIN(T51,'Rates &amp; Settings'!$C$8)*'Rates &amp; Settings'!$C$11,0),0))</f>
        <v/>
      </c>
      <c r="AH51" s="22" t="str">
        <f aca="false">IF(B51="","",ROUND(MIN(T51,'Rates &amp; Settings'!$C$8)*'Rates &amp; Settings'!$C$12,0))</f>
        <v/>
      </c>
      <c r="AI51" s="22" t="str">
        <f aca="false">IF(B51="","",ROUND(T51*'Rates &amp; Settings'!$C$13,0))</f>
        <v/>
      </c>
      <c r="AJ51" s="22" t="str">
        <f aca="false">IF(B51="","",IF(V51="Yes",ROUNDUP(Q51*'Rates &amp; Settings'!$C$16,0),0))</f>
        <v/>
      </c>
      <c r="AK51" s="22" t="str">
        <f aca="false">IF(B51="","",IFERROR(IF(Z51=0,0,IF(INDEX('Rates &amp; Settings'!$C$75:$C$96,MATCH(E51,'Rates &amp; Settings'!$B$75:$B$96,0))="Percent",MIN(Z51*INDEX('Rates &amp; Settings'!$E$75:$E$96,MATCH(E51,'Rates &amp; Settings'!$B$75:$B$96,0)),INDEX('Rates &amp; Settings'!$G$75:$G$96,MATCH(E51,'Rates &amp; Settings'!$B$75:$B$96,0))),INDEX('Rates &amp; Settings'!$E$75:$E$96,MATCH(E51,'Rates &amp; Settings'!$B$75:$B$96,0)))),0))</f>
        <v/>
      </c>
      <c r="AL51" s="22" t="str">
        <f aca="false">IF(B51="","",Q51+AF51+AG51+AH51+AI51+AJ51+AK51)</f>
        <v/>
      </c>
      <c r="AM51" s="22" t="str">
        <f aca="false">IF(B51="","",MAX(0,P51*12-'Rates &amp; Settings'!$C$18))</f>
        <v/>
      </c>
      <c r="AN51" s="22" t="str">
        <f aca="false">IF(B51="","",IF(AM51&lt;='Rates &amp; Settings'!$C$19,0,MIN(SUMPRODUCT(--(AM51&gt;'Rates &amp; Settings'!$B$24:$B$30),AM51-'Rates &amp; Settings'!$B$24:$B$30,'Rates &amp; Settings'!$D$24:$D$30),AM51-'Rates &amp; Settings'!$C$19))*(1+'Rates &amp; Settings'!$C$20))</f>
        <v/>
      </c>
    </row>
    <row r="52" customFormat="false" ht="15" hidden="false" customHeight="false" outlineLevel="0" collapsed="false">
      <c r="B52" s="5"/>
      <c r="C52" s="5"/>
      <c r="D52" s="5"/>
      <c r="E52" s="5"/>
      <c r="F52" s="5"/>
      <c r="G52" s="5"/>
      <c r="H52" s="5"/>
      <c r="I52" s="20"/>
      <c r="J52" s="21"/>
      <c r="K52" s="21"/>
      <c r="L52" s="21"/>
      <c r="M52" s="21"/>
      <c r="N52" s="21"/>
      <c r="O52" s="21"/>
      <c r="P52" s="22" t="str">
        <f aca="false">IF(B52="","",SUM(J52:O52))</f>
        <v/>
      </c>
      <c r="Q52" s="22" t="str">
        <f aca="false">IF(B52="","",ROUND(P52*N(I52)/'Rates &amp; Settings'!$C$7,0))</f>
        <v/>
      </c>
      <c r="R52" s="22" t="str">
        <f aca="false">IF(B52="","",ROUND((N(J52)+N(K52))*N(I52)/'Rates &amp; Settings'!$C$7,0))</f>
        <v/>
      </c>
      <c r="S52" s="22" t="str">
        <f aca="false">IF(B52="","",IF('Rates &amp; Settings'!$C$14="Yes",MAX(R52,ROUND(Q52*0.5,0)),R52))</f>
        <v/>
      </c>
      <c r="T52" s="22" t="str">
        <f aca="false">IF(B52="","",IF(F52="Yes",IF(G52="Yes",MIN(S52,'Rates &amp; Settings'!$C$8),S52),0))</f>
        <v/>
      </c>
      <c r="U52" s="22" t="str">
        <f aca="false">IF(B52="","",ROUND(T52*'Rates &amp; Settings'!$C$9,0))</f>
        <v/>
      </c>
      <c r="V52" s="7" t="str">
        <f aca="false">IF(B52="","",IF(P52&lt;='Rates &amp; Settings'!$C$17,"Yes","No"))</f>
        <v/>
      </c>
      <c r="W52" s="22" t="str">
        <f aca="false">IF(B52="","",IF(V52="Yes",ROUNDUP(Q52*'Rates &amp; Settings'!$C$15,0),0))</f>
        <v/>
      </c>
      <c r="X52" s="22" t="str">
        <f aca="false">IF(B52="","",IF(Y52&lt;&gt;"",N(Y52),IF(MONTH('Rates &amp; Settings'!$C$6)=2,SUMIFS('Rates &amp; Settings'!$F$35:$F$70,'Rates &amp; Settings'!$B$35:$B$70,E52,'Rates &amp; Settings'!$C$35:$C$70,"&lt;="&amp;Q52,'Rates &amp; Settings'!$D$35:$D$70,"&gt;="&amp;Q52),SUMIFS('Rates &amp; Settings'!$E$35:$E$70,'Rates &amp; Settings'!$B$35:$B$70,E52,'Rates &amp; Settings'!$C$35:$C$70,"&lt;="&amp;Q52,'Rates &amp; Settings'!$D$35:$D$70,"&gt;="&amp;Q52))))</f>
        <v/>
      </c>
      <c r="Y52" s="21"/>
      <c r="Z52" s="22" t="str">
        <f aca="false">IF(B52="","",IFERROR(IF(OR(INDEX('Rates &amp; Settings'!$H$75:$H$96,MATCH(E52,'Rates &amp; Settings'!$B$75:$B$96,0))="All",ISNUMBER(SEARCH(","&amp;MONTH('Rates &amp; Settings'!$C$6)&amp;",",","&amp;INDEX('Rates &amp; Settings'!$H$75:$H$96,MATCH(E52,'Rates &amp; Settings'!$B$75:$B$96,0))&amp;","))),IF(INDEX('Rates &amp; Settings'!$C$75:$C$96,MATCH(E52,'Rates &amp; Settings'!$B$75:$B$96,0))="Percent",MIN(ROUND(Q52*INDEX('Rates &amp; Settings'!$D$75:$D$96,MATCH(E52,'Rates &amp; Settings'!$B$75:$B$96,0)),0),INDEX('Rates &amp; Settings'!$F$75:$F$96,MATCH(E52,'Rates &amp; Settings'!$B$75:$B$96,0))),INDEX('Rates &amp; Settings'!$D$75:$D$96,MATCH(E52,'Rates &amp; Settings'!$B$75:$B$96,0))),0),0))</f>
        <v/>
      </c>
      <c r="AA52" s="22" t="str">
        <f aca="false">IF(B52="","",ROUND(AN52/12,0))</f>
        <v/>
      </c>
      <c r="AB52" s="21"/>
      <c r="AC52" s="21"/>
      <c r="AD52" s="22" t="str">
        <f aca="false">IF(B52="","",U52+W52+X52+Z52+IF(AB52&lt;&gt;"",N(AB52),AA52)+N(AC52))</f>
        <v/>
      </c>
      <c r="AE52" s="23" t="str">
        <f aca="false">IF(B52="","",Q52-AD52)</f>
        <v/>
      </c>
      <c r="AF52" s="22" t="str">
        <f aca="false">IF(B52="","",ROUND(T52*'Rates &amp; Settings'!$C$10,0)-AG52)</f>
        <v/>
      </c>
      <c r="AG52" s="22" t="str">
        <f aca="false">IF(B52="","",IF(H52="Yes",ROUND(MIN(T52,'Rates &amp; Settings'!$C$8)*'Rates &amp; Settings'!$C$11,0),0))</f>
        <v/>
      </c>
      <c r="AH52" s="22" t="str">
        <f aca="false">IF(B52="","",ROUND(MIN(T52,'Rates &amp; Settings'!$C$8)*'Rates &amp; Settings'!$C$12,0))</f>
        <v/>
      </c>
      <c r="AI52" s="22" t="str">
        <f aca="false">IF(B52="","",ROUND(T52*'Rates &amp; Settings'!$C$13,0))</f>
        <v/>
      </c>
      <c r="AJ52" s="22" t="str">
        <f aca="false">IF(B52="","",IF(V52="Yes",ROUNDUP(Q52*'Rates &amp; Settings'!$C$16,0),0))</f>
        <v/>
      </c>
      <c r="AK52" s="22" t="str">
        <f aca="false">IF(B52="","",IFERROR(IF(Z52=0,0,IF(INDEX('Rates &amp; Settings'!$C$75:$C$96,MATCH(E52,'Rates &amp; Settings'!$B$75:$B$96,0))="Percent",MIN(Z52*INDEX('Rates &amp; Settings'!$E$75:$E$96,MATCH(E52,'Rates &amp; Settings'!$B$75:$B$96,0)),INDEX('Rates &amp; Settings'!$G$75:$G$96,MATCH(E52,'Rates &amp; Settings'!$B$75:$B$96,0))),INDEX('Rates &amp; Settings'!$E$75:$E$96,MATCH(E52,'Rates &amp; Settings'!$B$75:$B$96,0)))),0))</f>
        <v/>
      </c>
      <c r="AL52" s="22" t="str">
        <f aca="false">IF(B52="","",Q52+AF52+AG52+AH52+AI52+AJ52+AK52)</f>
        <v/>
      </c>
      <c r="AM52" s="22" t="str">
        <f aca="false">IF(B52="","",MAX(0,P52*12-'Rates &amp; Settings'!$C$18))</f>
        <v/>
      </c>
      <c r="AN52" s="22" t="str">
        <f aca="false">IF(B52="","",IF(AM52&lt;='Rates &amp; Settings'!$C$19,0,MIN(SUMPRODUCT(--(AM52&gt;'Rates &amp; Settings'!$B$24:$B$30),AM52-'Rates &amp; Settings'!$B$24:$B$30,'Rates &amp; Settings'!$D$24:$D$30),AM52-'Rates &amp; Settings'!$C$19))*(1+'Rates &amp; Settings'!$C$20))</f>
        <v/>
      </c>
    </row>
    <row r="53" customFormat="false" ht="15" hidden="false" customHeight="false" outlineLevel="0" collapsed="false">
      <c r="B53" s="5"/>
      <c r="C53" s="5"/>
      <c r="D53" s="5"/>
      <c r="E53" s="5"/>
      <c r="F53" s="5"/>
      <c r="G53" s="5"/>
      <c r="H53" s="5"/>
      <c r="I53" s="20"/>
      <c r="J53" s="21"/>
      <c r="K53" s="21"/>
      <c r="L53" s="21"/>
      <c r="M53" s="21"/>
      <c r="N53" s="21"/>
      <c r="O53" s="21"/>
      <c r="P53" s="22" t="str">
        <f aca="false">IF(B53="","",SUM(J53:O53))</f>
        <v/>
      </c>
      <c r="Q53" s="22" t="str">
        <f aca="false">IF(B53="","",ROUND(P53*N(I53)/'Rates &amp; Settings'!$C$7,0))</f>
        <v/>
      </c>
      <c r="R53" s="22" t="str">
        <f aca="false">IF(B53="","",ROUND((N(J53)+N(K53))*N(I53)/'Rates &amp; Settings'!$C$7,0))</f>
        <v/>
      </c>
      <c r="S53" s="22" t="str">
        <f aca="false">IF(B53="","",IF('Rates &amp; Settings'!$C$14="Yes",MAX(R53,ROUND(Q53*0.5,0)),R53))</f>
        <v/>
      </c>
      <c r="T53" s="22" t="str">
        <f aca="false">IF(B53="","",IF(F53="Yes",IF(G53="Yes",MIN(S53,'Rates &amp; Settings'!$C$8),S53),0))</f>
        <v/>
      </c>
      <c r="U53" s="22" t="str">
        <f aca="false">IF(B53="","",ROUND(T53*'Rates &amp; Settings'!$C$9,0))</f>
        <v/>
      </c>
      <c r="V53" s="7" t="str">
        <f aca="false">IF(B53="","",IF(P53&lt;='Rates &amp; Settings'!$C$17,"Yes","No"))</f>
        <v/>
      </c>
      <c r="W53" s="22" t="str">
        <f aca="false">IF(B53="","",IF(V53="Yes",ROUNDUP(Q53*'Rates &amp; Settings'!$C$15,0),0))</f>
        <v/>
      </c>
      <c r="X53" s="22" t="str">
        <f aca="false">IF(B53="","",IF(Y53&lt;&gt;"",N(Y53),IF(MONTH('Rates &amp; Settings'!$C$6)=2,SUMIFS('Rates &amp; Settings'!$F$35:$F$70,'Rates &amp; Settings'!$B$35:$B$70,E53,'Rates &amp; Settings'!$C$35:$C$70,"&lt;="&amp;Q53,'Rates &amp; Settings'!$D$35:$D$70,"&gt;="&amp;Q53),SUMIFS('Rates &amp; Settings'!$E$35:$E$70,'Rates &amp; Settings'!$B$35:$B$70,E53,'Rates &amp; Settings'!$C$35:$C$70,"&lt;="&amp;Q53,'Rates &amp; Settings'!$D$35:$D$70,"&gt;="&amp;Q53))))</f>
        <v/>
      </c>
      <c r="Y53" s="21"/>
      <c r="Z53" s="22" t="str">
        <f aca="false">IF(B53="","",IFERROR(IF(OR(INDEX('Rates &amp; Settings'!$H$75:$H$96,MATCH(E53,'Rates &amp; Settings'!$B$75:$B$96,0))="All",ISNUMBER(SEARCH(","&amp;MONTH('Rates &amp; Settings'!$C$6)&amp;",",","&amp;INDEX('Rates &amp; Settings'!$H$75:$H$96,MATCH(E53,'Rates &amp; Settings'!$B$75:$B$96,0))&amp;","))),IF(INDEX('Rates &amp; Settings'!$C$75:$C$96,MATCH(E53,'Rates &amp; Settings'!$B$75:$B$96,0))="Percent",MIN(ROUND(Q53*INDEX('Rates &amp; Settings'!$D$75:$D$96,MATCH(E53,'Rates &amp; Settings'!$B$75:$B$96,0)),0),INDEX('Rates &amp; Settings'!$F$75:$F$96,MATCH(E53,'Rates &amp; Settings'!$B$75:$B$96,0))),INDEX('Rates &amp; Settings'!$D$75:$D$96,MATCH(E53,'Rates &amp; Settings'!$B$75:$B$96,0))),0),0))</f>
        <v/>
      </c>
      <c r="AA53" s="22" t="str">
        <f aca="false">IF(B53="","",ROUND(AN53/12,0))</f>
        <v/>
      </c>
      <c r="AB53" s="21"/>
      <c r="AC53" s="21"/>
      <c r="AD53" s="22" t="str">
        <f aca="false">IF(B53="","",U53+W53+X53+Z53+IF(AB53&lt;&gt;"",N(AB53),AA53)+N(AC53))</f>
        <v/>
      </c>
      <c r="AE53" s="23" t="str">
        <f aca="false">IF(B53="","",Q53-AD53)</f>
        <v/>
      </c>
      <c r="AF53" s="22" t="str">
        <f aca="false">IF(B53="","",ROUND(T53*'Rates &amp; Settings'!$C$10,0)-AG53)</f>
        <v/>
      </c>
      <c r="AG53" s="22" t="str">
        <f aca="false">IF(B53="","",IF(H53="Yes",ROUND(MIN(T53,'Rates &amp; Settings'!$C$8)*'Rates &amp; Settings'!$C$11,0),0))</f>
        <v/>
      </c>
      <c r="AH53" s="22" t="str">
        <f aca="false">IF(B53="","",ROUND(MIN(T53,'Rates &amp; Settings'!$C$8)*'Rates &amp; Settings'!$C$12,0))</f>
        <v/>
      </c>
      <c r="AI53" s="22" t="str">
        <f aca="false">IF(B53="","",ROUND(T53*'Rates &amp; Settings'!$C$13,0))</f>
        <v/>
      </c>
      <c r="AJ53" s="22" t="str">
        <f aca="false">IF(B53="","",IF(V53="Yes",ROUNDUP(Q53*'Rates &amp; Settings'!$C$16,0),0))</f>
        <v/>
      </c>
      <c r="AK53" s="22" t="str">
        <f aca="false">IF(B53="","",IFERROR(IF(Z53=0,0,IF(INDEX('Rates &amp; Settings'!$C$75:$C$96,MATCH(E53,'Rates &amp; Settings'!$B$75:$B$96,0))="Percent",MIN(Z53*INDEX('Rates &amp; Settings'!$E$75:$E$96,MATCH(E53,'Rates &amp; Settings'!$B$75:$B$96,0)),INDEX('Rates &amp; Settings'!$G$75:$G$96,MATCH(E53,'Rates &amp; Settings'!$B$75:$B$96,0))),INDEX('Rates &amp; Settings'!$E$75:$E$96,MATCH(E53,'Rates &amp; Settings'!$B$75:$B$96,0)))),0))</f>
        <v/>
      </c>
      <c r="AL53" s="22" t="str">
        <f aca="false">IF(B53="","",Q53+AF53+AG53+AH53+AI53+AJ53+AK53)</f>
        <v/>
      </c>
      <c r="AM53" s="22" t="str">
        <f aca="false">IF(B53="","",MAX(0,P53*12-'Rates &amp; Settings'!$C$18))</f>
        <v/>
      </c>
      <c r="AN53" s="22" t="str">
        <f aca="false">IF(B53="","",IF(AM53&lt;='Rates &amp; Settings'!$C$19,0,MIN(SUMPRODUCT(--(AM53&gt;'Rates &amp; Settings'!$B$24:$B$30),AM53-'Rates &amp; Settings'!$B$24:$B$30,'Rates &amp; Settings'!$D$24:$D$30),AM53-'Rates &amp; Settings'!$C$19))*(1+'Rates &amp; Settings'!$C$20))</f>
        <v/>
      </c>
    </row>
    <row r="54" customFormat="false" ht="15" hidden="false" customHeight="false" outlineLevel="0" collapsed="false">
      <c r="B54" s="5"/>
      <c r="C54" s="5"/>
      <c r="D54" s="5"/>
      <c r="E54" s="5"/>
      <c r="F54" s="5"/>
      <c r="G54" s="5"/>
      <c r="H54" s="5"/>
      <c r="I54" s="20"/>
      <c r="J54" s="21"/>
      <c r="K54" s="21"/>
      <c r="L54" s="21"/>
      <c r="M54" s="21"/>
      <c r="N54" s="21"/>
      <c r="O54" s="21"/>
      <c r="P54" s="22" t="str">
        <f aca="false">IF(B54="","",SUM(J54:O54))</f>
        <v/>
      </c>
      <c r="Q54" s="22" t="str">
        <f aca="false">IF(B54="","",ROUND(P54*N(I54)/'Rates &amp; Settings'!$C$7,0))</f>
        <v/>
      </c>
      <c r="R54" s="22" t="str">
        <f aca="false">IF(B54="","",ROUND((N(J54)+N(K54))*N(I54)/'Rates &amp; Settings'!$C$7,0))</f>
        <v/>
      </c>
      <c r="S54" s="22" t="str">
        <f aca="false">IF(B54="","",IF('Rates &amp; Settings'!$C$14="Yes",MAX(R54,ROUND(Q54*0.5,0)),R54))</f>
        <v/>
      </c>
      <c r="T54" s="22" t="str">
        <f aca="false">IF(B54="","",IF(F54="Yes",IF(G54="Yes",MIN(S54,'Rates &amp; Settings'!$C$8),S54),0))</f>
        <v/>
      </c>
      <c r="U54" s="22" t="str">
        <f aca="false">IF(B54="","",ROUND(T54*'Rates &amp; Settings'!$C$9,0))</f>
        <v/>
      </c>
      <c r="V54" s="7" t="str">
        <f aca="false">IF(B54="","",IF(P54&lt;='Rates &amp; Settings'!$C$17,"Yes","No"))</f>
        <v/>
      </c>
      <c r="W54" s="22" t="str">
        <f aca="false">IF(B54="","",IF(V54="Yes",ROUNDUP(Q54*'Rates &amp; Settings'!$C$15,0),0))</f>
        <v/>
      </c>
      <c r="X54" s="22" t="str">
        <f aca="false">IF(B54="","",IF(Y54&lt;&gt;"",N(Y54),IF(MONTH('Rates &amp; Settings'!$C$6)=2,SUMIFS('Rates &amp; Settings'!$F$35:$F$70,'Rates &amp; Settings'!$B$35:$B$70,E54,'Rates &amp; Settings'!$C$35:$C$70,"&lt;="&amp;Q54,'Rates &amp; Settings'!$D$35:$D$70,"&gt;="&amp;Q54),SUMIFS('Rates &amp; Settings'!$E$35:$E$70,'Rates &amp; Settings'!$B$35:$B$70,E54,'Rates &amp; Settings'!$C$35:$C$70,"&lt;="&amp;Q54,'Rates &amp; Settings'!$D$35:$D$70,"&gt;="&amp;Q54))))</f>
        <v/>
      </c>
      <c r="Y54" s="21"/>
      <c r="Z54" s="22" t="str">
        <f aca="false">IF(B54="","",IFERROR(IF(OR(INDEX('Rates &amp; Settings'!$H$75:$H$96,MATCH(E54,'Rates &amp; Settings'!$B$75:$B$96,0))="All",ISNUMBER(SEARCH(","&amp;MONTH('Rates &amp; Settings'!$C$6)&amp;",",","&amp;INDEX('Rates &amp; Settings'!$H$75:$H$96,MATCH(E54,'Rates &amp; Settings'!$B$75:$B$96,0))&amp;","))),IF(INDEX('Rates &amp; Settings'!$C$75:$C$96,MATCH(E54,'Rates &amp; Settings'!$B$75:$B$96,0))="Percent",MIN(ROUND(Q54*INDEX('Rates &amp; Settings'!$D$75:$D$96,MATCH(E54,'Rates &amp; Settings'!$B$75:$B$96,0)),0),INDEX('Rates &amp; Settings'!$F$75:$F$96,MATCH(E54,'Rates &amp; Settings'!$B$75:$B$96,0))),INDEX('Rates &amp; Settings'!$D$75:$D$96,MATCH(E54,'Rates &amp; Settings'!$B$75:$B$96,0))),0),0))</f>
        <v/>
      </c>
      <c r="AA54" s="22" t="str">
        <f aca="false">IF(B54="","",ROUND(AN54/12,0))</f>
        <v/>
      </c>
      <c r="AB54" s="21"/>
      <c r="AC54" s="21"/>
      <c r="AD54" s="22" t="str">
        <f aca="false">IF(B54="","",U54+W54+X54+Z54+IF(AB54&lt;&gt;"",N(AB54),AA54)+N(AC54))</f>
        <v/>
      </c>
      <c r="AE54" s="23" t="str">
        <f aca="false">IF(B54="","",Q54-AD54)</f>
        <v/>
      </c>
      <c r="AF54" s="22" t="str">
        <f aca="false">IF(B54="","",ROUND(T54*'Rates &amp; Settings'!$C$10,0)-AG54)</f>
        <v/>
      </c>
      <c r="AG54" s="22" t="str">
        <f aca="false">IF(B54="","",IF(H54="Yes",ROUND(MIN(T54,'Rates &amp; Settings'!$C$8)*'Rates &amp; Settings'!$C$11,0),0))</f>
        <v/>
      </c>
      <c r="AH54" s="22" t="str">
        <f aca="false">IF(B54="","",ROUND(MIN(T54,'Rates &amp; Settings'!$C$8)*'Rates &amp; Settings'!$C$12,0))</f>
        <v/>
      </c>
      <c r="AI54" s="22" t="str">
        <f aca="false">IF(B54="","",ROUND(T54*'Rates &amp; Settings'!$C$13,0))</f>
        <v/>
      </c>
      <c r="AJ54" s="22" t="str">
        <f aca="false">IF(B54="","",IF(V54="Yes",ROUNDUP(Q54*'Rates &amp; Settings'!$C$16,0),0))</f>
        <v/>
      </c>
      <c r="AK54" s="22" t="str">
        <f aca="false">IF(B54="","",IFERROR(IF(Z54=0,0,IF(INDEX('Rates &amp; Settings'!$C$75:$C$96,MATCH(E54,'Rates &amp; Settings'!$B$75:$B$96,0))="Percent",MIN(Z54*INDEX('Rates &amp; Settings'!$E$75:$E$96,MATCH(E54,'Rates &amp; Settings'!$B$75:$B$96,0)),INDEX('Rates &amp; Settings'!$G$75:$G$96,MATCH(E54,'Rates &amp; Settings'!$B$75:$B$96,0))),INDEX('Rates &amp; Settings'!$E$75:$E$96,MATCH(E54,'Rates &amp; Settings'!$B$75:$B$96,0)))),0))</f>
        <v/>
      </c>
      <c r="AL54" s="22" t="str">
        <f aca="false">IF(B54="","",Q54+AF54+AG54+AH54+AI54+AJ54+AK54)</f>
        <v/>
      </c>
      <c r="AM54" s="22" t="str">
        <f aca="false">IF(B54="","",MAX(0,P54*12-'Rates &amp; Settings'!$C$18))</f>
        <v/>
      </c>
      <c r="AN54" s="22" t="str">
        <f aca="false">IF(B54="","",IF(AM54&lt;='Rates &amp; Settings'!$C$19,0,MIN(SUMPRODUCT(--(AM54&gt;'Rates &amp; Settings'!$B$24:$B$30),AM54-'Rates &amp; Settings'!$B$24:$B$30,'Rates &amp; Settings'!$D$24:$D$30),AM54-'Rates &amp; Settings'!$C$19))*(1+'Rates &amp; Settings'!$C$20))</f>
        <v/>
      </c>
    </row>
    <row r="55" customFormat="false" ht="15" hidden="false" customHeight="false" outlineLevel="0" collapsed="false">
      <c r="B55" s="5"/>
      <c r="C55" s="5"/>
      <c r="D55" s="5"/>
      <c r="E55" s="5"/>
      <c r="F55" s="5"/>
      <c r="G55" s="5"/>
      <c r="H55" s="5"/>
      <c r="I55" s="20"/>
      <c r="J55" s="21"/>
      <c r="K55" s="21"/>
      <c r="L55" s="21"/>
      <c r="M55" s="21"/>
      <c r="N55" s="21"/>
      <c r="O55" s="21"/>
      <c r="P55" s="22" t="str">
        <f aca="false">IF(B55="","",SUM(J55:O55))</f>
        <v/>
      </c>
      <c r="Q55" s="22" t="str">
        <f aca="false">IF(B55="","",ROUND(P55*N(I55)/'Rates &amp; Settings'!$C$7,0))</f>
        <v/>
      </c>
      <c r="R55" s="22" t="str">
        <f aca="false">IF(B55="","",ROUND((N(J55)+N(K55))*N(I55)/'Rates &amp; Settings'!$C$7,0))</f>
        <v/>
      </c>
      <c r="S55" s="22" t="str">
        <f aca="false">IF(B55="","",IF('Rates &amp; Settings'!$C$14="Yes",MAX(R55,ROUND(Q55*0.5,0)),R55))</f>
        <v/>
      </c>
      <c r="T55" s="22" t="str">
        <f aca="false">IF(B55="","",IF(F55="Yes",IF(G55="Yes",MIN(S55,'Rates &amp; Settings'!$C$8),S55),0))</f>
        <v/>
      </c>
      <c r="U55" s="22" t="str">
        <f aca="false">IF(B55="","",ROUND(T55*'Rates &amp; Settings'!$C$9,0))</f>
        <v/>
      </c>
      <c r="V55" s="7" t="str">
        <f aca="false">IF(B55="","",IF(P55&lt;='Rates &amp; Settings'!$C$17,"Yes","No"))</f>
        <v/>
      </c>
      <c r="W55" s="22" t="str">
        <f aca="false">IF(B55="","",IF(V55="Yes",ROUNDUP(Q55*'Rates &amp; Settings'!$C$15,0),0))</f>
        <v/>
      </c>
      <c r="X55" s="22" t="str">
        <f aca="false">IF(B55="","",IF(Y55&lt;&gt;"",N(Y55),IF(MONTH('Rates &amp; Settings'!$C$6)=2,SUMIFS('Rates &amp; Settings'!$F$35:$F$70,'Rates &amp; Settings'!$B$35:$B$70,E55,'Rates &amp; Settings'!$C$35:$C$70,"&lt;="&amp;Q55,'Rates &amp; Settings'!$D$35:$D$70,"&gt;="&amp;Q55),SUMIFS('Rates &amp; Settings'!$E$35:$E$70,'Rates &amp; Settings'!$B$35:$B$70,E55,'Rates &amp; Settings'!$C$35:$C$70,"&lt;="&amp;Q55,'Rates &amp; Settings'!$D$35:$D$70,"&gt;="&amp;Q55))))</f>
        <v/>
      </c>
      <c r="Y55" s="21"/>
      <c r="Z55" s="22" t="str">
        <f aca="false">IF(B55="","",IFERROR(IF(OR(INDEX('Rates &amp; Settings'!$H$75:$H$96,MATCH(E55,'Rates &amp; Settings'!$B$75:$B$96,0))="All",ISNUMBER(SEARCH(","&amp;MONTH('Rates &amp; Settings'!$C$6)&amp;",",","&amp;INDEX('Rates &amp; Settings'!$H$75:$H$96,MATCH(E55,'Rates &amp; Settings'!$B$75:$B$96,0))&amp;","))),IF(INDEX('Rates &amp; Settings'!$C$75:$C$96,MATCH(E55,'Rates &amp; Settings'!$B$75:$B$96,0))="Percent",MIN(ROUND(Q55*INDEX('Rates &amp; Settings'!$D$75:$D$96,MATCH(E55,'Rates &amp; Settings'!$B$75:$B$96,0)),0),INDEX('Rates &amp; Settings'!$F$75:$F$96,MATCH(E55,'Rates &amp; Settings'!$B$75:$B$96,0))),INDEX('Rates &amp; Settings'!$D$75:$D$96,MATCH(E55,'Rates &amp; Settings'!$B$75:$B$96,0))),0),0))</f>
        <v/>
      </c>
      <c r="AA55" s="22" t="str">
        <f aca="false">IF(B55="","",ROUND(AN55/12,0))</f>
        <v/>
      </c>
      <c r="AB55" s="21"/>
      <c r="AC55" s="21"/>
      <c r="AD55" s="22" t="str">
        <f aca="false">IF(B55="","",U55+W55+X55+Z55+IF(AB55&lt;&gt;"",N(AB55),AA55)+N(AC55))</f>
        <v/>
      </c>
      <c r="AE55" s="23" t="str">
        <f aca="false">IF(B55="","",Q55-AD55)</f>
        <v/>
      </c>
      <c r="AF55" s="22" t="str">
        <f aca="false">IF(B55="","",ROUND(T55*'Rates &amp; Settings'!$C$10,0)-AG55)</f>
        <v/>
      </c>
      <c r="AG55" s="22" t="str">
        <f aca="false">IF(B55="","",IF(H55="Yes",ROUND(MIN(T55,'Rates &amp; Settings'!$C$8)*'Rates &amp; Settings'!$C$11,0),0))</f>
        <v/>
      </c>
      <c r="AH55" s="22" t="str">
        <f aca="false">IF(B55="","",ROUND(MIN(T55,'Rates &amp; Settings'!$C$8)*'Rates &amp; Settings'!$C$12,0))</f>
        <v/>
      </c>
      <c r="AI55" s="22" t="str">
        <f aca="false">IF(B55="","",ROUND(T55*'Rates &amp; Settings'!$C$13,0))</f>
        <v/>
      </c>
      <c r="AJ55" s="22" t="str">
        <f aca="false">IF(B55="","",IF(V55="Yes",ROUNDUP(Q55*'Rates &amp; Settings'!$C$16,0),0))</f>
        <v/>
      </c>
      <c r="AK55" s="22" t="str">
        <f aca="false">IF(B55="","",IFERROR(IF(Z55=0,0,IF(INDEX('Rates &amp; Settings'!$C$75:$C$96,MATCH(E55,'Rates &amp; Settings'!$B$75:$B$96,0))="Percent",MIN(Z55*INDEX('Rates &amp; Settings'!$E$75:$E$96,MATCH(E55,'Rates &amp; Settings'!$B$75:$B$96,0)),INDEX('Rates &amp; Settings'!$G$75:$G$96,MATCH(E55,'Rates &amp; Settings'!$B$75:$B$96,0))),INDEX('Rates &amp; Settings'!$E$75:$E$96,MATCH(E55,'Rates &amp; Settings'!$B$75:$B$96,0)))),0))</f>
        <v/>
      </c>
      <c r="AL55" s="22" t="str">
        <f aca="false">IF(B55="","",Q55+AF55+AG55+AH55+AI55+AJ55+AK55)</f>
        <v/>
      </c>
      <c r="AM55" s="22" t="str">
        <f aca="false">IF(B55="","",MAX(0,P55*12-'Rates &amp; Settings'!$C$18))</f>
        <v/>
      </c>
      <c r="AN55" s="22" t="str">
        <f aca="false">IF(B55="","",IF(AM55&lt;='Rates &amp; Settings'!$C$19,0,MIN(SUMPRODUCT(--(AM55&gt;'Rates &amp; Settings'!$B$24:$B$30),AM55-'Rates &amp; Settings'!$B$24:$B$30,'Rates &amp; Settings'!$D$24:$D$30),AM55-'Rates &amp; Settings'!$C$19))*(1+'Rates &amp; Settings'!$C$20))</f>
        <v/>
      </c>
    </row>
    <row r="56" customFormat="false" ht="15" hidden="false" customHeight="false" outlineLevel="0" collapsed="false">
      <c r="B56" s="5"/>
      <c r="C56" s="5"/>
      <c r="D56" s="5"/>
      <c r="E56" s="5"/>
      <c r="F56" s="5"/>
      <c r="G56" s="5"/>
      <c r="H56" s="5"/>
      <c r="I56" s="20"/>
      <c r="J56" s="21"/>
      <c r="K56" s="21"/>
      <c r="L56" s="21"/>
      <c r="M56" s="21"/>
      <c r="N56" s="21"/>
      <c r="O56" s="21"/>
      <c r="P56" s="22" t="str">
        <f aca="false">IF(B56="","",SUM(J56:O56))</f>
        <v/>
      </c>
      <c r="Q56" s="22" t="str">
        <f aca="false">IF(B56="","",ROUND(P56*N(I56)/'Rates &amp; Settings'!$C$7,0))</f>
        <v/>
      </c>
      <c r="R56" s="22" t="str">
        <f aca="false">IF(B56="","",ROUND((N(J56)+N(K56))*N(I56)/'Rates &amp; Settings'!$C$7,0))</f>
        <v/>
      </c>
      <c r="S56" s="22" t="str">
        <f aca="false">IF(B56="","",IF('Rates &amp; Settings'!$C$14="Yes",MAX(R56,ROUND(Q56*0.5,0)),R56))</f>
        <v/>
      </c>
      <c r="T56" s="22" t="str">
        <f aca="false">IF(B56="","",IF(F56="Yes",IF(G56="Yes",MIN(S56,'Rates &amp; Settings'!$C$8),S56),0))</f>
        <v/>
      </c>
      <c r="U56" s="22" t="str">
        <f aca="false">IF(B56="","",ROUND(T56*'Rates &amp; Settings'!$C$9,0))</f>
        <v/>
      </c>
      <c r="V56" s="7" t="str">
        <f aca="false">IF(B56="","",IF(P56&lt;='Rates &amp; Settings'!$C$17,"Yes","No"))</f>
        <v/>
      </c>
      <c r="W56" s="22" t="str">
        <f aca="false">IF(B56="","",IF(V56="Yes",ROUNDUP(Q56*'Rates &amp; Settings'!$C$15,0),0))</f>
        <v/>
      </c>
      <c r="X56" s="22" t="str">
        <f aca="false">IF(B56="","",IF(Y56&lt;&gt;"",N(Y56),IF(MONTH('Rates &amp; Settings'!$C$6)=2,SUMIFS('Rates &amp; Settings'!$F$35:$F$70,'Rates &amp; Settings'!$B$35:$B$70,E56,'Rates &amp; Settings'!$C$35:$C$70,"&lt;="&amp;Q56,'Rates &amp; Settings'!$D$35:$D$70,"&gt;="&amp;Q56),SUMIFS('Rates &amp; Settings'!$E$35:$E$70,'Rates &amp; Settings'!$B$35:$B$70,E56,'Rates &amp; Settings'!$C$35:$C$70,"&lt;="&amp;Q56,'Rates &amp; Settings'!$D$35:$D$70,"&gt;="&amp;Q56))))</f>
        <v/>
      </c>
      <c r="Y56" s="21"/>
      <c r="Z56" s="22" t="str">
        <f aca="false">IF(B56="","",IFERROR(IF(OR(INDEX('Rates &amp; Settings'!$H$75:$H$96,MATCH(E56,'Rates &amp; Settings'!$B$75:$B$96,0))="All",ISNUMBER(SEARCH(","&amp;MONTH('Rates &amp; Settings'!$C$6)&amp;",",","&amp;INDEX('Rates &amp; Settings'!$H$75:$H$96,MATCH(E56,'Rates &amp; Settings'!$B$75:$B$96,0))&amp;","))),IF(INDEX('Rates &amp; Settings'!$C$75:$C$96,MATCH(E56,'Rates &amp; Settings'!$B$75:$B$96,0))="Percent",MIN(ROUND(Q56*INDEX('Rates &amp; Settings'!$D$75:$D$96,MATCH(E56,'Rates &amp; Settings'!$B$75:$B$96,0)),0),INDEX('Rates &amp; Settings'!$F$75:$F$96,MATCH(E56,'Rates &amp; Settings'!$B$75:$B$96,0))),INDEX('Rates &amp; Settings'!$D$75:$D$96,MATCH(E56,'Rates &amp; Settings'!$B$75:$B$96,0))),0),0))</f>
        <v/>
      </c>
      <c r="AA56" s="22" t="str">
        <f aca="false">IF(B56="","",ROUND(AN56/12,0))</f>
        <v/>
      </c>
      <c r="AB56" s="21"/>
      <c r="AC56" s="21"/>
      <c r="AD56" s="22" t="str">
        <f aca="false">IF(B56="","",U56+W56+X56+Z56+IF(AB56&lt;&gt;"",N(AB56),AA56)+N(AC56))</f>
        <v/>
      </c>
      <c r="AE56" s="23" t="str">
        <f aca="false">IF(B56="","",Q56-AD56)</f>
        <v/>
      </c>
      <c r="AF56" s="22" t="str">
        <f aca="false">IF(B56="","",ROUND(T56*'Rates &amp; Settings'!$C$10,0)-AG56)</f>
        <v/>
      </c>
      <c r="AG56" s="22" t="str">
        <f aca="false">IF(B56="","",IF(H56="Yes",ROUND(MIN(T56,'Rates &amp; Settings'!$C$8)*'Rates &amp; Settings'!$C$11,0),0))</f>
        <v/>
      </c>
      <c r="AH56" s="22" t="str">
        <f aca="false">IF(B56="","",ROUND(MIN(T56,'Rates &amp; Settings'!$C$8)*'Rates &amp; Settings'!$C$12,0))</f>
        <v/>
      </c>
      <c r="AI56" s="22" t="str">
        <f aca="false">IF(B56="","",ROUND(T56*'Rates &amp; Settings'!$C$13,0))</f>
        <v/>
      </c>
      <c r="AJ56" s="22" t="str">
        <f aca="false">IF(B56="","",IF(V56="Yes",ROUNDUP(Q56*'Rates &amp; Settings'!$C$16,0),0))</f>
        <v/>
      </c>
      <c r="AK56" s="22" t="str">
        <f aca="false">IF(B56="","",IFERROR(IF(Z56=0,0,IF(INDEX('Rates &amp; Settings'!$C$75:$C$96,MATCH(E56,'Rates &amp; Settings'!$B$75:$B$96,0))="Percent",MIN(Z56*INDEX('Rates &amp; Settings'!$E$75:$E$96,MATCH(E56,'Rates &amp; Settings'!$B$75:$B$96,0)),INDEX('Rates &amp; Settings'!$G$75:$G$96,MATCH(E56,'Rates &amp; Settings'!$B$75:$B$96,0))),INDEX('Rates &amp; Settings'!$E$75:$E$96,MATCH(E56,'Rates &amp; Settings'!$B$75:$B$96,0)))),0))</f>
        <v/>
      </c>
      <c r="AL56" s="22" t="str">
        <f aca="false">IF(B56="","",Q56+AF56+AG56+AH56+AI56+AJ56+AK56)</f>
        <v/>
      </c>
      <c r="AM56" s="22" t="str">
        <f aca="false">IF(B56="","",MAX(0,P56*12-'Rates &amp; Settings'!$C$18))</f>
        <v/>
      </c>
      <c r="AN56" s="22" t="str">
        <f aca="false">IF(B56="","",IF(AM56&lt;='Rates &amp; Settings'!$C$19,0,MIN(SUMPRODUCT(--(AM56&gt;'Rates &amp; Settings'!$B$24:$B$30),AM56-'Rates &amp; Settings'!$B$24:$B$30,'Rates &amp; Settings'!$D$24:$D$30),AM56-'Rates &amp; Settings'!$C$19))*(1+'Rates &amp; Settings'!$C$20))</f>
        <v/>
      </c>
    </row>
    <row r="57" customFormat="false" ht="15" hidden="false" customHeight="false" outlineLevel="0" collapsed="false">
      <c r="B57" s="5"/>
      <c r="C57" s="5"/>
      <c r="D57" s="5"/>
      <c r="E57" s="5"/>
      <c r="F57" s="5"/>
      <c r="G57" s="5"/>
      <c r="H57" s="5"/>
      <c r="I57" s="20"/>
      <c r="J57" s="21"/>
      <c r="K57" s="21"/>
      <c r="L57" s="21"/>
      <c r="M57" s="21"/>
      <c r="N57" s="21"/>
      <c r="O57" s="21"/>
      <c r="P57" s="22" t="str">
        <f aca="false">IF(B57="","",SUM(J57:O57))</f>
        <v/>
      </c>
      <c r="Q57" s="22" t="str">
        <f aca="false">IF(B57="","",ROUND(P57*N(I57)/'Rates &amp; Settings'!$C$7,0))</f>
        <v/>
      </c>
      <c r="R57" s="22" t="str">
        <f aca="false">IF(B57="","",ROUND((N(J57)+N(K57))*N(I57)/'Rates &amp; Settings'!$C$7,0))</f>
        <v/>
      </c>
      <c r="S57" s="22" t="str">
        <f aca="false">IF(B57="","",IF('Rates &amp; Settings'!$C$14="Yes",MAX(R57,ROUND(Q57*0.5,0)),R57))</f>
        <v/>
      </c>
      <c r="T57" s="22" t="str">
        <f aca="false">IF(B57="","",IF(F57="Yes",IF(G57="Yes",MIN(S57,'Rates &amp; Settings'!$C$8),S57),0))</f>
        <v/>
      </c>
      <c r="U57" s="22" t="str">
        <f aca="false">IF(B57="","",ROUND(T57*'Rates &amp; Settings'!$C$9,0))</f>
        <v/>
      </c>
      <c r="V57" s="7" t="str">
        <f aca="false">IF(B57="","",IF(P57&lt;='Rates &amp; Settings'!$C$17,"Yes","No"))</f>
        <v/>
      </c>
      <c r="W57" s="22" t="str">
        <f aca="false">IF(B57="","",IF(V57="Yes",ROUNDUP(Q57*'Rates &amp; Settings'!$C$15,0),0))</f>
        <v/>
      </c>
      <c r="X57" s="22" t="str">
        <f aca="false">IF(B57="","",IF(Y57&lt;&gt;"",N(Y57),IF(MONTH('Rates &amp; Settings'!$C$6)=2,SUMIFS('Rates &amp; Settings'!$F$35:$F$70,'Rates &amp; Settings'!$B$35:$B$70,E57,'Rates &amp; Settings'!$C$35:$C$70,"&lt;="&amp;Q57,'Rates &amp; Settings'!$D$35:$D$70,"&gt;="&amp;Q57),SUMIFS('Rates &amp; Settings'!$E$35:$E$70,'Rates &amp; Settings'!$B$35:$B$70,E57,'Rates &amp; Settings'!$C$35:$C$70,"&lt;="&amp;Q57,'Rates &amp; Settings'!$D$35:$D$70,"&gt;="&amp;Q57))))</f>
        <v/>
      </c>
      <c r="Y57" s="21"/>
      <c r="Z57" s="22" t="str">
        <f aca="false">IF(B57="","",IFERROR(IF(OR(INDEX('Rates &amp; Settings'!$H$75:$H$96,MATCH(E57,'Rates &amp; Settings'!$B$75:$B$96,0))="All",ISNUMBER(SEARCH(","&amp;MONTH('Rates &amp; Settings'!$C$6)&amp;",",","&amp;INDEX('Rates &amp; Settings'!$H$75:$H$96,MATCH(E57,'Rates &amp; Settings'!$B$75:$B$96,0))&amp;","))),IF(INDEX('Rates &amp; Settings'!$C$75:$C$96,MATCH(E57,'Rates &amp; Settings'!$B$75:$B$96,0))="Percent",MIN(ROUND(Q57*INDEX('Rates &amp; Settings'!$D$75:$D$96,MATCH(E57,'Rates &amp; Settings'!$B$75:$B$96,0)),0),INDEX('Rates &amp; Settings'!$F$75:$F$96,MATCH(E57,'Rates &amp; Settings'!$B$75:$B$96,0))),INDEX('Rates &amp; Settings'!$D$75:$D$96,MATCH(E57,'Rates &amp; Settings'!$B$75:$B$96,0))),0),0))</f>
        <v/>
      </c>
      <c r="AA57" s="22" t="str">
        <f aca="false">IF(B57="","",ROUND(AN57/12,0))</f>
        <v/>
      </c>
      <c r="AB57" s="21"/>
      <c r="AC57" s="21"/>
      <c r="AD57" s="22" t="str">
        <f aca="false">IF(B57="","",U57+W57+X57+Z57+IF(AB57&lt;&gt;"",N(AB57),AA57)+N(AC57))</f>
        <v/>
      </c>
      <c r="AE57" s="23" t="str">
        <f aca="false">IF(B57="","",Q57-AD57)</f>
        <v/>
      </c>
      <c r="AF57" s="22" t="str">
        <f aca="false">IF(B57="","",ROUND(T57*'Rates &amp; Settings'!$C$10,0)-AG57)</f>
        <v/>
      </c>
      <c r="AG57" s="22" t="str">
        <f aca="false">IF(B57="","",IF(H57="Yes",ROUND(MIN(T57,'Rates &amp; Settings'!$C$8)*'Rates &amp; Settings'!$C$11,0),0))</f>
        <v/>
      </c>
      <c r="AH57" s="22" t="str">
        <f aca="false">IF(B57="","",ROUND(MIN(T57,'Rates &amp; Settings'!$C$8)*'Rates &amp; Settings'!$C$12,0))</f>
        <v/>
      </c>
      <c r="AI57" s="22" t="str">
        <f aca="false">IF(B57="","",ROUND(T57*'Rates &amp; Settings'!$C$13,0))</f>
        <v/>
      </c>
      <c r="AJ57" s="22" t="str">
        <f aca="false">IF(B57="","",IF(V57="Yes",ROUNDUP(Q57*'Rates &amp; Settings'!$C$16,0),0))</f>
        <v/>
      </c>
      <c r="AK57" s="22" t="str">
        <f aca="false">IF(B57="","",IFERROR(IF(Z57=0,0,IF(INDEX('Rates &amp; Settings'!$C$75:$C$96,MATCH(E57,'Rates &amp; Settings'!$B$75:$B$96,0))="Percent",MIN(Z57*INDEX('Rates &amp; Settings'!$E$75:$E$96,MATCH(E57,'Rates &amp; Settings'!$B$75:$B$96,0)),INDEX('Rates &amp; Settings'!$G$75:$G$96,MATCH(E57,'Rates &amp; Settings'!$B$75:$B$96,0))),INDEX('Rates &amp; Settings'!$E$75:$E$96,MATCH(E57,'Rates &amp; Settings'!$B$75:$B$96,0)))),0))</f>
        <v/>
      </c>
      <c r="AL57" s="22" t="str">
        <f aca="false">IF(B57="","",Q57+AF57+AG57+AH57+AI57+AJ57+AK57)</f>
        <v/>
      </c>
      <c r="AM57" s="22" t="str">
        <f aca="false">IF(B57="","",MAX(0,P57*12-'Rates &amp; Settings'!$C$18))</f>
        <v/>
      </c>
      <c r="AN57" s="22" t="str">
        <f aca="false">IF(B57="","",IF(AM57&lt;='Rates &amp; Settings'!$C$19,0,MIN(SUMPRODUCT(--(AM57&gt;'Rates &amp; Settings'!$B$24:$B$30),AM57-'Rates &amp; Settings'!$B$24:$B$30,'Rates &amp; Settings'!$D$24:$D$30),AM57-'Rates &amp; Settings'!$C$19))*(1+'Rates &amp; Settings'!$C$20))</f>
        <v/>
      </c>
    </row>
    <row r="58" customFormat="false" ht="15" hidden="false" customHeight="false" outlineLevel="0" collapsed="false">
      <c r="B58" s="5"/>
      <c r="C58" s="5"/>
      <c r="D58" s="5"/>
      <c r="E58" s="5"/>
      <c r="F58" s="5"/>
      <c r="G58" s="5"/>
      <c r="H58" s="5"/>
      <c r="I58" s="20"/>
      <c r="J58" s="21"/>
      <c r="K58" s="21"/>
      <c r="L58" s="21"/>
      <c r="M58" s="21"/>
      <c r="N58" s="21"/>
      <c r="O58" s="21"/>
      <c r="P58" s="22" t="str">
        <f aca="false">IF(B58="","",SUM(J58:O58))</f>
        <v/>
      </c>
      <c r="Q58" s="22" t="str">
        <f aca="false">IF(B58="","",ROUND(P58*N(I58)/'Rates &amp; Settings'!$C$7,0))</f>
        <v/>
      </c>
      <c r="R58" s="22" t="str">
        <f aca="false">IF(B58="","",ROUND((N(J58)+N(K58))*N(I58)/'Rates &amp; Settings'!$C$7,0))</f>
        <v/>
      </c>
      <c r="S58" s="22" t="str">
        <f aca="false">IF(B58="","",IF('Rates &amp; Settings'!$C$14="Yes",MAX(R58,ROUND(Q58*0.5,0)),R58))</f>
        <v/>
      </c>
      <c r="T58" s="22" t="str">
        <f aca="false">IF(B58="","",IF(F58="Yes",IF(G58="Yes",MIN(S58,'Rates &amp; Settings'!$C$8),S58),0))</f>
        <v/>
      </c>
      <c r="U58" s="22" t="str">
        <f aca="false">IF(B58="","",ROUND(T58*'Rates &amp; Settings'!$C$9,0))</f>
        <v/>
      </c>
      <c r="V58" s="7" t="str">
        <f aca="false">IF(B58="","",IF(P58&lt;='Rates &amp; Settings'!$C$17,"Yes","No"))</f>
        <v/>
      </c>
      <c r="W58" s="22" t="str">
        <f aca="false">IF(B58="","",IF(V58="Yes",ROUNDUP(Q58*'Rates &amp; Settings'!$C$15,0),0))</f>
        <v/>
      </c>
      <c r="X58" s="22" t="str">
        <f aca="false">IF(B58="","",IF(Y58&lt;&gt;"",N(Y58),IF(MONTH('Rates &amp; Settings'!$C$6)=2,SUMIFS('Rates &amp; Settings'!$F$35:$F$70,'Rates &amp; Settings'!$B$35:$B$70,E58,'Rates &amp; Settings'!$C$35:$C$70,"&lt;="&amp;Q58,'Rates &amp; Settings'!$D$35:$D$70,"&gt;="&amp;Q58),SUMIFS('Rates &amp; Settings'!$E$35:$E$70,'Rates &amp; Settings'!$B$35:$B$70,E58,'Rates &amp; Settings'!$C$35:$C$70,"&lt;="&amp;Q58,'Rates &amp; Settings'!$D$35:$D$70,"&gt;="&amp;Q58))))</f>
        <v/>
      </c>
      <c r="Y58" s="21"/>
      <c r="Z58" s="22" t="str">
        <f aca="false">IF(B58="","",IFERROR(IF(OR(INDEX('Rates &amp; Settings'!$H$75:$H$96,MATCH(E58,'Rates &amp; Settings'!$B$75:$B$96,0))="All",ISNUMBER(SEARCH(","&amp;MONTH('Rates &amp; Settings'!$C$6)&amp;",",","&amp;INDEX('Rates &amp; Settings'!$H$75:$H$96,MATCH(E58,'Rates &amp; Settings'!$B$75:$B$96,0))&amp;","))),IF(INDEX('Rates &amp; Settings'!$C$75:$C$96,MATCH(E58,'Rates &amp; Settings'!$B$75:$B$96,0))="Percent",MIN(ROUND(Q58*INDEX('Rates &amp; Settings'!$D$75:$D$96,MATCH(E58,'Rates &amp; Settings'!$B$75:$B$96,0)),0),INDEX('Rates &amp; Settings'!$F$75:$F$96,MATCH(E58,'Rates &amp; Settings'!$B$75:$B$96,0))),INDEX('Rates &amp; Settings'!$D$75:$D$96,MATCH(E58,'Rates &amp; Settings'!$B$75:$B$96,0))),0),0))</f>
        <v/>
      </c>
      <c r="AA58" s="22" t="str">
        <f aca="false">IF(B58="","",ROUND(AN58/12,0))</f>
        <v/>
      </c>
      <c r="AB58" s="21"/>
      <c r="AC58" s="21"/>
      <c r="AD58" s="22" t="str">
        <f aca="false">IF(B58="","",U58+W58+X58+Z58+IF(AB58&lt;&gt;"",N(AB58),AA58)+N(AC58))</f>
        <v/>
      </c>
      <c r="AE58" s="23" t="str">
        <f aca="false">IF(B58="","",Q58-AD58)</f>
        <v/>
      </c>
      <c r="AF58" s="22" t="str">
        <f aca="false">IF(B58="","",ROUND(T58*'Rates &amp; Settings'!$C$10,0)-AG58)</f>
        <v/>
      </c>
      <c r="AG58" s="22" t="str">
        <f aca="false">IF(B58="","",IF(H58="Yes",ROUND(MIN(T58,'Rates &amp; Settings'!$C$8)*'Rates &amp; Settings'!$C$11,0),0))</f>
        <v/>
      </c>
      <c r="AH58" s="22" t="str">
        <f aca="false">IF(B58="","",ROUND(MIN(T58,'Rates &amp; Settings'!$C$8)*'Rates &amp; Settings'!$C$12,0))</f>
        <v/>
      </c>
      <c r="AI58" s="22" t="str">
        <f aca="false">IF(B58="","",ROUND(T58*'Rates &amp; Settings'!$C$13,0))</f>
        <v/>
      </c>
      <c r="AJ58" s="22" t="str">
        <f aca="false">IF(B58="","",IF(V58="Yes",ROUNDUP(Q58*'Rates &amp; Settings'!$C$16,0),0))</f>
        <v/>
      </c>
      <c r="AK58" s="22" t="str">
        <f aca="false">IF(B58="","",IFERROR(IF(Z58=0,0,IF(INDEX('Rates &amp; Settings'!$C$75:$C$96,MATCH(E58,'Rates &amp; Settings'!$B$75:$B$96,0))="Percent",MIN(Z58*INDEX('Rates &amp; Settings'!$E$75:$E$96,MATCH(E58,'Rates &amp; Settings'!$B$75:$B$96,0)),INDEX('Rates &amp; Settings'!$G$75:$G$96,MATCH(E58,'Rates &amp; Settings'!$B$75:$B$96,0))),INDEX('Rates &amp; Settings'!$E$75:$E$96,MATCH(E58,'Rates &amp; Settings'!$B$75:$B$96,0)))),0))</f>
        <v/>
      </c>
      <c r="AL58" s="22" t="str">
        <f aca="false">IF(B58="","",Q58+AF58+AG58+AH58+AI58+AJ58+AK58)</f>
        <v/>
      </c>
      <c r="AM58" s="22" t="str">
        <f aca="false">IF(B58="","",MAX(0,P58*12-'Rates &amp; Settings'!$C$18))</f>
        <v/>
      </c>
      <c r="AN58" s="22" t="str">
        <f aca="false">IF(B58="","",IF(AM58&lt;='Rates &amp; Settings'!$C$19,0,MIN(SUMPRODUCT(--(AM58&gt;'Rates &amp; Settings'!$B$24:$B$30),AM58-'Rates &amp; Settings'!$B$24:$B$30,'Rates &amp; Settings'!$D$24:$D$30),AM58-'Rates &amp; Settings'!$C$19))*(1+'Rates &amp; Settings'!$C$20))</f>
        <v/>
      </c>
    </row>
    <row r="59" customFormat="false" ht="15" hidden="false" customHeight="false" outlineLevel="0" collapsed="false">
      <c r="B59" s="5"/>
      <c r="C59" s="5"/>
      <c r="D59" s="5"/>
      <c r="E59" s="5"/>
      <c r="F59" s="5"/>
      <c r="G59" s="5"/>
      <c r="H59" s="5"/>
      <c r="I59" s="20"/>
      <c r="J59" s="21"/>
      <c r="K59" s="21"/>
      <c r="L59" s="21"/>
      <c r="M59" s="21"/>
      <c r="N59" s="21"/>
      <c r="O59" s="21"/>
      <c r="P59" s="22" t="str">
        <f aca="false">IF(B59="","",SUM(J59:O59))</f>
        <v/>
      </c>
      <c r="Q59" s="22" t="str">
        <f aca="false">IF(B59="","",ROUND(P59*N(I59)/'Rates &amp; Settings'!$C$7,0))</f>
        <v/>
      </c>
      <c r="R59" s="22" t="str">
        <f aca="false">IF(B59="","",ROUND((N(J59)+N(K59))*N(I59)/'Rates &amp; Settings'!$C$7,0))</f>
        <v/>
      </c>
      <c r="S59" s="22" t="str">
        <f aca="false">IF(B59="","",IF('Rates &amp; Settings'!$C$14="Yes",MAX(R59,ROUND(Q59*0.5,0)),R59))</f>
        <v/>
      </c>
      <c r="T59" s="22" t="str">
        <f aca="false">IF(B59="","",IF(F59="Yes",IF(G59="Yes",MIN(S59,'Rates &amp; Settings'!$C$8),S59),0))</f>
        <v/>
      </c>
      <c r="U59" s="22" t="str">
        <f aca="false">IF(B59="","",ROUND(T59*'Rates &amp; Settings'!$C$9,0))</f>
        <v/>
      </c>
      <c r="V59" s="7" t="str">
        <f aca="false">IF(B59="","",IF(P59&lt;='Rates &amp; Settings'!$C$17,"Yes","No"))</f>
        <v/>
      </c>
      <c r="W59" s="22" t="str">
        <f aca="false">IF(B59="","",IF(V59="Yes",ROUNDUP(Q59*'Rates &amp; Settings'!$C$15,0),0))</f>
        <v/>
      </c>
      <c r="X59" s="22" t="str">
        <f aca="false">IF(B59="","",IF(Y59&lt;&gt;"",N(Y59),IF(MONTH('Rates &amp; Settings'!$C$6)=2,SUMIFS('Rates &amp; Settings'!$F$35:$F$70,'Rates &amp; Settings'!$B$35:$B$70,E59,'Rates &amp; Settings'!$C$35:$C$70,"&lt;="&amp;Q59,'Rates &amp; Settings'!$D$35:$D$70,"&gt;="&amp;Q59),SUMIFS('Rates &amp; Settings'!$E$35:$E$70,'Rates &amp; Settings'!$B$35:$B$70,E59,'Rates &amp; Settings'!$C$35:$C$70,"&lt;="&amp;Q59,'Rates &amp; Settings'!$D$35:$D$70,"&gt;="&amp;Q59))))</f>
        <v/>
      </c>
      <c r="Y59" s="21"/>
      <c r="Z59" s="22" t="str">
        <f aca="false">IF(B59="","",IFERROR(IF(OR(INDEX('Rates &amp; Settings'!$H$75:$H$96,MATCH(E59,'Rates &amp; Settings'!$B$75:$B$96,0))="All",ISNUMBER(SEARCH(","&amp;MONTH('Rates &amp; Settings'!$C$6)&amp;",",","&amp;INDEX('Rates &amp; Settings'!$H$75:$H$96,MATCH(E59,'Rates &amp; Settings'!$B$75:$B$96,0))&amp;","))),IF(INDEX('Rates &amp; Settings'!$C$75:$C$96,MATCH(E59,'Rates &amp; Settings'!$B$75:$B$96,0))="Percent",MIN(ROUND(Q59*INDEX('Rates &amp; Settings'!$D$75:$D$96,MATCH(E59,'Rates &amp; Settings'!$B$75:$B$96,0)),0),INDEX('Rates &amp; Settings'!$F$75:$F$96,MATCH(E59,'Rates &amp; Settings'!$B$75:$B$96,0))),INDEX('Rates &amp; Settings'!$D$75:$D$96,MATCH(E59,'Rates &amp; Settings'!$B$75:$B$96,0))),0),0))</f>
        <v/>
      </c>
      <c r="AA59" s="22" t="str">
        <f aca="false">IF(B59="","",ROUND(AN59/12,0))</f>
        <v/>
      </c>
      <c r="AB59" s="21"/>
      <c r="AC59" s="21"/>
      <c r="AD59" s="22" t="str">
        <f aca="false">IF(B59="","",U59+W59+X59+Z59+IF(AB59&lt;&gt;"",N(AB59),AA59)+N(AC59))</f>
        <v/>
      </c>
      <c r="AE59" s="23" t="str">
        <f aca="false">IF(B59="","",Q59-AD59)</f>
        <v/>
      </c>
      <c r="AF59" s="22" t="str">
        <f aca="false">IF(B59="","",ROUND(T59*'Rates &amp; Settings'!$C$10,0)-AG59)</f>
        <v/>
      </c>
      <c r="AG59" s="22" t="str">
        <f aca="false">IF(B59="","",IF(H59="Yes",ROUND(MIN(T59,'Rates &amp; Settings'!$C$8)*'Rates &amp; Settings'!$C$11,0),0))</f>
        <v/>
      </c>
      <c r="AH59" s="22" t="str">
        <f aca="false">IF(B59="","",ROUND(MIN(T59,'Rates &amp; Settings'!$C$8)*'Rates &amp; Settings'!$C$12,0))</f>
        <v/>
      </c>
      <c r="AI59" s="22" t="str">
        <f aca="false">IF(B59="","",ROUND(T59*'Rates &amp; Settings'!$C$13,0))</f>
        <v/>
      </c>
      <c r="AJ59" s="22" t="str">
        <f aca="false">IF(B59="","",IF(V59="Yes",ROUNDUP(Q59*'Rates &amp; Settings'!$C$16,0),0))</f>
        <v/>
      </c>
      <c r="AK59" s="22" t="str">
        <f aca="false">IF(B59="","",IFERROR(IF(Z59=0,0,IF(INDEX('Rates &amp; Settings'!$C$75:$C$96,MATCH(E59,'Rates &amp; Settings'!$B$75:$B$96,0))="Percent",MIN(Z59*INDEX('Rates &amp; Settings'!$E$75:$E$96,MATCH(E59,'Rates &amp; Settings'!$B$75:$B$96,0)),INDEX('Rates &amp; Settings'!$G$75:$G$96,MATCH(E59,'Rates &amp; Settings'!$B$75:$B$96,0))),INDEX('Rates &amp; Settings'!$E$75:$E$96,MATCH(E59,'Rates &amp; Settings'!$B$75:$B$96,0)))),0))</f>
        <v/>
      </c>
      <c r="AL59" s="22" t="str">
        <f aca="false">IF(B59="","",Q59+AF59+AG59+AH59+AI59+AJ59+AK59)</f>
        <v/>
      </c>
      <c r="AM59" s="22" t="str">
        <f aca="false">IF(B59="","",MAX(0,P59*12-'Rates &amp; Settings'!$C$18))</f>
        <v/>
      </c>
      <c r="AN59" s="22" t="str">
        <f aca="false">IF(B59="","",IF(AM59&lt;='Rates &amp; Settings'!$C$19,0,MIN(SUMPRODUCT(--(AM59&gt;'Rates &amp; Settings'!$B$24:$B$30),AM59-'Rates &amp; Settings'!$B$24:$B$30,'Rates &amp; Settings'!$D$24:$D$30),AM59-'Rates &amp; Settings'!$C$19))*(1+'Rates &amp; Settings'!$C$20))</f>
        <v/>
      </c>
    </row>
    <row r="60" customFormat="false" ht="15" hidden="false" customHeight="false" outlineLevel="0" collapsed="false">
      <c r="B60" s="5"/>
      <c r="C60" s="5"/>
      <c r="D60" s="5"/>
      <c r="E60" s="5"/>
      <c r="F60" s="5"/>
      <c r="G60" s="5"/>
      <c r="H60" s="5"/>
      <c r="I60" s="20"/>
      <c r="J60" s="21"/>
      <c r="K60" s="21"/>
      <c r="L60" s="21"/>
      <c r="M60" s="21"/>
      <c r="N60" s="21"/>
      <c r="O60" s="21"/>
      <c r="P60" s="22" t="str">
        <f aca="false">IF(B60="","",SUM(J60:O60))</f>
        <v/>
      </c>
      <c r="Q60" s="22" t="str">
        <f aca="false">IF(B60="","",ROUND(P60*N(I60)/'Rates &amp; Settings'!$C$7,0))</f>
        <v/>
      </c>
      <c r="R60" s="22" t="str">
        <f aca="false">IF(B60="","",ROUND((N(J60)+N(K60))*N(I60)/'Rates &amp; Settings'!$C$7,0))</f>
        <v/>
      </c>
      <c r="S60" s="22" t="str">
        <f aca="false">IF(B60="","",IF('Rates &amp; Settings'!$C$14="Yes",MAX(R60,ROUND(Q60*0.5,0)),R60))</f>
        <v/>
      </c>
      <c r="T60" s="22" t="str">
        <f aca="false">IF(B60="","",IF(F60="Yes",IF(G60="Yes",MIN(S60,'Rates &amp; Settings'!$C$8),S60),0))</f>
        <v/>
      </c>
      <c r="U60" s="22" t="str">
        <f aca="false">IF(B60="","",ROUND(T60*'Rates &amp; Settings'!$C$9,0))</f>
        <v/>
      </c>
      <c r="V60" s="7" t="str">
        <f aca="false">IF(B60="","",IF(P60&lt;='Rates &amp; Settings'!$C$17,"Yes","No"))</f>
        <v/>
      </c>
      <c r="W60" s="22" t="str">
        <f aca="false">IF(B60="","",IF(V60="Yes",ROUNDUP(Q60*'Rates &amp; Settings'!$C$15,0),0))</f>
        <v/>
      </c>
      <c r="X60" s="22" t="str">
        <f aca="false">IF(B60="","",IF(Y60&lt;&gt;"",N(Y60),IF(MONTH('Rates &amp; Settings'!$C$6)=2,SUMIFS('Rates &amp; Settings'!$F$35:$F$70,'Rates &amp; Settings'!$B$35:$B$70,E60,'Rates &amp; Settings'!$C$35:$C$70,"&lt;="&amp;Q60,'Rates &amp; Settings'!$D$35:$D$70,"&gt;="&amp;Q60),SUMIFS('Rates &amp; Settings'!$E$35:$E$70,'Rates &amp; Settings'!$B$35:$B$70,E60,'Rates &amp; Settings'!$C$35:$C$70,"&lt;="&amp;Q60,'Rates &amp; Settings'!$D$35:$D$70,"&gt;="&amp;Q60))))</f>
        <v/>
      </c>
      <c r="Y60" s="21"/>
      <c r="Z60" s="22" t="str">
        <f aca="false">IF(B60="","",IFERROR(IF(OR(INDEX('Rates &amp; Settings'!$H$75:$H$96,MATCH(E60,'Rates &amp; Settings'!$B$75:$B$96,0))="All",ISNUMBER(SEARCH(","&amp;MONTH('Rates &amp; Settings'!$C$6)&amp;",",","&amp;INDEX('Rates &amp; Settings'!$H$75:$H$96,MATCH(E60,'Rates &amp; Settings'!$B$75:$B$96,0))&amp;","))),IF(INDEX('Rates &amp; Settings'!$C$75:$C$96,MATCH(E60,'Rates &amp; Settings'!$B$75:$B$96,0))="Percent",MIN(ROUND(Q60*INDEX('Rates &amp; Settings'!$D$75:$D$96,MATCH(E60,'Rates &amp; Settings'!$B$75:$B$96,0)),0),INDEX('Rates &amp; Settings'!$F$75:$F$96,MATCH(E60,'Rates &amp; Settings'!$B$75:$B$96,0))),INDEX('Rates &amp; Settings'!$D$75:$D$96,MATCH(E60,'Rates &amp; Settings'!$B$75:$B$96,0))),0),0))</f>
        <v/>
      </c>
      <c r="AA60" s="22" t="str">
        <f aca="false">IF(B60="","",ROUND(AN60/12,0))</f>
        <v/>
      </c>
      <c r="AB60" s="21"/>
      <c r="AC60" s="21"/>
      <c r="AD60" s="22" t="str">
        <f aca="false">IF(B60="","",U60+W60+X60+Z60+IF(AB60&lt;&gt;"",N(AB60),AA60)+N(AC60))</f>
        <v/>
      </c>
      <c r="AE60" s="23" t="str">
        <f aca="false">IF(B60="","",Q60-AD60)</f>
        <v/>
      </c>
      <c r="AF60" s="22" t="str">
        <f aca="false">IF(B60="","",ROUND(T60*'Rates &amp; Settings'!$C$10,0)-AG60)</f>
        <v/>
      </c>
      <c r="AG60" s="22" t="str">
        <f aca="false">IF(B60="","",IF(H60="Yes",ROUND(MIN(T60,'Rates &amp; Settings'!$C$8)*'Rates &amp; Settings'!$C$11,0),0))</f>
        <v/>
      </c>
      <c r="AH60" s="22" t="str">
        <f aca="false">IF(B60="","",ROUND(MIN(T60,'Rates &amp; Settings'!$C$8)*'Rates &amp; Settings'!$C$12,0))</f>
        <v/>
      </c>
      <c r="AI60" s="22" t="str">
        <f aca="false">IF(B60="","",ROUND(T60*'Rates &amp; Settings'!$C$13,0))</f>
        <v/>
      </c>
      <c r="AJ60" s="22" t="str">
        <f aca="false">IF(B60="","",IF(V60="Yes",ROUNDUP(Q60*'Rates &amp; Settings'!$C$16,0),0))</f>
        <v/>
      </c>
      <c r="AK60" s="22" t="str">
        <f aca="false">IF(B60="","",IFERROR(IF(Z60=0,0,IF(INDEX('Rates &amp; Settings'!$C$75:$C$96,MATCH(E60,'Rates &amp; Settings'!$B$75:$B$96,0))="Percent",MIN(Z60*INDEX('Rates &amp; Settings'!$E$75:$E$96,MATCH(E60,'Rates &amp; Settings'!$B$75:$B$96,0)),INDEX('Rates &amp; Settings'!$G$75:$G$96,MATCH(E60,'Rates &amp; Settings'!$B$75:$B$96,0))),INDEX('Rates &amp; Settings'!$E$75:$E$96,MATCH(E60,'Rates &amp; Settings'!$B$75:$B$96,0)))),0))</f>
        <v/>
      </c>
      <c r="AL60" s="22" t="str">
        <f aca="false">IF(B60="","",Q60+AF60+AG60+AH60+AI60+AJ60+AK60)</f>
        <v/>
      </c>
      <c r="AM60" s="22" t="str">
        <f aca="false">IF(B60="","",MAX(0,P60*12-'Rates &amp; Settings'!$C$18))</f>
        <v/>
      </c>
      <c r="AN60" s="22" t="str">
        <f aca="false">IF(B60="","",IF(AM60&lt;='Rates &amp; Settings'!$C$19,0,MIN(SUMPRODUCT(--(AM60&gt;'Rates &amp; Settings'!$B$24:$B$30),AM60-'Rates &amp; Settings'!$B$24:$B$30,'Rates &amp; Settings'!$D$24:$D$30),AM60-'Rates &amp; Settings'!$C$19))*(1+'Rates &amp; Settings'!$C$20))</f>
        <v/>
      </c>
    </row>
    <row r="61" customFormat="false" ht="15" hidden="false" customHeight="false" outlineLevel="0" collapsed="false">
      <c r="B61" s="5"/>
      <c r="C61" s="5"/>
      <c r="D61" s="5"/>
      <c r="E61" s="5"/>
      <c r="F61" s="5"/>
      <c r="G61" s="5"/>
      <c r="H61" s="5"/>
      <c r="I61" s="20"/>
      <c r="J61" s="21"/>
      <c r="K61" s="21"/>
      <c r="L61" s="21"/>
      <c r="M61" s="21"/>
      <c r="N61" s="21"/>
      <c r="O61" s="21"/>
      <c r="P61" s="22" t="str">
        <f aca="false">IF(B61="","",SUM(J61:O61))</f>
        <v/>
      </c>
      <c r="Q61" s="22" t="str">
        <f aca="false">IF(B61="","",ROUND(P61*N(I61)/'Rates &amp; Settings'!$C$7,0))</f>
        <v/>
      </c>
      <c r="R61" s="22" t="str">
        <f aca="false">IF(B61="","",ROUND((N(J61)+N(K61))*N(I61)/'Rates &amp; Settings'!$C$7,0))</f>
        <v/>
      </c>
      <c r="S61" s="22" t="str">
        <f aca="false">IF(B61="","",IF('Rates &amp; Settings'!$C$14="Yes",MAX(R61,ROUND(Q61*0.5,0)),R61))</f>
        <v/>
      </c>
      <c r="T61" s="22" t="str">
        <f aca="false">IF(B61="","",IF(F61="Yes",IF(G61="Yes",MIN(S61,'Rates &amp; Settings'!$C$8),S61),0))</f>
        <v/>
      </c>
      <c r="U61" s="22" t="str">
        <f aca="false">IF(B61="","",ROUND(T61*'Rates &amp; Settings'!$C$9,0))</f>
        <v/>
      </c>
      <c r="V61" s="7" t="str">
        <f aca="false">IF(B61="","",IF(P61&lt;='Rates &amp; Settings'!$C$17,"Yes","No"))</f>
        <v/>
      </c>
      <c r="W61" s="22" t="str">
        <f aca="false">IF(B61="","",IF(V61="Yes",ROUNDUP(Q61*'Rates &amp; Settings'!$C$15,0),0))</f>
        <v/>
      </c>
      <c r="X61" s="22" t="str">
        <f aca="false">IF(B61="","",IF(Y61&lt;&gt;"",N(Y61),IF(MONTH('Rates &amp; Settings'!$C$6)=2,SUMIFS('Rates &amp; Settings'!$F$35:$F$70,'Rates &amp; Settings'!$B$35:$B$70,E61,'Rates &amp; Settings'!$C$35:$C$70,"&lt;="&amp;Q61,'Rates &amp; Settings'!$D$35:$D$70,"&gt;="&amp;Q61),SUMIFS('Rates &amp; Settings'!$E$35:$E$70,'Rates &amp; Settings'!$B$35:$B$70,E61,'Rates &amp; Settings'!$C$35:$C$70,"&lt;="&amp;Q61,'Rates &amp; Settings'!$D$35:$D$70,"&gt;="&amp;Q61))))</f>
        <v/>
      </c>
      <c r="Y61" s="21"/>
      <c r="Z61" s="22" t="str">
        <f aca="false">IF(B61="","",IFERROR(IF(OR(INDEX('Rates &amp; Settings'!$H$75:$H$96,MATCH(E61,'Rates &amp; Settings'!$B$75:$B$96,0))="All",ISNUMBER(SEARCH(","&amp;MONTH('Rates &amp; Settings'!$C$6)&amp;",",","&amp;INDEX('Rates &amp; Settings'!$H$75:$H$96,MATCH(E61,'Rates &amp; Settings'!$B$75:$B$96,0))&amp;","))),IF(INDEX('Rates &amp; Settings'!$C$75:$C$96,MATCH(E61,'Rates &amp; Settings'!$B$75:$B$96,0))="Percent",MIN(ROUND(Q61*INDEX('Rates &amp; Settings'!$D$75:$D$96,MATCH(E61,'Rates &amp; Settings'!$B$75:$B$96,0)),0),INDEX('Rates &amp; Settings'!$F$75:$F$96,MATCH(E61,'Rates &amp; Settings'!$B$75:$B$96,0))),INDEX('Rates &amp; Settings'!$D$75:$D$96,MATCH(E61,'Rates &amp; Settings'!$B$75:$B$96,0))),0),0))</f>
        <v/>
      </c>
      <c r="AA61" s="22" t="str">
        <f aca="false">IF(B61="","",ROUND(AN61/12,0))</f>
        <v/>
      </c>
      <c r="AB61" s="21"/>
      <c r="AC61" s="21"/>
      <c r="AD61" s="22" t="str">
        <f aca="false">IF(B61="","",U61+W61+X61+Z61+IF(AB61&lt;&gt;"",N(AB61),AA61)+N(AC61))</f>
        <v/>
      </c>
      <c r="AE61" s="23" t="str">
        <f aca="false">IF(B61="","",Q61-AD61)</f>
        <v/>
      </c>
      <c r="AF61" s="22" t="str">
        <f aca="false">IF(B61="","",ROUND(T61*'Rates &amp; Settings'!$C$10,0)-AG61)</f>
        <v/>
      </c>
      <c r="AG61" s="22" t="str">
        <f aca="false">IF(B61="","",IF(H61="Yes",ROUND(MIN(T61,'Rates &amp; Settings'!$C$8)*'Rates &amp; Settings'!$C$11,0),0))</f>
        <v/>
      </c>
      <c r="AH61" s="22" t="str">
        <f aca="false">IF(B61="","",ROUND(MIN(T61,'Rates &amp; Settings'!$C$8)*'Rates &amp; Settings'!$C$12,0))</f>
        <v/>
      </c>
      <c r="AI61" s="22" t="str">
        <f aca="false">IF(B61="","",ROUND(T61*'Rates &amp; Settings'!$C$13,0))</f>
        <v/>
      </c>
      <c r="AJ61" s="22" t="str">
        <f aca="false">IF(B61="","",IF(V61="Yes",ROUNDUP(Q61*'Rates &amp; Settings'!$C$16,0),0))</f>
        <v/>
      </c>
      <c r="AK61" s="22" t="str">
        <f aca="false">IF(B61="","",IFERROR(IF(Z61=0,0,IF(INDEX('Rates &amp; Settings'!$C$75:$C$96,MATCH(E61,'Rates &amp; Settings'!$B$75:$B$96,0))="Percent",MIN(Z61*INDEX('Rates &amp; Settings'!$E$75:$E$96,MATCH(E61,'Rates &amp; Settings'!$B$75:$B$96,0)),INDEX('Rates &amp; Settings'!$G$75:$G$96,MATCH(E61,'Rates &amp; Settings'!$B$75:$B$96,0))),INDEX('Rates &amp; Settings'!$E$75:$E$96,MATCH(E61,'Rates &amp; Settings'!$B$75:$B$96,0)))),0))</f>
        <v/>
      </c>
      <c r="AL61" s="22" t="str">
        <f aca="false">IF(B61="","",Q61+AF61+AG61+AH61+AI61+AJ61+AK61)</f>
        <v/>
      </c>
      <c r="AM61" s="22" t="str">
        <f aca="false">IF(B61="","",MAX(0,P61*12-'Rates &amp; Settings'!$C$18))</f>
        <v/>
      </c>
      <c r="AN61" s="22" t="str">
        <f aca="false">IF(B61="","",IF(AM61&lt;='Rates &amp; Settings'!$C$19,0,MIN(SUMPRODUCT(--(AM61&gt;'Rates &amp; Settings'!$B$24:$B$30),AM61-'Rates &amp; Settings'!$B$24:$B$30,'Rates &amp; Settings'!$D$24:$D$30),AM61-'Rates &amp; Settings'!$C$19))*(1+'Rates &amp; Settings'!$C$20))</f>
        <v/>
      </c>
    </row>
    <row r="62" customFormat="false" ht="15" hidden="false" customHeight="false" outlineLevel="0" collapsed="false">
      <c r="B62" s="5"/>
      <c r="C62" s="5"/>
      <c r="D62" s="5"/>
      <c r="E62" s="5"/>
      <c r="F62" s="5"/>
      <c r="G62" s="5"/>
      <c r="H62" s="5"/>
      <c r="I62" s="20"/>
      <c r="J62" s="21"/>
      <c r="K62" s="21"/>
      <c r="L62" s="21"/>
      <c r="M62" s="21"/>
      <c r="N62" s="21"/>
      <c r="O62" s="21"/>
      <c r="P62" s="22" t="str">
        <f aca="false">IF(B62="","",SUM(J62:O62))</f>
        <v/>
      </c>
      <c r="Q62" s="22" t="str">
        <f aca="false">IF(B62="","",ROUND(P62*N(I62)/'Rates &amp; Settings'!$C$7,0))</f>
        <v/>
      </c>
      <c r="R62" s="22" t="str">
        <f aca="false">IF(B62="","",ROUND((N(J62)+N(K62))*N(I62)/'Rates &amp; Settings'!$C$7,0))</f>
        <v/>
      </c>
      <c r="S62" s="22" t="str">
        <f aca="false">IF(B62="","",IF('Rates &amp; Settings'!$C$14="Yes",MAX(R62,ROUND(Q62*0.5,0)),R62))</f>
        <v/>
      </c>
      <c r="T62" s="22" t="str">
        <f aca="false">IF(B62="","",IF(F62="Yes",IF(G62="Yes",MIN(S62,'Rates &amp; Settings'!$C$8),S62),0))</f>
        <v/>
      </c>
      <c r="U62" s="22" t="str">
        <f aca="false">IF(B62="","",ROUND(T62*'Rates &amp; Settings'!$C$9,0))</f>
        <v/>
      </c>
      <c r="V62" s="7" t="str">
        <f aca="false">IF(B62="","",IF(P62&lt;='Rates &amp; Settings'!$C$17,"Yes","No"))</f>
        <v/>
      </c>
      <c r="W62" s="22" t="str">
        <f aca="false">IF(B62="","",IF(V62="Yes",ROUNDUP(Q62*'Rates &amp; Settings'!$C$15,0),0))</f>
        <v/>
      </c>
      <c r="X62" s="22" t="str">
        <f aca="false">IF(B62="","",IF(Y62&lt;&gt;"",N(Y62),IF(MONTH('Rates &amp; Settings'!$C$6)=2,SUMIFS('Rates &amp; Settings'!$F$35:$F$70,'Rates &amp; Settings'!$B$35:$B$70,E62,'Rates &amp; Settings'!$C$35:$C$70,"&lt;="&amp;Q62,'Rates &amp; Settings'!$D$35:$D$70,"&gt;="&amp;Q62),SUMIFS('Rates &amp; Settings'!$E$35:$E$70,'Rates &amp; Settings'!$B$35:$B$70,E62,'Rates &amp; Settings'!$C$35:$C$70,"&lt;="&amp;Q62,'Rates &amp; Settings'!$D$35:$D$70,"&gt;="&amp;Q62))))</f>
        <v/>
      </c>
      <c r="Y62" s="21"/>
      <c r="Z62" s="22" t="str">
        <f aca="false">IF(B62="","",IFERROR(IF(OR(INDEX('Rates &amp; Settings'!$H$75:$H$96,MATCH(E62,'Rates &amp; Settings'!$B$75:$B$96,0))="All",ISNUMBER(SEARCH(","&amp;MONTH('Rates &amp; Settings'!$C$6)&amp;",",","&amp;INDEX('Rates &amp; Settings'!$H$75:$H$96,MATCH(E62,'Rates &amp; Settings'!$B$75:$B$96,0))&amp;","))),IF(INDEX('Rates &amp; Settings'!$C$75:$C$96,MATCH(E62,'Rates &amp; Settings'!$B$75:$B$96,0))="Percent",MIN(ROUND(Q62*INDEX('Rates &amp; Settings'!$D$75:$D$96,MATCH(E62,'Rates &amp; Settings'!$B$75:$B$96,0)),0),INDEX('Rates &amp; Settings'!$F$75:$F$96,MATCH(E62,'Rates &amp; Settings'!$B$75:$B$96,0))),INDEX('Rates &amp; Settings'!$D$75:$D$96,MATCH(E62,'Rates &amp; Settings'!$B$75:$B$96,0))),0),0))</f>
        <v/>
      </c>
      <c r="AA62" s="22" t="str">
        <f aca="false">IF(B62="","",ROUND(AN62/12,0))</f>
        <v/>
      </c>
      <c r="AB62" s="21"/>
      <c r="AC62" s="21"/>
      <c r="AD62" s="22" t="str">
        <f aca="false">IF(B62="","",U62+W62+X62+Z62+IF(AB62&lt;&gt;"",N(AB62),AA62)+N(AC62))</f>
        <v/>
      </c>
      <c r="AE62" s="23" t="str">
        <f aca="false">IF(B62="","",Q62-AD62)</f>
        <v/>
      </c>
      <c r="AF62" s="22" t="str">
        <f aca="false">IF(B62="","",ROUND(T62*'Rates &amp; Settings'!$C$10,0)-AG62)</f>
        <v/>
      </c>
      <c r="AG62" s="22" t="str">
        <f aca="false">IF(B62="","",IF(H62="Yes",ROUND(MIN(T62,'Rates &amp; Settings'!$C$8)*'Rates &amp; Settings'!$C$11,0),0))</f>
        <v/>
      </c>
      <c r="AH62" s="22" t="str">
        <f aca="false">IF(B62="","",ROUND(MIN(T62,'Rates &amp; Settings'!$C$8)*'Rates &amp; Settings'!$C$12,0))</f>
        <v/>
      </c>
      <c r="AI62" s="22" t="str">
        <f aca="false">IF(B62="","",ROUND(T62*'Rates &amp; Settings'!$C$13,0))</f>
        <v/>
      </c>
      <c r="AJ62" s="22" t="str">
        <f aca="false">IF(B62="","",IF(V62="Yes",ROUNDUP(Q62*'Rates &amp; Settings'!$C$16,0),0))</f>
        <v/>
      </c>
      <c r="AK62" s="22" t="str">
        <f aca="false">IF(B62="","",IFERROR(IF(Z62=0,0,IF(INDEX('Rates &amp; Settings'!$C$75:$C$96,MATCH(E62,'Rates &amp; Settings'!$B$75:$B$96,0))="Percent",MIN(Z62*INDEX('Rates &amp; Settings'!$E$75:$E$96,MATCH(E62,'Rates &amp; Settings'!$B$75:$B$96,0)),INDEX('Rates &amp; Settings'!$G$75:$G$96,MATCH(E62,'Rates &amp; Settings'!$B$75:$B$96,0))),INDEX('Rates &amp; Settings'!$E$75:$E$96,MATCH(E62,'Rates &amp; Settings'!$B$75:$B$96,0)))),0))</f>
        <v/>
      </c>
      <c r="AL62" s="22" t="str">
        <f aca="false">IF(B62="","",Q62+AF62+AG62+AH62+AI62+AJ62+AK62)</f>
        <v/>
      </c>
      <c r="AM62" s="22" t="str">
        <f aca="false">IF(B62="","",MAX(0,P62*12-'Rates &amp; Settings'!$C$18))</f>
        <v/>
      </c>
      <c r="AN62" s="22" t="str">
        <f aca="false">IF(B62="","",IF(AM62&lt;='Rates &amp; Settings'!$C$19,0,MIN(SUMPRODUCT(--(AM62&gt;'Rates &amp; Settings'!$B$24:$B$30),AM62-'Rates &amp; Settings'!$B$24:$B$30,'Rates &amp; Settings'!$D$24:$D$30),AM62-'Rates &amp; Settings'!$C$19))*(1+'Rates &amp; Settings'!$C$20))</f>
        <v/>
      </c>
    </row>
    <row r="63" customFormat="false" ht="15" hidden="false" customHeight="false" outlineLevel="0" collapsed="false">
      <c r="B63" s="5"/>
      <c r="C63" s="5"/>
      <c r="D63" s="5"/>
      <c r="E63" s="5"/>
      <c r="F63" s="5"/>
      <c r="G63" s="5"/>
      <c r="H63" s="5"/>
      <c r="I63" s="20"/>
      <c r="J63" s="21"/>
      <c r="K63" s="21"/>
      <c r="L63" s="21"/>
      <c r="M63" s="21"/>
      <c r="N63" s="21"/>
      <c r="O63" s="21"/>
      <c r="P63" s="22" t="str">
        <f aca="false">IF(B63="","",SUM(J63:O63))</f>
        <v/>
      </c>
      <c r="Q63" s="22" t="str">
        <f aca="false">IF(B63="","",ROUND(P63*N(I63)/'Rates &amp; Settings'!$C$7,0))</f>
        <v/>
      </c>
      <c r="R63" s="22" t="str">
        <f aca="false">IF(B63="","",ROUND((N(J63)+N(K63))*N(I63)/'Rates &amp; Settings'!$C$7,0))</f>
        <v/>
      </c>
      <c r="S63" s="22" t="str">
        <f aca="false">IF(B63="","",IF('Rates &amp; Settings'!$C$14="Yes",MAX(R63,ROUND(Q63*0.5,0)),R63))</f>
        <v/>
      </c>
      <c r="T63" s="22" t="str">
        <f aca="false">IF(B63="","",IF(F63="Yes",IF(G63="Yes",MIN(S63,'Rates &amp; Settings'!$C$8),S63),0))</f>
        <v/>
      </c>
      <c r="U63" s="22" t="str">
        <f aca="false">IF(B63="","",ROUND(T63*'Rates &amp; Settings'!$C$9,0))</f>
        <v/>
      </c>
      <c r="V63" s="7" t="str">
        <f aca="false">IF(B63="","",IF(P63&lt;='Rates &amp; Settings'!$C$17,"Yes","No"))</f>
        <v/>
      </c>
      <c r="W63" s="22" t="str">
        <f aca="false">IF(B63="","",IF(V63="Yes",ROUNDUP(Q63*'Rates &amp; Settings'!$C$15,0),0))</f>
        <v/>
      </c>
      <c r="X63" s="22" t="str">
        <f aca="false">IF(B63="","",IF(Y63&lt;&gt;"",N(Y63),IF(MONTH('Rates &amp; Settings'!$C$6)=2,SUMIFS('Rates &amp; Settings'!$F$35:$F$70,'Rates &amp; Settings'!$B$35:$B$70,E63,'Rates &amp; Settings'!$C$35:$C$70,"&lt;="&amp;Q63,'Rates &amp; Settings'!$D$35:$D$70,"&gt;="&amp;Q63),SUMIFS('Rates &amp; Settings'!$E$35:$E$70,'Rates &amp; Settings'!$B$35:$B$70,E63,'Rates &amp; Settings'!$C$35:$C$70,"&lt;="&amp;Q63,'Rates &amp; Settings'!$D$35:$D$70,"&gt;="&amp;Q63))))</f>
        <v/>
      </c>
      <c r="Y63" s="21"/>
      <c r="Z63" s="22" t="str">
        <f aca="false">IF(B63="","",IFERROR(IF(OR(INDEX('Rates &amp; Settings'!$H$75:$H$96,MATCH(E63,'Rates &amp; Settings'!$B$75:$B$96,0))="All",ISNUMBER(SEARCH(","&amp;MONTH('Rates &amp; Settings'!$C$6)&amp;",",","&amp;INDEX('Rates &amp; Settings'!$H$75:$H$96,MATCH(E63,'Rates &amp; Settings'!$B$75:$B$96,0))&amp;","))),IF(INDEX('Rates &amp; Settings'!$C$75:$C$96,MATCH(E63,'Rates &amp; Settings'!$B$75:$B$96,0))="Percent",MIN(ROUND(Q63*INDEX('Rates &amp; Settings'!$D$75:$D$96,MATCH(E63,'Rates &amp; Settings'!$B$75:$B$96,0)),0),INDEX('Rates &amp; Settings'!$F$75:$F$96,MATCH(E63,'Rates &amp; Settings'!$B$75:$B$96,0))),INDEX('Rates &amp; Settings'!$D$75:$D$96,MATCH(E63,'Rates &amp; Settings'!$B$75:$B$96,0))),0),0))</f>
        <v/>
      </c>
      <c r="AA63" s="22" t="str">
        <f aca="false">IF(B63="","",ROUND(AN63/12,0))</f>
        <v/>
      </c>
      <c r="AB63" s="21"/>
      <c r="AC63" s="21"/>
      <c r="AD63" s="22" t="str">
        <f aca="false">IF(B63="","",U63+W63+X63+Z63+IF(AB63&lt;&gt;"",N(AB63),AA63)+N(AC63))</f>
        <v/>
      </c>
      <c r="AE63" s="23" t="str">
        <f aca="false">IF(B63="","",Q63-AD63)</f>
        <v/>
      </c>
      <c r="AF63" s="22" t="str">
        <f aca="false">IF(B63="","",ROUND(T63*'Rates &amp; Settings'!$C$10,0)-AG63)</f>
        <v/>
      </c>
      <c r="AG63" s="22" t="str">
        <f aca="false">IF(B63="","",IF(H63="Yes",ROUND(MIN(T63,'Rates &amp; Settings'!$C$8)*'Rates &amp; Settings'!$C$11,0),0))</f>
        <v/>
      </c>
      <c r="AH63" s="22" t="str">
        <f aca="false">IF(B63="","",ROUND(MIN(T63,'Rates &amp; Settings'!$C$8)*'Rates &amp; Settings'!$C$12,0))</f>
        <v/>
      </c>
      <c r="AI63" s="22" t="str">
        <f aca="false">IF(B63="","",ROUND(T63*'Rates &amp; Settings'!$C$13,0))</f>
        <v/>
      </c>
      <c r="AJ63" s="22" t="str">
        <f aca="false">IF(B63="","",IF(V63="Yes",ROUNDUP(Q63*'Rates &amp; Settings'!$C$16,0),0))</f>
        <v/>
      </c>
      <c r="AK63" s="22" t="str">
        <f aca="false">IF(B63="","",IFERROR(IF(Z63=0,0,IF(INDEX('Rates &amp; Settings'!$C$75:$C$96,MATCH(E63,'Rates &amp; Settings'!$B$75:$B$96,0))="Percent",MIN(Z63*INDEX('Rates &amp; Settings'!$E$75:$E$96,MATCH(E63,'Rates &amp; Settings'!$B$75:$B$96,0)),INDEX('Rates &amp; Settings'!$G$75:$G$96,MATCH(E63,'Rates &amp; Settings'!$B$75:$B$96,0))),INDEX('Rates &amp; Settings'!$E$75:$E$96,MATCH(E63,'Rates &amp; Settings'!$B$75:$B$96,0)))),0))</f>
        <v/>
      </c>
      <c r="AL63" s="22" t="str">
        <f aca="false">IF(B63="","",Q63+AF63+AG63+AH63+AI63+AJ63+AK63)</f>
        <v/>
      </c>
      <c r="AM63" s="22" t="str">
        <f aca="false">IF(B63="","",MAX(0,P63*12-'Rates &amp; Settings'!$C$18))</f>
        <v/>
      </c>
      <c r="AN63" s="22" t="str">
        <f aca="false">IF(B63="","",IF(AM63&lt;='Rates &amp; Settings'!$C$19,0,MIN(SUMPRODUCT(--(AM63&gt;'Rates &amp; Settings'!$B$24:$B$30),AM63-'Rates &amp; Settings'!$B$24:$B$30,'Rates &amp; Settings'!$D$24:$D$30),AM63-'Rates &amp; Settings'!$C$19))*(1+'Rates &amp; Settings'!$C$20))</f>
        <v/>
      </c>
    </row>
    <row r="64" customFormat="false" ht="15" hidden="false" customHeight="false" outlineLevel="0" collapsed="false">
      <c r="B64" s="5"/>
      <c r="C64" s="5"/>
      <c r="D64" s="5"/>
      <c r="E64" s="5"/>
      <c r="F64" s="5"/>
      <c r="G64" s="5"/>
      <c r="H64" s="5"/>
      <c r="I64" s="20"/>
      <c r="J64" s="21"/>
      <c r="K64" s="21"/>
      <c r="L64" s="21"/>
      <c r="M64" s="21"/>
      <c r="N64" s="21"/>
      <c r="O64" s="21"/>
      <c r="P64" s="22" t="str">
        <f aca="false">IF(B64="","",SUM(J64:O64))</f>
        <v/>
      </c>
      <c r="Q64" s="22" t="str">
        <f aca="false">IF(B64="","",ROUND(P64*N(I64)/'Rates &amp; Settings'!$C$7,0))</f>
        <v/>
      </c>
      <c r="R64" s="22" t="str">
        <f aca="false">IF(B64="","",ROUND((N(J64)+N(K64))*N(I64)/'Rates &amp; Settings'!$C$7,0))</f>
        <v/>
      </c>
      <c r="S64" s="22" t="str">
        <f aca="false">IF(B64="","",IF('Rates &amp; Settings'!$C$14="Yes",MAX(R64,ROUND(Q64*0.5,0)),R64))</f>
        <v/>
      </c>
      <c r="T64" s="22" t="str">
        <f aca="false">IF(B64="","",IF(F64="Yes",IF(G64="Yes",MIN(S64,'Rates &amp; Settings'!$C$8),S64),0))</f>
        <v/>
      </c>
      <c r="U64" s="22" t="str">
        <f aca="false">IF(B64="","",ROUND(T64*'Rates &amp; Settings'!$C$9,0))</f>
        <v/>
      </c>
      <c r="V64" s="7" t="str">
        <f aca="false">IF(B64="","",IF(P64&lt;='Rates &amp; Settings'!$C$17,"Yes","No"))</f>
        <v/>
      </c>
      <c r="W64" s="22" t="str">
        <f aca="false">IF(B64="","",IF(V64="Yes",ROUNDUP(Q64*'Rates &amp; Settings'!$C$15,0),0))</f>
        <v/>
      </c>
      <c r="X64" s="22" t="str">
        <f aca="false">IF(B64="","",IF(Y64&lt;&gt;"",N(Y64),IF(MONTH('Rates &amp; Settings'!$C$6)=2,SUMIFS('Rates &amp; Settings'!$F$35:$F$70,'Rates &amp; Settings'!$B$35:$B$70,E64,'Rates &amp; Settings'!$C$35:$C$70,"&lt;="&amp;Q64,'Rates &amp; Settings'!$D$35:$D$70,"&gt;="&amp;Q64),SUMIFS('Rates &amp; Settings'!$E$35:$E$70,'Rates &amp; Settings'!$B$35:$B$70,E64,'Rates &amp; Settings'!$C$35:$C$70,"&lt;="&amp;Q64,'Rates &amp; Settings'!$D$35:$D$70,"&gt;="&amp;Q64))))</f>
        <v/>
      </c>
      <c r="Y64" s="21"/>
      <c r="Z64" s="22" t="str">
        <f aca="false">IF(B64="","",IFERROR(IF(OR(INDEX('Rates &amp; Settings'!$H$75:$H$96,MATCH(E64,'Rates &amp; Settings'!$B$75:$B$96,0))="All",ISNUMBER(SEARCH(","&amp;MONTH('Rates &amp; Settings'!$C$6)&amp;",",","&amp;INDEX('Rates &amp; Settings'!$H$75:$H$96,MATCH(E64,'Rates &amp; Settings'!$B$75:$B$96,0))&amp;","))),IF(INDEX('Rates &amp; Settings'!$C$75:$C$96,MATCH(E64,'Rates &amp; Settings'!$B$75:$B$96,0))="Percent",MIN(ROUND(Q64*INDEX('Rates &amp; Settings'!$D$75:$D$96,MATCH(E64,'Rates &amp; Settings'!$B$75:$B$96,0)),0),INDEX('Rates &amp; Settings'!$F$75:$F$96,MATCH(E64,'Rates &amp; Settings'!$B$75:$B$96,0))),INDEX('Rates &amp; Settings'!$D$75:$D$96,MATCH(E64,'Rates &amp; Settings'!$B$75:$B$96,0))),0),0))</f>
        <v/>
      </c>
      <c r="AA64" s="22" t="str">
        <f aca="false">IF(B64="","",ROUND(AN64/12,0))</f>
        <v/>
      </c>
      <c r="AB64" s="21"/>
      <c r="AC64" s="21"/>
      <c r="AD64" s="22" t="str">
        <f aca="false">IF(B64="","",U64+W64+X64+Z64+IF(AB64&lt;&gt;"",N(AB64),AA64)+N(AC64))</f>
        <v/>
      </c>
      <c r="AE64" s="23" t="str">
        <f aca="false">IF(B64="","",Q64-AD64)</f>
        <v/>
      </c>
      <c r="AF64" s="22" t="str">
        <f aca="false">IF(B64="","",ROUND(T64*'Rates &amp; Settings'!$C$10,0)-AG64)</f>
        <v/>
      </c>
      <c r="AG64" s="22" t="str">
        <f aca="false">IF(B64="","",IF(H64="Yes",ROUND(MIN(T64,'Rates &amp; Settings'!$C$8)*'Rates &amp; Settings'!$C$11,0),0))</f>
        <v/>
      </c>
      <c r="AH64" s="22" t="str">
        <f aca="false">IF(B64="","",ROUND(MIN(T64,'Rates &amp; Settings'!$C$8)*'Rates &amp; Settings'!$C$12,0))</f>
        <v/>
      </c>
      <c r="AI64" s="22" t="str">
        <f aca="false">IF(B64="","",ROUND(T64*'Rates &amp; Settings'!$C$13,0))</f>
        <v/>
      </c>
      <c r="AJ64" s="22" t="str">
        <f aca="false">IF(B64="","",IF(V64="Yes",ROUNDUP(Q64*'Rates &amp; Settings'!$C$16,0),0))</f>
        <v/>
      </c>
      <c r="AK64" s="22" t="str">
        <f aca="false">IF(B64="","",IFERROR(IF(Z64=0,0,IF(INDEX('Rates &amp; Settings'!$C$75:$C$96,MATCH(E64,'Rates &amp; Settings'!$B$75:$B$96,0))="Percent",MIN(Z64*INDEX('Rates &amp; Settings'!$E$75:$E$96,MATCH(E64,'Rates &amp; Settings'!$B$75:$B$96,0)),INDEX('Rates &amp; Settings'!$G$75:$G$96,MATCH(E64,'Rates &amp; Settings'!$B$75:$B$96,0))),INDEX('Rates &amp; Settings'!$E$75:$E$96,MATCH(E64,'Rates &amp; Settings'!$B$75:$B$96,0)))),0))</f>
        <v/>
      </c>
      <c r="AL64" s="22" t="str">
        <f aca="false">IF(B64="","",Q64+AF64+AG64+AH64+AI64+AJ64+AK64)</f>
        <v/>
      </c>
      <c r="AM64" s="22" t="str">
        <f aca="false">IF(B64="","",MAX(0,P64*12-'Rates &amp; Settings'!$C$18))</f>
        <v/>
      </c>
      <c r="AN64" s="22" t="str">
        <f aca="false">IF(B64="","",IF(AM64&lt;='Rates &amp; Settings'!$C$19,0,MIN(SUMPRODUCT(--(AM64&gt;'Rates &amp; Settings'!$B$24:$B$30),AM64-'Rates &amp; Settings'!$B$24:$B$30,'Rates &amp; Settings'!$D$24:$D$30),AM64-'Rates &amp; Settings'!$C$19))*(1+'Rates &amp; Settings'!$C$20))</f>
        <v/>
      </c>
    </row>
    <row r="65" customFormat="false" ht="15" hidden="false" customHeight="false" outlineLevel="0" collapsed="false">
      <c r="B65" s="5"/>
      <c r="C65" s="5"/>
      <c r="D65" s="5"/>
      <c r="E65" s="5"/>
      <c r="F65" s="5"/>
      <c r="G65" s="5"/>
      <c r="H65" s="5"/>
      <c r="I65" s="20"/>
      <c r="J65" s="21"/>
      <c r="K65" s="21"/>
      <c r="L65" s="21"/>
      <c r="M65" s="21"/>
      <c r="N65" s="21"/>
      <c r="O65" s="21"/>
      <c r="P65" s="22" t="str">
        <f aca="false">IF(B65="","",SUM(J65:O65))</f>
        <v/>
      </c>
      <c r="Q65" s="22" t="str">
        <f aca="false">IF(B65="","",ROUND(P65*N(I65)/'Rates &amp; Settings'!$C$7,0))</f>
        <v/>
      </c>
      <c r="R65" s="22" t="str">
        <f aca="false">IF(B65="","",ROUND((N(J65)+N(K65))*N(I65)/'Rates &amp; Settings'!$C$7,0))</f>
        <v/>
      </c>
      <c r="S65" s="22" t="str">
        <f aca="false">IF(B65="","",IF('Rates &amp; Settings'!$C$14="Yes",MAX(R65,ROUND(Q65*0.5,0)),R65))</f>
        <v/>
      </c>
      <c r="T65" s="22" t="str">
        <f aca="false">IF(B65="","",IF(F65="Yes",IF(G65="Yes",MIN(S65,'Rates &amp; Settings'!$C$8),S65),0))</f>
        <v/>
      </c>
      <c r="U65" s="22" t="str">
        <f aca="false">IF(B65="","",ROUND(T65*'Rates &amp; Settings'!$C$9,0))</f>
        <v/>
      </c>
      <c r="V65" s="7" t="str">
        <f aca="false">IF(B65="","",IF(P65&lt;='Rates &amp; Settings'!$C$17,"Yes","No"))</f>
        <v/>
      </c>
      <c r="W65" s="22" t="str">
        <f aca="false">IF(B65="","",IF(V65="Yes",ROUNDUP(Q65*'Rates &amp; Settings'!$C$15,0),0))</f>
        <v/>
      </c>
      <c r="X65" s="22" t="str">
        <f aca="false">IF(B65="","",IF(Y65&lt;&gt;"",N(Y65),IF(MONTH('Rates &amp; Settings'!$C$6)=2,SUMIFS('Rates &amp; Settings'!$F$35:$F$70,'Rates &amp; Settings'!$B$35:$B$70,E65,'Rates &amp; Settings'!$C$35:$C$70,"&lt;="&amp;Q65,'Rates &amp; Settings'!$D$35:$D$70,"&gt;="&amp;Q65),SUMIFS('Rates &amp; Settings'!$E$35:$E$70,'Rates &amp; Settings'!$B$35:$B$70,E65,'Rates &amp; Settings'!$C$35:$C$70,"&lt;="&amp;Q65,'Rates &amp; Settings'!$D$35:$D$70,"&gt;="&amp;Q65))))</f>
        <v/>
      </c>
      <c r="Y65" s="21"/>
      <c r="Z65" s="22" t="str">
        <f aca="false">IF(B65="","",IFERROR(IF(OR(INDEX('Rates &amp; Settings'!$H$75:$H$96,MATCH(E65,'Rates &amp; Settings'!$B$75:$B$96,0))="All",ISNUMBER(SEARCH(","&amp;MONTH('Rates &amp; Settings'!$C$6)&amp;",",","&amp;INDEX('Rates &amp; Settings'!$H$75:$H$96,MATCH(E65,'Rates &amp; Settings'!$B$75:$B$96,0))&amp;","))),IF(INDEX('Rates &amp; Settings'!$C$75:$C$96,MATCH(E65,'Rates &amp; Settings'!$B$75:$B$96,0))="Percent",MIN(ROUND(Q65*INDEX('Rates &amp; Settings'!$D$75:$D$96,MATCH(E65,'Rates &amp; Settings'!$B$75:$B$96,0)),0),INDEX('Rates &amp; Settings'!$F$75:$F$96,MATCH(E65,'Rates &amp; Settings'!$B$75:$B$96,0))),INDEX('Rates &amp; Settings'!$D$75:$D$96,MATCH(E65,'Rates &amp; Settings'!$B$75:$B$96,0))),0),0))</f>
        <v/>
      </c>
      <c r="AA65" s="22" t="str">
        <f aca="false">IF(B65="","",ROUND(AN65/12,0))</f>
        <v/>
      </c>
      <c r="AB65" s="21"/>
      <c r="AC65" s="21"/>
      <c r="AD65" s="22" t="str">
        <f aca="false">IF(B65="","",U65+W65+X65+Z65+IF(AB65&lt;&gt;"",N(AB65),AA65)+N(AC65))</f>
        <v/>
      </c>
      <c r="AE65" s="23" t="str">
        <f aca="false">IF(B65="","",Q65-AD65)</f>
        <v/>
      </c>
      <c r="AF65" s="22" t="str">
        <f aca="false">IF(B65="","",ROUND(T65*'Rates &amp; Settings'!$C$10,0)-AG65)</f>
        <v/>
      </c>
      <c r="AG65" s="22" t="str">
        <f aca="false">IF(B65="","",IF(H65="Yes",ROUND(MIN(T65,'Rates &amp; Settings'!$C$8)*'Rates &amp; Settings'!$C$11,0),0))</f>
        <v/>
      </c>
      <c r="AH65" s="22" t="str">
        <f aca="false">IF(B65="","",ROUND(MIN(T65,'Rates &amp; Settings'!$C$8)*'Rates &amp; Settings'!$C$12,0))</f>
        <v/>
      </c>
      <c r="AI65" s="22" t="str">
        <f aca="false">IF(B65="","",ROUND(T65*'Rates &amp; Settings'!$C$13,0))</f>
        <v/>
      </c>
      <c r="AJ65" s="22" t="str">
        <f aca="false">IF(B65="","",IF(V65="Yes",ROUNDUP(Q65*'Rates &amp; Settings'!$C$16,0),0))</f>
        <v/>
      </c>
      <c r="AK65" s="22" t="str">
        <f aca="false">IF(B65="","",IFERROR(IF(Z65=0,0,IF(INDEX('Rates &amp; Settings'!$C$75:$C$96,MATCH(E65,'Rates &amp; Settings'!$B$75:$B$96,0))="Percent",MIN(Z65*INDEX('Rates &amp; Settings'!$E$75:$E$96,MATCH(E65,'Rates &amp; Settings'!$B$75:$B$96,0)),INDEX('Rates &amp; Settings'!$G$75:$G$96,MATCH(E65,'Rates &amp; Settings'!$B$75:$B$96,0))),INDEX('Rates &amp; Settings'!$E$75:$E$96,MATCH(E65,'Rates &amp; Settings'!$B$75:$B$96,0)))),0))</f>
        <v/>
      </c>
      <c r="AL65" s="22" t="str">
        <f aca="false">IF(B65="","",Q65+AF65+AG65+AH65+AI65+AJ65+AK65)</f>
        <v/>
      </c>
      <c r="AM65" s="22" t="str">
        <f aca="false">IF(B65="","",MAX(0,P65*12-'Rates &amp; Settings'!$C$18))</f>
        <v/>
      </c>
      <c r="AN65" s="22" t="str">
        <f aca="false">IF(B65="","",IF(AM65&lt;='Rates &amp; Settings'!$C$19,0,MIN(SUMPRODUCT(--(AM65&gt;'Rates &amp; Settings'!$B$24:$B$30),AM65-'Rates &amp; Settings'!$B$24:$B$30,'Rates &amp; Settings'!$D$24:$D$30),AM65-'Rates &amp; Settings'!$C$19))*(1+'Rates &amp; Settings'!$C$20))</f>
        <v/>
      </c>
    </row>
    <row r="66" customFormat="false" ht="15" hidden="false" customHeight="false" outlineLevel="0" collapsed="false">
      <c r="B66" s="5"/>
      <c r="C66" s="5"/>
      <c r="D66" s="5"/>
      <c r="E66" s="5"/>
      <c r="F66" s="5"/>
      <c r="G66" s="5"/>
      <c r="H66" s="5"/>
      <c r="I66" s="20"/>
      <c r="J66" s="21"/>
      <c r="K66" s="21"/>
      <c r="L66" s="21"/>
      <c r="M66" s="21"/>
      <c r="N66" s="21"/>
      <c r="O66" s="21"/>
      <c r="P66" s="22" t="str">
        <f aca="false">IF(B66="","",SUM(J66:O66))</f>
        <v/>
      </c>
      <c r="Q66" s="22" t="str">
        <f aca="false">IF(B66="","",ROUND(P66*N(I66)/'Rates &amp; Settings'!$C$7,0))</f>
        <v/>
      </c>
      <c r="R66" s="22" t="str">
        <f aca="false">IF(B66="","",ROUND((N(J66)+N(K66))*N(I66)/'Rates &amp; Settings'!$C$7,0))</f>
        <v/>
      </c>
      <c r="S66" s="22" t="str">
        <f aca="false">IF(B66="","",IF('Rates &amp; Settings'!$C$14="Yes",MAX(R66,ROUND(Q66*0.5,0)),R66))</f>
        <v/>
      </c>
      <c r="T66" s="22" t="str">
        <f aca="false">IF(B66="","",IF(F66="Yes",IF(G66="Yes",MIN(S66,'Rates &amp; Settings'!$C$8),S66),0))</f>
        <v/>
      </c>
      <c r="U66" s="22" t="str">
        <f aca="false">IF(B66="","",ROUND(T66*'Rates &amp; Settings'!$C$9,0))</f>
        <v/>
      </c>
      <c r="V66" s="7" t="str">
        <f aca="false">IF(B66="","",IF(P66&lt;='Rates &amp; Settings'!$C$17,"Yes","No"))</f>
        <v/>
      </c>
      <c r="W66" s="22" t="str">
        <f aca="false">IF(B66="","",IF(V66="Yes",ROUNDUP(Q66*'Rates &amp; Settings'!$C$15,0),0))</f>
        <v/>
      </c>
      <c r="X66" s="22" t="str">
        <f aca="false">IF(B66="","",IF(Y66&lt;&gt;"",N(Y66),IF(MONTH('Rates &amp; Settings'!$C$6)=2,SUMIFS('Rates &amp; Settings'!$F$35:$F$70,'Rates &amp; Settings'!$B$35:$B$70,E66,'Rates &amp; Settings'!$C$35:$C$70,"&lt;="&amp;Q66,'Rates &amp; Settings'!$D$35:$D$70,"&gt;="&amp;Q66),SUMIFS('Rates &amp; Settings'!$E$35:$E$70,'Rates &amp; Settings'!$B$35:$B$70,E66,'Rates &amp; Settings'!$C$35:$C$70,"&lt;="&amp;Q66,'Rates &amp; Settings'!$D$35:$D$70,"&gt;="&amp;Q66))))</f>
        <v/>
      </c>
      <c r="Y66" s="21"/>
      <c r="Z66" s="22" t="str">
        <f aca="false">IF(B66="","",IFERROR(IF(OR(INDEX('Rates &amp; Settings'!$H$75:$H$96,MATCH(E66,'Rates &amp; Settings'!$B$75:$B$96,0))="All",ISNUMBER(SEARCH(","&amp;MONTH('Rates &amp; Settings'!$C$6)&amp;",",","&amp;INDEX('Rates &amp; Settings'!$H$75:$H$96,MATCH(E66,'Rates &amp; Settings'!$B$75:$B$96,0))&amp;","))),IF(INDEX('Rates &amp; Settings'!$C$75:$C$96,MATCH(E66,'Rates &amp; Settings'!$B$75:$B$96,0))="Percent",MIN(ROUND(Q66*INDEX('Rates &amp; Settings'!$D$75:$D$96,MATCH(E66,'Rates &amp; Settings'!$B$75:$B$96,0)),0),INDEX('Rates &amp; Settings'!$F$75:$F$96,MATCH(E66,'Rates &amp; Settings'!$B$75:$B$96,0))),INDEX('Rates &amp; Settings'!$D$75:$D$96,MATCH(E66,'Rates &amp; Settings'!$B$75:$B$96,0))),0),0))</f>
        <v/>
      </c>
      <c r="AA66" s="22" t="str">
        <f aca="false">IF(B66="","",ROUND(AN66/12,0))</f>
        <v/>
      </c>
      <c r="AB66" s="21"/>
      <c r="AC66" s="21"/>
      <c r="AD66" s="22" t="str">
        <f aca="false">IF(B66="","",U66+W66+X66+Z66+IF(AB66&lt;&gt;"",N(AB66),AA66)+N(AC66))</f>
        <v/>
      </c>
      <c r="AE66" s="23" t="str">
        <f aca="false">IF(B66="","",Q66-AD66)</f>
        <v/>
      </c>
      <c r="AF66" s="22" t="str">
        <f aca="false">IF(B66="","",ROUND(T66*'Rates &amp; Settings'!$C$10,0)-AG66)</f>
        <v/>
      </c>
      <c r="AG66" s="22" t="str">
        <f aca="false">IF(B66="","",IF(H66="Yes",ROUND(MIN(T66,'Rates &amp; Settings'!$C$8)*'Rates &amp; Settings'!$C$11,0),0))</f>
        <v/>
      </c>
      <c r="AH66" s="22" t="str">
        <f aca="false">IF(B66="","",ROUND(MIN(T66,'Rates &amp; Settings'!$C$8)*'Rates &amp; Settings'!$C$12,0))</f>
        <v/>
      </c>
      <c r="AI66" s="22" t="str">
        <f aca="false">IF(B66="","",ROUND(T66*'Rates &amp; Settings'!$C$13,0))</f>
        <v/>
      </c>
      <c r="AJ66" s="22" t="str">
        <f aca="false">IF(B66="","",IF(V66="Yes",ROUNDUP(Q66*'Rates &amp; Settings'!$C$16,0),0))</f>
        <v/>
      </c>
      <c r="AK66" s="22" t="str">
        <f aca="false">IF(B66="","",IFERROR(IF(Z66=0,0,IF(INDEX('Rates &amp; Settings'!$C$75:$C$96,MATCH(E66,'Rates &amp; Settings'!$B$75:$B$96,0))="Percent",MIN(Z66*INDEX('Rates &amp; Settings'!$E$75:$E$96,MATCH(E66,'Rates &amp; Settings'!$B$75:$B$96,0)),INDEX('Rates &amp; Settings'!$G$75:$G$96,MATCH(E66,'Rates &amp; Settings'!$B$75:$B$96,0))),INDEX('Rates &amp; Settings'!$E$75:$E$96,MATCH(E66,'Rates &amp; Settings'!$B$75:$B$96,0)))),0))</f>
        <v/>
      </c>
      <c r="AL66" s="22" t="str">
        <f aca="false">IF(B66="","",Q66+AF66+AG66+AH66+AI66+AJ66+AK66)</f>
        <v/>
      </c>
      <c r="AM66" s="22" t="str">
        <f aca="false">IF(B66="","",MAX(0,P66*12-'Rates &amp; Settings'!$C$18))</f>
        <v/>
      </c>
      <c r="AN66" s="22" t="str">
        <f aca="false">IF(B66="","",IF(AM66&lt;='Rates &amp; Settings'!$C$19,0,MIN(SUMPRODUCT(--(AM66&gt;'Rates &amp; Settings'!$B$24:$B$30),AM66-'Rates &amp; Settings'!$B$24:$B$30,'Rates &amp; Settings'!$D$24:$D$30),AM66-'Rates &amp; Settings'!$C$19))*(1+'Rates &amp; Settings'!$C$20))</f>
        <v/>
      </c>
    </row>
    <row r="67" customFormat="false" ht="15" hidden="false" customHeight="false" outlineLevel="0" collapsed="false">
      <c r="B67" s="5"/>
      <c r="C67" s="5"/>
      <c r="D67" s="5"/>
      <c r="E67" s="5"/>
      <c r="F67" s="5"/>
      <c r="G67" s="5"/>
      <c r="H67" s="5"/>
      <c r="I67" s="20"/>
      <c r="J67" s="21"/>
      <c r="K67" s="21"/>
      <c r="L67" s="21"/>
      <c r="M67" s="21"/>
      <c r="N67" s="21"/>
      <c r="O67" s="21"/>
      <c r="P67" s="22" t="str">
        <f aca="false">IF(B67="","",SUM(J67:O67))</f>
        <v/>
      </c>
      <c r="Q67" s="22" t="str">
        <f aca="false">IF(B67="","",ROUND(P67*N(I67)/'Rates &amp; Settings'!$C$7,0))</f>
        <v/>
      </c>
      <c r="R67" s="22" t="str">
        <f aca="false">IF(B67="","",ROUND((N(J67)+N(K67))*N(I67)/'Rates &amp; Settings'!$C$7,0))</f>
        <v/>
      </c>
      <c r="S67" s="22" t="str">
        <f aca="false">IF(B67="","",IF('Rates &amp; Settings'!$C$14="Yes",MAX(R67,ROUND(Q67*0.5,0)),R67))</f>
        <v/>
      </c>
      <c r="T67" s="22" t="str">
        <f aca="false">IF(B67="","",IF(F67="Yes",IF(G67="Yes",MIN(S67,'Rates &amp; Settings'!$C$8),S67),0))</f>
        <v/>
      </c>
      <c r="U67" s="22" t="str">
        <f aca="false">IF(B67="","",ROUND(T67*'Rates &amp; Settings'!$C$9,0))</f>
        <v/>
      </c>
      <c r="V67" s="7" t="str">
        <f aca="false">IF(B67="","",IF(P67&lt;='Rates &amp; Settings'!$C$17,"Yes","No"))</f>
        <v/>
      </c>
      <c r="W67" s="22" t="str">
        <f aca="false">IF(B67="","",IF(V67="Yes",ROUNDUP(Q67*'Rates &amp; Settings'!$C$15,0),0))</f>
        <v/>
      </c>
      <c r="X67" s="22" t="str">
        <f aca="false">IF(B67="","",IF(Y67&lt;&gt;"",N(Y67),IF(MONTH('Rates &amp; Settings'!$C$6)=2,SUMIFS('Rates &amp; Settings'!$F$35:$F$70,'Rates &amp; Settings'!$B$35:$B$70,E67,'Rates &amp; Settings'!$C$35:$C$70,"&lt;="&amp;Q67,'Rates &amp; Settings'!$D$35:$D$70,"&gt;="&amp;Q67),SUMIFS('Rates &amp; Settings'!$E$35:$E$70,'Rates &amp; Settings'!$B$35:$B$70,E67,'Rates &amp; Settings'!$C$35:$C$70,"&lt;="&amp;Q67,'Rates &amp; Settings'!$D$35:$D$70,"&gt;="&amp;Q67))))</f>
        <v/>
      </c>
      <c r="Y67" s="21"/>
      <c r="Z67" s="22" t="str">
        <f aca="false">IF(B67="","",IFERROR(IF(OR(INDEX('Rates &amp; Settings'!$H$75:$H$96,MATCH(E67,'Rates &amp; Settings'!$B$75:$B$96,0))="All",ISNUMBER(SEARCH(","&amp;MONTH('Rates &amp; Settings'!$C$6)&amp;",",","&amp;INDEX('Rates &amp; Settings'!$H$75:$H$96,MATCH(E67,'Rates &amp; Settings'!$B$75:$B$96,0))&amp;","))),IF(INDEX('Rates &amp; Settings'!$C$75:$C$96,MATCH(E67,'Rates &amp; Settings'!$B$75:$B$96,0))="Percent",MIN(ROUND(Q67*INDEX('Rates &amp; Settings'!$D$75:$D$96,MATCH(E67,'Rates &amp; Settings'!$B$75:$B$96,0)),0),INDEX('Rates &amp; Settings'!$F$75:$F$96,MATCH(E67,'Rates &amp; Settings'!$B$75:$B$96,0))),INDEX('Rates &amp; Settings'!$D$75:$D$96,MATCH(E67,'Rates &amp; Settings'!$B$75:$B$96,0))),0),0))</f>
        <v/>
      </c>
      <c r="AA67" s="22" t="str">
        <f aca="false">IF(B67="","",ROUND(AN67/12,0))</f>
        <v/>
      </c>
      <c r="AB67" s="21"/>
      <c r="AC67" s="21"/>
      <c r="AD67" s="22" t="str">
        <f aca="false">IF(B67="","",U67+W67+X67+Z67+IF(AB67&lt;&gt;"",N(AB67),AA67)+N(AC67))</f>
        <v/>
      </c>
      <c r="AE67" s="23" t="str">
        <f aca="false">IF(B67="","",Q67-AD67)</f>
        <v/>
      </c>
      <c r="AF67" s="22" t="str">
        <f aca="false">IF(B67="","",ROUND(T67*'Rates &amp; Settings'!$C$10,0)-AG67)</f>
        <v/>
      </c>
      <c r="AG67" s="22" t="str">
        <f aca="false">IF(B67="","",IF(H67="Yes",ROUND(MIN(T67,'Rates &amp; Settings'!$C$8)*'Rates &amp; Settings'!$C$11,0),0))</f>
        <v/>
      </c>
      <c r="AH67" s="22" t="str">
        <f aca="false">IF(B67="","",ROUND(MIN(T67,'Rates &amp; Settings'!$C$8)*'Rates &amp; Settings'!$C$12,0))</f>
        <v/>
      </c>
      <c r="AI67" s="22" t="str">
        <f aca="false">IF(B67="","",ROUND(T67*'Rates &amp; Settings'!$C$13,0))</f>
        <v/>
      </c>
      <c r="AJ67" s="22" t="str">
        <f aca="false">IF(B67="","",IF(V67="Yes",ROUNDUP(Q67*'Rates &amp; Settings'!$C$16,0),0))</f>
        <v/>
      </c>
      <c r="AK67" s="22" t="str">
        <f aca="false">IF(B67="","",IFERROR(IF(Z67=0,0,IF(INDEX('Rates &amp; Settings'!$C$75:$C$96,MATCH(E67,'Rates &amp; Settings'!$B$75:$B$96,0))="Percent",MIN(Z67*INDEX('Rates &amp; Settings'!$E$75:$E$96,MATCH(E67,'Rates &amp; Settings'!$B$75:$B$96,0)),INDEX('Rates &amp; Settings'!$G$75:$G$96,MATCH(E67,'Rates &amp; Settings'!$B$75:$B$96,0))),INDEX('Rates &amp; Settings'!$E$75:$E$96,MATCH(E67,'Rates &amp; Settings'!$B$75:$B$96,0)))),0))</f>
        <v/>
      </c>
      <c r="AL67" s="22" t="str">
        <f aca="false">IF(B67="","",Q67+AF67+AG67+AH67+AI67+AJ67+AK67)</f>
        <v/>
      </c>
      <c r="AM67" s="22" t="str">
        <f aca="false">IF(B67="","",MAX(0,P67*12-'Rates &amp; Settings'!$C$18))</f>
        <v/>
      </c>
      <c r="AN67" s="22" t="str">
        <f aca="false">IF(B67="","",IF(AM67&lt;='Rates &amp; Settings'!$C$19,0,MIN(SUMPRODUCT(--(AM67&gt;'Rates &amp; Settings'!$B$24:$B$30),AM67-'Rates &amp; Settings'!$B$24:$B$30,'Rates &amp; Settings'!$D$24:$D$30),AM67-'Rates &amp; Settings'!$C$19))*(1+'Rates &amp; Settings'!$C$20))</f>
        <v/>
      </c>
    </row>
    <row r="68" customFormat="false" ht="15" hidden="false" customHeight="false" outlineLevel="0" collapsed="false">
      <c r="B68" s="5"/>
      <c r="C68" s="5"/>
      <c r="D68" s="5"/>
      <c r="E68" s="5"/>
      <c r="F68" s="5"/>
      <c r="G68" s="5"/>
      <c r="H68" s="5"/>
      <c r="I68" s="20"/>
      <c r="J68" s="21"/>
      <c r="K68" s="21"/>
      <c r="L68" s="21"/>
      <c r="M68" s="21"/>
      <c r="N68" s="21"/>
      <c r="O68" s="21"/>
      <c r="P68" s="22" t="str">
        <f aca="false">IF(B68="","",SUM(J68:O68))</f>
        <v/>
      </c>
      <c r="Q68" s="22" t="str">
        <f aca="false">IF(B68="","",ROUND(P68*N(I68)/'Rates &amp; Settings'!$C$7,0))</f>
        <v/>
      </c>
      <c r="R68" s="22" t="str">
        <f aca="false">IF(B68="","",ROUND((N(J68)+N(K68))*N(I68)/'Rates &amp; Settings'!$C$7,0))</f>
        <v/>
      </c>
      <c r="S68" s="22" t="str">
        <f aca="false">IF(B68="","",IF('Rates &amp; Settings'!$C$14="Yes",MAX(R68,ROUND(Q68*0.5,0)),R68))</f>
        <v/>
      </c>
      <c r="T68" s="22" t="str">
        <f aca="false">IF(B68="","",IF(F68="Yes",IF(G68="Yes",MIN(S68,'Rates &amp; Settings'!$C$8),S68),0))</f>
        <v/>
      </c>
      <c r="U68" s="22" t="str">
        <f aca="false">IF(B68="","",ROUND(T68*'Rates &amp; Settings'!$C$9,0))</f>
        <v/>
      </c>
      <c r="V68" s="7" t="str">
        <f aca="false">IF(B68="","",IF(P68&lt;='Rates &amp; Settings'!$C$17,"Yes","No"))</f>
        <v/>
      </c>
      <c r="W68" s="22" t="str">
        <f aca="false">IF(B68="","",IF(V68="Yes",ROUNDUP(Q68*'Rates &amp; Settings'!$C$15,0),0))</f>
        <v/>
      </c>
      <c r="X68" s="22" t="str">
        <f aca="false">IF(B68="","",IF(Y68&lt;&gt;"",N(Y68),IF(MONTH('Rates &amp; Settings'!$C$6)=2,SUMIFS('Rates &amp; Settings'!$F$35:$F$70,'Rates &amp; Settings'!$B$35:$B$70,E68,'Rates &amp; Settings'!$C$35:$C$70,"&lt;="&amp;Q68,'Rates &amp; Settings'!$D$35:$D$70,"&gt;="&amp;Q68),SUMIFS('Rates &amp; Settings'!$E$35:$E$70,'Rates &amp; Settings'!$B$35:$B$70,E68,'Rates &amp; Settings'!$C$35:$C$70,"&lt;="&amp;Q68,'Rates &amp; Settings'!$D$35:$D$70,"&gt;="&amp;Q68))))</f>
        <v/>
      </c>
      <c r="Y68" s="21"/>
      <c r="Z68" s="22" t="str">
        <f aca="false">IF(B68="","",IFERROR(IF(OR(INDEX('Rates &amp; Settings'!$H$75:$H$96,MATCH(E68,'Rates &amp; Settings'!$B$75:$B$96,0))="All",ISNUMBER(SEARCH(","&amp;MONTH('Rates &amp; Settings'!$C$6)&amp;",",","&amp;INDEX('Rates &amp; Settings'!$H$75:$H$96,MATCH(E68,'Rates &amp; Settings'!$B$75:$B$96,0))&amp;","))),IF(INDEX('Rates &amp; Settings'!$C$75:$C$96,MATCH(E68,'Rates &amp; Settings'!$B$75:$B$96,0))="Percent",MIN(ROUND(Q68*INDEX('Rates &amp; Settings'!$D$75:$D$96,MATCH(E68,'Rates &amp; Settings'!$B$75:$B$96,0)),0),INDEX('Rates &amp; Settings'!$F$75:$F$96,MATCH(E68,'Rates &amp; Settings'!$B$75:$B$96,0))),INDEX('Rates &amp; Settings'!$D$75:$D$96,MATCH(E68,'Rates &amp; Settings'!$B$75:$B$96,0))),0),0))</f>
        <v/>
      </c>
      <c r="AA68" s="22" t="str">
        <f aca="false">IF(B68="","",ROUND(AN68/12,0))</f>
        <v/>
      </c>
      <c r="AB68" s="21"/>
      <c r="AC68" s="21"/>
      <c r="AD68" s="22" t="str">
        <f aca="false">IF(B68="","",U68+W68+X68+Z68+IF(AB68&lt;&gt;"",N(AB68),AA68)+N(AC68))</f>
        <v/>
      </c>
      <c r="AE68" s="23" t="str">
        <f aca="false">IF(B68="","",Q68-AD68)</f>
        <v/>
      </c>
      <c r="AF68" s="22" t="str">
        <f aca="false">IF(B68="","",ROUND(T68*'Rates &amp; Settings'!$C$10,0)-AG68)</f>
        <v/>
      </c>
      <c r="AG68" s="22" t="str">
        <f aca="false">IF(B68="","",IF(H68="Yes",ROUND(MIN(T68,'Rates &amp; Settings'!$C$8)*'Rates &amp; Settings'!$C$11,0),0))</f>
        <v/>
      </c>
      <c r="AH68" s="22" t="str">
        <f aca="false">IF(B68="","",ROUND(MIN(T68,'Rates &amp; Settings'!$C$8)*'Rates &amp; Settings'!$C$12,0))</f>
        <v/>
      </c>
      <c r="AI68" s="22" t="str">
        <f aca="false">IF(B68="","",ROUND(T68*'Rates &amp; Settings'!$C$13,0))</f>
        <v/>
      </c>
      <c r="AJ68" s="22" t="str">
        <f aca="false">IF(B68="","",IF(V68="Yes",ROUNDUP(Q68*'Rates &amp; Settings'!$C$16,0),0))</f>
        <v/>
      </c>
      <c r="AK68" s="22" t="str">
        <f aca="false">IF(B68="","",IFERROR(IF(Z68=0,0,IF(INDEX('Rates &amp; Settings'!$C$75:$C$96,MATCH(E68,'Rates &amp; Settings'!$B$75:$B$96,0))="Percent",MIN(Z68*INDEX('Rates &amp; Settings'!$E$75:$E$96,MATCH(E68,'Rates &amp; Settings'!$B$75:$B$96,0)),INDEX('Rates &amp; Settings'!$G$75:$G$96,MATCH(E68,'Rates &amp; Settings'!$B$75:$B$96,0))),INDEX('Rates &amp; Settings'!$E$75:$E$96,MATCH(E68,'Rates &amp; Settings'!$B$75:$B$96,0)))),0))</f>
        <v/>
      </c>
      <c r="AL68" s="22" t="str">
        <f aca="false">IF(B68="","",Q68+AF68+AG68+AH68+AI68+AJ68+AK68)</f>
        <v/>
      </c>
      <c r="AM68" s="22" t="str">
        <f aca="false">IF(B68="","",MAX(0,P68*12-'Rates &amp; Settings'!$C$18))</f>
        <v/>
      </c>
      <c r="AN68" s="22" t="str">
        <f aca="false">IF(B68="","",IF(AM68&lt;='Rates &amp; Settings'!$C$19,0,MIN(SUMPRODUCT(--(AM68&gt;'Rates &amp; Settings'!$B$24:$B$30),AM68-'Rates &amp; Settings'!$B$24:$B$30,'Rates &amp; Settings'!$D$24:$D$30),AM68-'Rates &amp; Settings'!$C$19))*(1+'Rates &amp; Settings'!$C$20))</f>
        <v/>
      </c>
    </row>
    <row r="69" customFormat="false" ht="15" hidden="false" customHeight="false" outlineLevel="0" collapsed="false">
      <c r="B69" s="5"/>
      <c r="C69" s="5"/>
      <c r="D69" s="5"/>
      <c r="E69" s="5"/>
      <c r="F69" s="5"/>
      <c r="G69" s="5"/>
      <c r="H69" s="5"/>
      <c r="I69" s="20"/>
      <c r="J69" s="21"/>
      <c r="K69" s="21"/>
      <c r="L69" s="21"/>
      <c r="M69" s="21"/>
      <c r="N69" s="21"/>
      <c r="O69" s="21"/>
      <c r="P69" s="22" t="str">
        <f aca="false">IF(B69="","",SUM(J69:O69))</f>
        <v/>
      </c>
      <c r="Q69" s="22" t="str">
        <f aca="false">IF(B69="","",ROUND(P69*N(I69)/'Rates &amp; Settings'!$C$7,0))</f>
        <v/>
      </c>
      <c r="R69" s="22" t="str">
        <f aca="false">IF(B69="","",ROUND((N(J69)+N(K69))*N(I69)/'Rates &amp; Settings'!$C$7,0))</f>
        <v/>
      </c>
      <c r="S69" s="22" t="str">
        <f aca="false">IF(B69="","",IF('Rates &amp; Settings'!$C$14="Yes",MAX(R69,ROUND(Q69*0.5,0)),R69))</f>
        <v/>
      </c>
      <c r="T69" s="22" t="str">
        <f aca="false">IF(B69="","",IF(F69="Yes",IF(G69="Yes",MIN(S69,'Rates &amp; Settings'!$C$8),S69),0))</f>
        <v/>
      </c>
      <c r="U69" s="22" t="str">
        <f aca="false">IF(B69="","",ROUND(T69*'Rates &amp; Settings'!$C$9,0))</f>
        <v/>
      </c>
      <c r="V69" s="7" t="str">
        <f aca="false">IF(B69="","",IF(P69&lt;='Rates &amp; Settings'!$C$17,"Yes","No"))</f>
        <v/>
      </c>
      <c r="W69" s="22" t="str">
        <f aca="false">IF(B69="","",IF(V69="Yes",ROUNDUP(Q69*'Rates &amp; Settings'!$C$15,0),0))</f>
        <v/>
      </c>
      <c r="X69" s="22" t="str">
        <f aca="false">IF(B69="","",IF(Y69&lt;&gt;"",N(Y69),IF(MONTH('Rates &amp; Settings'!$C$6)=2,SUMIFS('Rates &amp; Settings'!$F$35:$F$70,'Rates &amp; Settings'!$B$35:$B$70,E69,'Rates &amp; Settings'!$C$35:$C$70,"&lt;="&amp;Q69,'Rates &amp; Settings'!$D$35:$D$70,"&gt;="&amp;Q69),SUMIFS('Rates &amp; Settings'!$E$35:$E$70,'Rates &amp; Settings'!$B$35:$B$70,E69,'Rates &amp; Settings'!$C$35:$C$70,"&lt;="&amp;Q69,'Rates &amp; Settings'!$D$35:$D$70,"&gt;="&amp;Q69))))</f>
        <v/>
      </c>
      <c r="Y69" s="21"/>
      <c r="Z69" s="22" t="str">
        <f aca="false">IF(B69="","",IFERROR(IF(OR(INDEX('Rates &amp; Settings'!$H$75:$H$96,MATCH(E69,'Rates &amp; Settings'!$B$75:$B$96,0))="All",ISNUMBER(SEARCH(","&amp;MONTH('Rates &amp; Settings'!$C$6)&amp;",",","&amp;INDEX('Rates &amp; Settings'!$H$75:$H$96,MATCH(E69,'Rates &amp; Settings'!$B$75:$B$96,0))&amp;","))),IF(INDEX('Rates &amp; Settings'!$C$75:$C$96,MATCH(E69,'Rates &amp; Settings'!$B$75:$B$96,0))="Percent",MIN(ROUND(Q69*INDEX('Rates &amp; Settings'!$D$75:$D$96,MATCH(E69,'Rates &amp; Settings'!$B$75:$B$96,0)),0),INDEX('Rates &amp; Settings'!$F$75:$F$96,MATCH(E69,'Rates &amp; Settings'!$B$75:$B$96,0))),INDEX('Rates &amp; Settings'!$D$75:$D$96,MATCH(E69,'Rates &amp; Settings'!$B$75:$B$96,0))),0),0))</f>
        <v/>
      </c>
      <c r="AA69" s="22" t="str">
        <f aca="false">IF(B69="","",ROUND(AN69/12,0))</f>
        <v/>
      </c>
      <c r="AB69" s="21"/>
      <c r="AC69" s="21"/>
      <c r="AD69" s="22" t="str">
        <f aca="false">IF(B69="","",U69+W69+X69+Z69+IF(AB69&lt;&gt;"",N(AB69),AA69)+N(AC69))</f>
        <v/>
      </c>
      <c r="AE69" s="23" t="str">
        <f aca="false">IF(B69="","",Q69-AD69)</f>
        <v/>
      </c>
      <c r="AF69" s="22" t="str">
        <f aca="false">IF(B69="","",ROUND(T69*'Rates &amp; Settings'!$C$10,0)-AG69)</f>
        <v/>
      </c>
      <c r="AG69" s="22" t="str">
        <f aca="false">IF(B69="","",IF(H69="Yes",ROUND(MIN(T69,'Rates &amp; Settings'!$C$8)*'Rates &amp; Settings'!$C$11,0),0))</f>
        <v/>
      </c>
      <c r="AH69" s="22" t="str">
        <f aca="false">IF(B69="","",ROUND(MIN(T69,'Rates &amp; Settings'!$C$8)*'Rates &amp; Settings'!$C$12,0))</f>
        <v/>
      </c>
      <c r="AI69" s="22" t="str">
        <f aca="false">IF(B69="","",ROUND(T69*'Rates &amp; Settings'!$C$13,0))</f>
        <v/>
      </c>
      <c r="AJ69" s="22" t="str">
        <f aca="false">IF(B69="","",IF(V69="Yes",ROUNDUP(Q69*'Rates &amp; Settings'!$C$16,0),0))</f>
        <v/>
      </c>
      <c r="AK69" s="22" t="str">
        <f aca="false">IF(B69="","",IFERROR(IF(Z69=0,0,IF(INDEX('Rates &amp; Settings'!$C$75:$C$96,MATCH(E69,'Rates &amp; Settings'!$B$75:$B$96,0))="Percent",MIN(Z69*INDEX('Rates &amp; Settings'!$E$75:$E$96,MATCH(E69,'Rates &amp; Settings'!$B$75:$B$96,0)),INDEX('Rates &amp; Settings'!$G$75:$G$96,MATCH(E69,'Rates &amp; Settings'!$B$75:$B$96,0))),INDEX('Rates &amp; Settings'!$E$75:$E$96,MATCH(E69,'Rates &amp; Settings'!$B$75:$B$96,0)))),0))</f>
        <v/>
      </c>
      <c r="AL69" s="22" t="str">
        <f aca="false">IF(B69="","",Q69+AF69+AG69+AH69+AI69+AJ69+AK69)</f>
        <v/>
      </c>
      <c r="AM69" s="22" t="str">
        <f aca="false">IF(B69="","",MAX(0,P69*12-'Rates &amp; Settings'!$C$18))</f>
        <v/>
      </c>
      <c r="AN69" s="22" t="str">
        <f aca="false">IF(B69="","",IF(AM69&lt;='Rates &amp; Settings'!$C$19,0,MIN(SUMPRODUCT(--(AM69&gt;'Rates &amp; Settings'!$B$24:$B$30),AM69-'Rates &amp; Settings'!$B$24:$B$30,'Rates &amp; Settings'!$D$24:$D$30),AM69-'Rates &amp; Settings'!$C$19))*(1+'Rates &amp; Settings'!$C$20))</f>
        <v/>
      </c>
    </row>
    <row r="70" customFormat="false" ht="15" hidden="false" customHeight="false" outlineLevel="0" collapsed="false">
      <c r="B70" s="5"/>
      <c r="C70" s="5"/>
      <c r="D70" s="5"/>
      <c r="E70" s="5"/>
      <c r="F70" s="5"/>
      <c r="G70" s="5"/>
      <c r="H70" s="5"/>
      <c r="I70" s="20"/>
      <c r="J70" s="21"/>
      <c r="K70" s="21"/>
      <c r="L70" s="21"/>
      <c r="M70" s="21"/>
      <c r="N70" s="21"/>
      <c r="O70" s="21"/>
      <c r="P70" s="22" t="str">
        <f aca="false">IF(B70="","",SUM(J70:O70))</f>
        <v/>
      </c>
      <c r="Q70" s="22" t="str">
        <f aca="false">IF(B70="","",ROUND(P70*N(I70)/'Rates &amp; Settings'!$C$7,0))</f>
        <v/>
      </c>
      <c r="R70" s="22" t="str">
        <f aca="false">IF(B70="","",ROUND((N(J70)+N(K70))*N(I70)/'Rates &amp; Settings'!$C$7,0))</f>
        <v/>
      </c>
      <c r="S70" s="22" t="str">
        <f aca="false">IF(B70="","",IF('Rates &amp; Settings'!$C$14="Yes",MAX(R70,ROUND(Q70*0.5,0)),R70))</f>
        <v/>
      </c>
      <c r="T70" s="22" t="str">
        <f aca="false">IF(B70="","",IF(F70="Yes",IF(G70="Yes",MIN(S70,'Rates &amp; Settings'!$C$8),S70),0))</f>
        <v/>
      </c>
      <c r="U70" s="22" t="str">
        <f aca="false">IF(B70="","",ROUND(T70*'Rates &amp; Settings'!$C$9,0))</f>
        <v/>
      </c>
      <c r="V70" s="7" t="str">
        <f aca="false">IF(B70="","",IF(P70&lt;='Rates &amp; Settings'!$C$17,"Yes","No"))</f>
        <v/>
      </c>
      <c r="W70" s="22" t="str">
        <f aca="false">IF(B70="","",IF(V70="Yes",ROUNDUP(Q70*'Rates &amp; Settings'!$C$15,0),0))</f>
        <v/>
      </c>
      <c r="X70" s="22" t="str">
        <f aca="false">IF(B70="","",IF(Y70&lt;&gt;"",N(Y70),IF(MONTH('Rates &amp; Settings'!$C$6)=2,SUMIFS('Rates &amp; Settings'!$F$35:$F$70,'Rates &amp; Settings'!$B$35:$B$70,E70,'Rates &amp; Settings'!$C$35:$C$70,"&lt;="&amp;Q70,'Rates &amp; Settings'!$D$35:$D$70,"&gt;="&amp;Q70),SUMIFS('Rates &amp; Settings'!$E$35:$E$70,'Rates &amp; Settings'!$B$35:$B$70,E70,'Rates &amp; Settings'!$C$35:$C$70,"&lt;="&amp;Q70,'Rates &amp; Settings'!$D$35:$D$70,"&gt;="&amp;Q70))))</f>
        <v/>
      </c>
      <c r="Y70" s="21"/>
      <c r="Z70" s="22" t="str">
        <f aca="false">IF(B70="","",IFERROR(IF(OR(INDEX('Rates &amp; Settings'!$H$75:$H$96,MATCH(E70,'Rates &amp; Settings'!$B$75:$B$96,0))="All",ISNUMBER(SEARCH(","&amp;MONTH('Rates &amp; Settings'!$C$6)&amp;",",","&amp;INDEX('Rates &amp; Settings'!$H$75:$H$96,MATCH(E70,'Rates &amp; Settings'!$B$75:$B$96,0))&amp;","))),IF(INDEX('Rates &amp; Settings'!$C$75:$C$96,MATCH(E70,'Rates &amp; Settings'!$B$75:$B$96,0))="Percent",MIN(ROUND(Q70*INDEX('Rates &amp; Settings'!$D$75:$D$96,MATCH(E70,'Rates &amp; Settings'!$B$75:$B$96,0)),0),INDEX('Rates &amp; Settings'!$F$75:$F$96,MATCH(E70,'Rates &amp; Settings'!$B$75:$B$96,0))),INDEX('Rates &amp; Settings'!$D$75:$D$96,MATCH(E70,'Rates &amp; Settings'!$B$75:$B$96,0))),0),0))</f>
        <v/>
      </c>
      <c r="AA70" s="22" t="str">
        <f aca="false">IF(B70="","",ROUND(AN70/12,0))</f>
        <v/>
      </c>
      <c r="AB70" s="21"/>
      <c r="AC70" s="21"/>
      <c r="AD70" s="22" t="str">
        <f aca="false">IF(B70="","",U70+W70+X70+Z70+IF(AB70&lt;&gt;"",N(AB70),AA70)+N(AC70))</f>
        <v/>
      </c>
      <c r="AE70" s="23" t="str">
        <f aca="false">IF(B70="","",Q70-AD70)</f>
        <v/>
      </c>
      <c r="AF70" s="22" t="str">
        <f aca="false">IF(B70="","",ROUND(T70*'Rates &amp; Settings'!$C$10,0)-AG70)</f>
        <v/>
      </c>
      <c r="AG70" s="22" t="str">
        <f aca="false">IF(B70="","",IF(H70="Yes",ROUND(MIN(T70,'Rates &amp; Settings'!$C$8)*'Rates &amp; Settings'!$C$11,0),0))</f>
        <v/>
      </c>
      <c r="AH70" s="22" t="str">
        <f aca="false">IF(B70="","",ROUND(MIN(T70,'Rates &amp; Settings'!$C$8)*'Rates &amp; Settings'!$C$12,0))</f>
        <v/>
      </c>
      <c r="AI70" s="22" t="str">
        <f aca="false">IF(B70="","",ROUND(T70*'Rates &amp; Settings'!$C$13,0))</f>
        <v/>
      </c>
      <c r="AJ70" s="22" t="str">
        <f aca="false">IF(B70="","",IF(V70="Yes",ROUNDUP(Q70*'Rates &amp; Settings'!$C$16,0),0))</f>
        <v/>
      </c>
      <c r="AK70" s="22" t="str">
        <f aca="false">IF(B70="","",IFERROR(IF(Z70=0,0,IF(INDEX('Rates &amp; Settings'!$C$75:$C$96,MATCH(E70,'Rates &amp; Settings'!$B$75:$B$96,0))="Percent",MIN(Z70*INDEX('Rates &amp; Settings'!$E$75:$E$96,MATCH(E70,'Rates &amp; Settings'!$B$75:$B$96,0)),INDEX('Rates &amp; Settings'!$G$75:$G$96,MATCH(E70,'Rates &amp; Settings'!$B$75:$B$96,0))),INDEX('Rates &amp; Settings'!$E$75:$E$96,MATCH(E70,'Rates &amp; Settings'!$B$75:$B$96,0)))),0))</f>
        <v/>
      </c>
      <c r="AL70" s="22" t="str">
        <f aca="false">IF(B70="","",Q70+AF70+AG70+AH70+AI70+AJ70+AK70)</f>
        <v/>
      </c>
      <c r="AM70" s="22" t="str">
        <f aca="false">IF(B70="","",MAX(0,P70*12-'Rates &amp; Settings'!$C$18))</f>
        <v/>
      </c>
      <c r="AN70" s="22" t="str">
        <f aca="false">IF(B70="","",IF(AM70&lt;='Rates &amp; Settings'!$C$19,0,MIN(SUMPRODUCT(--(AM70&gt;'Rates &amp; Settings'!$B$24:$B$30),AM70-'Rates &amp; Settings'!$B$24:$B$30,'Rates &amp; Settings'!$D$24:$D$30),AM70-'Rates &amp; Settings'!$C$19))*(1+'Rates &amp; Settings'!$C$20))</f>
        <v/>
      </c>
    </row>
    <row r="71" customFormat="false" ht="15" hidden="false" customHeight="false" outlineLevel="0" collapsed="false">
      <c r="B71" s="5"/>
      <c r="C71" s="5"/>
      <c r="D71" s="5"/>
      <c r="E71" s="5"/>
      <c r="F71" s="5"/>
      <c r="G71" s="5"/>
      <c r="H71" s="5"/>
      <c r="I71" s="20"/>
      <c r="J71" s="21"/>
      <c r="K71" s="21"/>
      <c r="L71" s="21"/>
      <c r="M71" s="21"/>
      <c r="N71" s="21"/>
      <c r="O71" s="21"/>
      <c r="P71" s="22" t="str">
        <f aca="false">IF(B71="","",SUM(J71:O71))</f>
        <v/>
      </c>
      <c r="Q71" s="22" t="str">
        <f aca="false">IF(B71="","",ROUND(P71*N(I71)/'Rates &amp; Settings'!$C$7,0))</f>
        <v/>
      </c>
      <c r="R71" s="22" t="str">
        <f aca="false">IF(B71="","",ROUND((N(J71)+N(K71))*N(I71)/'Rates &amp; Settings'!$C$7,0))</f>
        <v/>
      </c>
      <c r="S71" s="22" t="str">
        <f aca="false">IF(B71="","",IF('Rates &amp; Settings'!$C$14="Yes",MAX(R71,ROUND(Q71*0.5,0)),R71))</f>
        <v/>
      </c>
      <c r="T71" s="22" t="str">
        <f aca="false">IF(B71="","",IF(F71="Yes",IF(G71="Yes",MIN(S71,'Rates &amp; Settings'!$C$8),S71),0))</f>
        <v/>
      </c>
      <c r="U71" s="22" t="str">
        <f aca="false">IF(B71="","",ROUND(T71*'Rates &amp; Settings'!$C$9,0))</f>
        <v/>
      </c>
      <c r="V71" s="7" t="str">
        <f aca="false">IF(B71="","",IF(P71&lt;='Rates &amp; Settings'!$C$17,"Yes","No"))</f>
        <v/>
      </c>
      <c r="W71" s="22" t="str">
        <f aca="false">IF(B71="","",IF(V71="Yes",ROUNDUP(Q71*'Rates &amp; Settings'!$C$15,0),0))</f>
        <v/>
      </c>
      <c r="X71" s="22" t="str">
        <f aca="false">IF(B71="","",IF(Y71&lt;&gt;"",N(Y71),IF(MONTH('Rates &amp; Settings'!$C$6)=2,SUMIFS('Rates &amp; Settings'!$F$35:$F$70,'Rates &amp; Settings'!$B$35:$B$70,E71,'Rates &amp; Settings'!$C$35:$C$70,"&lt;="&amp;Q71,'Rates &amp; Settings'!$D$35:$D$70,"&gt;="&amp;Q71),SUMIFS('Rates &amp; Settings'!$E$35:$E$70,'Rates &amp; Settings'!$B$35:$B$70,E71,'Rates &amp; Settings'!$C$35:$C$70,"&lt;="&amp;Q71,'Rates &amp; Settings'!$D$35:$D$70,"&gt;="&amp;Q71))))</f>
        <v/>
      </c>
      <c r="Y71" s="21"/>
      <c r="Z71" s="22" t="str">
        <f aca="false">IF(B71="","",IFERROR(IF(OR(INDEX('Rates &amp; Settings'!$H$75:$H$96,MATCH(E71,'Rates &amp; Settings'!$B$75:$B$96,0))="All",ISNUMBER(SEARCH(","&amp;MONTH('Rates &amp; Settings'!$C$6)&amp;",",","&amp;INDEX('Rates &amp; Settings'!$H$75:$H$96,MATCH(E71,'Rates &amp; Settings'!$B$75:$B$96,0))&amp;","))),IF(INDEX('Rates &amp; Settings'!$C$75:$C$96,MATCH(E71,'Rates &amp; Settings'!$B$75:$B$96,0))="Percent",MIN(ROUND(Q71*INDEX('Rates &amp; Settings'!$D$75:$D$96,MATCH(E71,'Rates &amp; Settings'!$B$75:$B$96,0)),0),INDEX('Rates &amp; Settings'!$F$75:$F$96,MATCH(E71,'Rates &amp; Settings'!$B$75:$B$96,0))),INDEX('Rates &amp; Settings'!$D$75:$D$96,MATCH(E71,'Rates &amp; Settings'!$B$75:$B$96,0))),0),0))</f>
        <v/>
      </c>
      <c r="AA71" s="22" t="str">
        <f aca="false">IF(B71="","",ROUND(AN71/12,0))</f>
        <v/>
      </c>
      <c r="AB71" s="21"/>
      <c r="AC71" s="21"/>
      <c r="AD71" s="22" t="str">
        <f aca="false">IF(B71="","",U71+W71+X71+Z71+IF(AB71&lt;&gt;"",N(AB71),AA71)+N(AC71))</f>
        <v/>
      </c>
      <c r="AE71" s="23" t="str">
        <f aca="false">IF(B71="","",Q71-AD71)</f>
        <v/>
      </c>
      <c r="AF71" s="22" t="str">
        <f aca="false">IF(B71="","",ROUND(T71*'Rates &amp; Settings'!$C$10,0)-AG71)</f>
        <v/>
      </c>
      <c r="AG71" s="22" t="str">
        <f aca="false">IF(B71="","",IF(H71="Yes",ROUND(MIN(T71,'Rates &amp; Settings'!$C$8)*'Rates &amp; Settings'!$C$11,0),0))</f>
        <v/>
      </c>
      <c r="AH71" s="22" t="str">
        <f aca="false">IF(B71="","",ROUND(MIN(T71,'Rates &amp; Settings'!$C$8)*'Rates &amp; Settings'!$C$12,0))</f>
        <v/>
      </c>
      <c r="AI71" s="22" t="str">
        <f aca="false">IF(B71="","",ROUND(T71*'Rates &amp; Settings'!$C$13,0))</f>
        <v/>
      </c>
      <c r="AJ71" s="22" t="str">
        <f aca="false">IF(B71="","",IF(V71="Yes",ROUNDUP(Q71*'Rates &amp; Settings'!$C$16,0),0))</f>
        <v/>
      </c>
      <c r="AK71" s="22" t="str">
        <f aca="false">IF(B71="","",IFERROR(IF(Z71=0,0,IF(INDEX('Rates &amp; Settings'!$C$75:$C$96,MATCH(E71,'Rates &amp; Settings'!$B$75:$B$96,0))="Percent",MIN(Z71*INDEX('Rates &amp; Settings'!$E$75:$E$96,MATCH(E71,'Rates &amp; Settings'!$B$75:$B$96,0)),INDEX('Rates &amp; Settings'!$G$75:$G$96,MATCH(E71,'Rates &amp; Settings'!$B$75:$B$96,0))),INDEX('Rates &amp; Settings'!$E$75:$E$96,MATCH(E71,'Rates &amp; Settings'!$B$75:$B$96,0)))),0))</f>
        <v/>
      </c>
      <c r="AL71" s="22" t="str">
        <f aca="false">IF(B71="","",Q71+AF71+AG71+AH71+AI71+AJ71+AK71)</f>
        <v/>
      </c>
      <c r="AM71" s="22" t="str">
        <f aca="false">IF(B71="","",MAX(0,P71*12-'Rates &amp; Settings'!$C$18))</f>
        <v/>
      </c>
      <c r="AN71" s="22" t="str">
        <f aca="false">IF(B71="","",IF(AM71&lt;='Rates &amp; Settings'!$C$19,0,MIN(SUMPRODUCT(--(AM71&gt;'Rates &amp; Settings'!$B$24:$B$30),AM71-'Rates &amp; Settings'!$B$24:$B$30,'Rates &amp; Settings'!$D$24:$D$30),AM71-'Rates &amp; Settings'!$C$19))*(1+'Rates &amp; Settings'!$C$20))</f>
        <v/>
      </c>
    </row>
    <row r="72" customFormat="false" ht="15" hidden="false" customHeight="false" outlineLevel="0" collapsed="false">
      <c r="B72" s="5"/>
      <c r="C72" s="5"/>
      <c r="D72" s="5"/>
      <c r="E72" s="5"/>
      <c r="F72" s="5"/>
      <c r="G72" s="5"/>
      <c r="H72" s="5"/>
      <c r="I72" s="20"/>
      <c r="J72" s="21"/>
      <c r="K72" s="21"/>
      <c r="L72" s="21"/>
      <c r="M72" s="21"/>
      <c r="N72" s="21"/>
      <c r="O72" s="21"/>
      <c r="P72" s="22" t="str">
        <f aca="false">IF(B72="","",SUM(J72:O72))</f>
        <v/>
      </c>
      <c r="Q72" s="22" t="str">
        <f aca="false">IF(B72="","",ROUND(P72*N(I72)/'Rates &amp; Settings'!$C$7,0))</f>
        <v/>
      </c>
      <c r="R72" s="22" t="str">
        <f aca="false">IF(B72="","",ROUND((N(J72)+N(K72))*N(I72)/'Rates &amp; Settings'!$C$7,0))</f>
        <v/>
      </c>
      <c r="S72" s="22" t="str">
        <f aca="false">IF(B72="","",IF('Rates &amp; Settings'!$C$14="Yes",MAX(R72,ROUND(Q72*0.5,0)),R72))</f>
        <v/>
      </c>
      <c r="T72" s="22" t="str">
        <f aca="false">IF(B72="","",IF(F72="Yes",IF(G72="Yes",MIN(S72,'Rates &amp; Settings'!$C$8),S72),0))</f>
        <v/>
      </c>
      <c r="U72" s="22" t="str">
        <f aca="false">IF(B72="","",ROUND(T72*'Rates &amp; Settings'!$C$9,0))</f>
        <v/>
      </c>
      <c r="V72" s="7" t="str">
        <f aca="false">IF(B72="","",IF(P72&lt;='Rates &amp; Settings'!$C$17,"Yes","No"))</f>
        <v/>
      </c>
      <c r="W72" s="22" t="str">
        <f aca="false">IF(B72="","",IF(V72="Yes",ROUNDUP(Q72*'Rates &amp; Settings'!$C$15,0),0))</f>
        <v/>
      </c>
      <c r="X72" s="22" t="str">
        <f aca="false">IF(B72="","",IF(Y72&lt;&gt;"",N(Y72),IF(MONTH('Rates &amp; Settings'!$C$6)=2,SUMIFS('Rates &amp; Settings'!$F$35:$F$70,'Rates &amp; Settings'!$B$35:$B$70,E72,'Rates &amp; Settings'!$C$35:$C$70,"&lt;="&amp;Q72,'Rates &amp; Settings'!$D$35:$D$70,"&gt;="&amp;Q72),SUMIFS('Rates &amp; Settings'!$E$35:$E$70,'Rates &amp; Settings'!$B$35:$B$70,E72,'Rates &amp; Settings'!$C$35:$C$70,"&lt;="&amp;Q72,'Rates &amp; Settings'!$D$35:$D$70,"&gt;="&amp;Q72))))</f>
        <v/>
      </c>
      <c r="Y72" s="21"/>
      <c r="Z72" s="22" t="str">
        <f aca="false">IF(B72="","",IFERROR(IF(OR(INDEX('Rates &amp; Settings'!$H$75:$H$96,MATCH(E72,'Rates &amp; Settings'!$B$75:$B$96,0))="All",ISNUMBER(SEARCH(","&amp;MONTH('Rates &amp; Settings'!$C$6)&amp;",",","&amp;INDEX('Rates &amp; Settings'!$H$75:$H$96,MATCH(E72,'Rates &amp; Settings'!$B$75:$B$96,0))&amp;","))),IF(INDEX('Rates &amp; Settings'!$C$75:$C$96,MATCH(E72,'Rates &amp; Settings'!$B$75:$B$96,0))="Percent",MIN(ROUND(Q72*INDEX('Rates &amp; Settings'!$D$75:$D$96,MATCH(E72,'Rates &amp; Settings'!$B$75:$B$96,0)),0),INDEX('Rates &amp; Settings'!$F$75:$F$96,MATCH(E72,'Rates &amp; Settings'!$B$75:$B$96,0))),INDEX('Rates &amp; Settings'!$D$75:$D$96,MATCH(E72,'Rates &amp; Settings'!$B$75:$B$96,0))),0),0))</f>
        <v/>
      </c>
      <c r="AA72" s="22" t="str">
        <f aca="false">IF(B72="","",ROUND(AN72/12,0))</f>
        <v/>
      </c>
      <c r="AB72" s="21"/>
      <c r="AC72" s="21"/>
      <c r="AD72" s="22" t="str">
        <f aca="false">IF(B72="","",U72+W72+X72+Z72+IF(AB72&lt;&gt;"",N(AB72),AA72)+N(AC72))</f>
        <v/>
      </c>
      <c r="AE72" s="23" t="str">
        <f aca="false">IF(B72="","",Q72-AD72)</f>
        <v/>
      </c>
      <c r="AF72" s="22" t="str">
        <f aca="false">IF(B72="","",ROUND(T72*'Rates &amp; Settings'!$C$10,0)-AG72)</f>
        <v/>
      </c>
      <c r="AG72" s="22" t="str">
        <f aca="false">IF(B72="","",IF(H72="Yes",ROUND(MIN(T72,'Rates &amp; Settings'!$C$8)*'Rates &amp; Settings'!$C$11,0),0))</f>
        <v/>
      </c>
      <c r="AH72" s="22" t="str">
        <f aca="false">IF(B72="","",ROUND(MIN(T72,'Rates &amp; Settings'!$C$8)*'Rates &amp; Settings'!$C$12,0))</f>
        <v/>
      </c>
      <c r="AI72" s="22" t="str">
        <f aca="false">IF(B72="","",ROUND(T72*'Rates &amp; Settings'!$C$13,0))</f>
        <v/>
      </c>
      <c r="AJ72" s="22" t="str">
        <f aca="false">IF(B72="","",IF(V72="Yes",ROUNDUP(Q72*'Rates &amp; Settings'!$C$16,0),0))</f>
        <v/>
      </c>
      <c r="AK72" s="22" t="str">
        <f aca="false">IF(B72="","",IFERROR(IF(Z72=0,0,IF(INDEX('Rates &amp; Settings'!$C$75:$C$96,MATCH(E72,'Rates &amp; Settings'!$B$75:$B$96,0))="Percent",MIN(Z72*INDEX('Rates &amp; Settings'!$E$75:$E$96,MATCH(E72,'Rates &amp; Settings'!$B$75:$B$96,0)),INDEX('Rates &amp; Settings'!$G$75:$G$96,MATCH(E72,'Rates &amp; Settings'!$B$75:$B$96,0))),INDEX('Rates &amp; Settings'!$E$75:$E$96,MATCH(E72,'Rates &amp; Settings'!$B$75:$B$96,0)))),0))</f>
        <v/>
      </c>
      <c r="AL72" s="22" t="str">
        <f aca="false">IF(B72="","",Q72+AF72+AG72+AH72+AI72+AJ72+AK72)</f>
        <v/>
      </c>
      <c r="AM72" s="22" t="str">
        <f aca="false">IF(B72="","",MAX(0,P72*12-'Rates &amp; Settings'!$C$18))</f>
        <v/>
      </c>
      <c r="AN72" s="22" t="str">
        <f aca="false">IF(B72="","",IF(AM72&lt;='Rates &amp; Settings'!$C$19,0,MIN(SUMPRODUCT(--(AM72&gt;'Rates &amp; Settings'!$B$24:$B$30),AM72-'Rates &amp; Settings'!$B$24:$B$30,'Rates &amp; Settings'!$D$24:$D$30),AM72-'Rates &amp; Settings'!$C$19))*(1+'Rates &amp; Settings'!$C$20))</f>
        <v/>
      </c>
    </row>
    <row r="73" customFormat="false" ht="15" hidden="false" customHeight="false" outlineLevel="0" collapsed="false">
      <c r="B73" s="5"/>
      <c r="C73" s="5"/>
      <c r="D73" s="5"/>
      <c r="E73" s="5"/>
      <c r="F73" s="5"/>
      <c r="G73" s="5"/>
      <c r="H73" s="5"/>
      <c r="I73" s="20"/>
      <c r="J73" s="21"/>
      <c r="K73" s="21"/>
      <c r="L73" s="21"/>
      <c r="M73" s="21"/>
      <c r="N73" s="21"/>
      <c r="O73" s="21"/>
      <c r="P73" s="22" t="str">
        <f aca="false">IF(B73="","",SUM(J73:O73))</f>
        <v/>
      </c>
      <c r="Q73" s="22" t="str">
        <f aca="false">IF(B73="","",ROUND(P73*N(I73)/'Rates &amp; Settings'!$C$7,0))</f>
        <v/>
      </c>
      <c r="R73" s="22" t="str">
        <f aca="false">IF(B73="","",ROUND((N(J73)+N(K73))*N(I73)/'Rates &amp; Settings'!$C$7,0))</f>
        <v/>
      </c>
      <c r="S73" s="22" t="str">
        <f aca="false">IF(B73="","",IF('Rates &amp; Settings'!$C$14="Yes",MAX(R73,ROUND(Q73*0.5,0)),R73))</f>
        <v/>
      </c>
      <c r="T73" s="22" t="str">
        <f aca="false">IF(B73="","",IF(F73="Yes",IF(G73="Yes",MIN(S73,'Rates &amp; Settings'!$C$8),S73),0))</f>
        <v/>
      </c>
      <c r="U73" s="22" t="str">
        <f aca="false">IF(B73="","",ROUND(T73*'Rates &amp; Settings'!$C$9,0))</f>
        <v/>
      </c>
      <c r="V73" s="7" t="str">
        <f aca="false">IF(B73="","",IF(P73&lt;='Rates &amp; Settings'!$C$17,"Yes","No"))</f>
        <v/>
      </c>
      <c r="W73" s="22" t="str">
        <f aca="false">IF(B73="","",IF(V73="Yes",ROUNDUP(Q73*'Rates &amp; Settings'!$C$15,0),0))</f>
        <v/>
      </c>
      <c r="X73" s="22" t="str">
        <f aca="false">IF(B73="","",IF(Y73&lt;&gt;"",N(Y73),IF(MONTH('Rates &amp; Settings'!$C$6)=2,SUMIFS('Rates &amp; Settings'!$F$35:$F$70,'Rates &amp; Settings'!$B$35:$B$70,E73,'Rates &amp; Settings'!$C$35:$C$70,"&lt;="&amp;Q73,'Rates &amp; Settings'!$D$35:$D$70,"&gt;="&amp;Q73),SUMIFS('Rates &amp; Settings'!$E$35:$E$70,'Rates &amp; Settings'!$B$35:$B$70,E73,'Rates &amp; Settings'!$C$35:$C$70,"&lt;="&amp;Q73,'Rates &amp; Settings'!$D$35:$D$70,"&gt;="&amp;Q73))))</f>
        <v/>
      </c>
      <c r="Y73" s="21"/>
      <c r="Z73" s="22" t="str">
        <f aca="false">IF(B73="","",IFERROR(IF(OR(INDEX('Rates &amp; Settings'!$H$75:$H$96,MATCH(E73,'Rates &amp; Settings'!$B$75:$B$96,0))="All",ISNUMBER(SEARCH(","&amp;MONTH('Rates &amp; Settings'!$C$6)&amp;",",","&amp;INDEX('Rates &amp; Settings'!$H$75:$H$96,MATCH(E73,'Rates &amp; Settings'!$B$75:$B$96,0))&amp;","))),IF(INDEX('Rates &amp; Settings'!$C$75:$C$96,MATCH(E73,'Rates &amp; Settings'!$B$75:$B$96,0))="Percent",MIN(ROUND(Q73*INDEX('Rates &amp; Settings'!$D$75:$D$96,MATCH(E73,'Rates &amp; Settings'!$B$75:$B$96,0)),0),INDEX('Rates &amp; Settings'!$F$75:$F$96,MATCH(E73,'Rates &amp; Settings'!$B$75:$B$96,0))),INDEX('Rates &amp; Settings'!$D$75:$D$96,MATCH(E73,'Rates &amp; Settings'!$B$75:$B$96,0))),0),0))</f>
        <v/>
      </c>
      <c r="AA73" s="22" t="str">
        <f aca="false">IF(B73="","",ROUND(AN73/12,0))</f>
        <v/>
      </c>
      <c r="AB73" s="21"/>
      <c r="AC73" s="21"/>
      <c r="AD73" s="22" t="str">
        <f aca="false">IF(B73="","",U73+W73+X73+Z73+IF(AB73&lt;&gt;"",N(AB73),AA73)+N(AC73))</f>
        <v/>
      </c>
      <c r="AE73" s="23" t="str">
        <f aca="false">IF(B73="","",Q73-AD73)</f>
        <v/>
      </c>
      <c r="AF73" s="22" t="str">
        <f aca="false">IF(B73="","",ROUND(T73*'Rates &amp; Settings'!$C$10,0)-AG73)</f>
        <v/>
      </c>
      <c r="AG73" s="22" t="str">
        <f aca="false">IF(B73="","",IF(H73="Yes",ROUND(MIN(T73,'Rates &amp; Settings'!$C$8)*'Rates &amp; Settings'!$C$11,0),0))</f>
        <v/>
      </c>
      <c r="AH73" s="22" t="str">
        <f aca="false">IF(B73="","",ROUND(MIN(T73,'Rates &amp; Settings'!$C$8)*'Rates &amp; Settings'!$C$12,0))</f>
        <v/>
      </c>
      <c r="AI73" s="22" t="str">
        <f aca="false">IF(B73="","",ROUND(T73*'Rates &amp; Settings'!$C$13,0))</f>
        <v/>
      </c>
      <c r="AJ73" s="22" t="str">
        <f aca="false">IF(B73="","",IF(V73="Yes",ROUNDUP(Q73*'Rates &amp; Settings'!$C$16,0),0))</f>
        <v/>
      </c>
      <c r="AK73" s="22" t="str">
        <f aca="false">IF(B73="","",IFERROR(IF(Z73=0,0,IF(INDEX('Rates &amp; Settings'!$C$75:$C$96,MATCH(E73,'Rates &amp; Settings'!$B$75:$B$96,0))="Percent",MIN(Z73*INDEX('Rates &amp; Settings'!$E$75:$E$96,MATCH(E73,'Rates &amp; Settings'!$B$75:$B$96,0)),INDEX('Rates &amp; Settings'!$G$75:$G$96,MATCH(E73,'Rates &amp; Settings'!$B$75:$B$96,0))),INDEX('Rates &amp; Settings'!$E$75:$E$96,MATCH(E73,'Rates &amp; Settings'!$B$75:$B$96,0)))),0))</f>
        <v/>
      </c>
      <c r="AL73" s="22" t="str">
        <f aca="false">IF(B73="","",Q73+AF73+AG73+AH73+AI73+AJ73+AK73)</f>
        <v/>
      </c>
      <c r="AM73" s="22" t="str">
        <f aca="false">IF(B73="","",MAX(0,P73*12-'Rates &amp; Settings'!$C$18))</f>
        <v/>
      </c>
      <c r="AN73" s="22" t="str">
        <f aca="false">IF(B73="","",IF(AM73&lt;='Rates &amp; Settings'!$C$19,0,MIN(SUMPRODUCT(--(AM73&gt;'Rates &amp; Settings'!$B$24:$B$30),AM73-'Rates &amp; Settings'!$B$24:$B$30,'Rates &amp; Settings'!$D$24:$D$30),AM73-'Rates &amp; Settings'!$C$19))*(1+'Rates &amp; Settings'!$C$20))</f>
        <v/>
      </c>
    </row>
    <row r="74" customFormat="false" ht="15" hidden="false" customHeight="false" outlineLevel="0" collapsed="false">
      <c r="B74" s="5"/>
      <c r="C74" s="5"/>
      <c r="D74" s="5"/>
      <c r="E74" s="5"/>
      <c r="F74" s="5"/>
      <c r="G74" s="5"/>
      <c r="H74" s="5"/>
      <c r="I74" s="20"/>
      <c r="J74" s="21"/>
      <c r="K74" s="21"/>
      <c r="L74" s="21"/>
      <c r="M74" s="21"/>
      <c r="N74" s="21"/>
      <c r="O74" s="21"/>
      <c r="P74" s="22" t="str">
        <f aca="false">IF(B74="","",SUM(J74:O74))</f>
        <v/>
      </c>
      <c r="Q74" s="22" t="str">
        <f aca="false">IF(B74="","",ROUND(P74*N(I74)/'Rates &amp; Settings'!$C$7,0))</f>
        <v/>
      </c>
      <c r="R74" s="22" t="str">
        <f aca="false">IF(B74="","",ROUND((N(J74)+N(K74))*N(I74)/'Rates &amp; Settings'!$C$7,0))</f>
        <v/>
      </c>
      <c r="S74" s="22" t="str">
        <f aca="false">IF(B74="","",IF('Rates &amp; Settings'!$C$14="Yes",MAX(R74,ROUND(Q74*0.5,0)),R74))</f>
        <v/>
      </c>
      <c r="T74" s="22" t="str">
        <f aca="false">IF(B74="","",IF(F74="Yes",IF(G74="Yes",MIN(S74,'Rates &amp; Settings'!$C$8),S74),0))</f>
        <v/>
      </c>
      <c r="U74" s="22" t="str">
        <f aca="false">IF(B74="","",ROUND(T74*'Rates &amp; Settings'!$C$9,0))</f>
        <v/>
      </c>
      <c r="V74" s="7" t="str">
        <f aca="false">IF(B74="","",IF(P74&lt;='Rates &amp; Settings'!$C$17,"Yes","No"))</f>
        <v/>
      </c>
      <c r="W74" s="22" t="str">
        <f aca="false">IF(B74="","",IF(V74="Yes",ROUNDUP(Q74*'Rates &amp; Settings'!$C$15,0),0))</f>
        <v/>
      </c>
      <c r="X74" s="22" t="str">
        <f aca="false">IF(B74="","",IF(Y74&lt;&gt;"",N(Y74),IF(MONTH('Rates &amp; Settings'!$C$6)=2,SUMIFS('Rates &amp; Settings'!$F$35:$F$70,'Rates &amp; Settings'!$B$35:$B$70,E74,'Rates &amp; Settings'!$C$35:$C$70,"&lt;="&amp;Q74,'Rates &amp; Settings'!$D$35:$D$70,"&gt;="&amp;Q74),SUMIFS('Rates &amp; Settings'!$E$35:$E$70,'Rates &amp; Settings'!$B$35:$B$70,E74,'Rates &amp; Settings'!$C$35:$C$70,"&lt;="&amp;Q74,'Rates &amp; Settings'!$D$35:$D$70,"&gt;="&amp;Q74))))</f>
        <v/>
      </c>
      <c r="Y74" s="21"/>
      <c r="Z74" s="22" t="str">
        <f aca="false">IF(B74="","",IFERROR(IF(OR(INDEX('Rates &amp; Settings'!$H$75:$H$96,MATCH(E74,'Rates &amp; Settings'!$B$75:$B$96,0))="All",ISNUMBER(SEARCH(","&amp;MONTH('Rates &amp; Settings'!$C$6)&amp;",",","&amp;INDEX('Rates &amp; Settings'!$H$75:$H$96,MATCH(E74,'Rates &amp; Settings'!$B$75:$B$96,0))&amp;","))),IF(INDEX('Rates &amp; Settings'!$C$75:$C$96,MATCH(E74,'Rates &amp; Settings'!$B$75:$B$96,0))="Percent",MIN(ROUND(Q74*INDEX('Rates &amp; Settings'!$D$75:$D$96,MATCH(E74,'Rates &amp; Settings'!$B$75:$B$96,0)),0),INDEX('Rates &amp; Settings'!$F$75:$F$96,MATCH(E74,'Rates &amp; Settings'!$B$75:$B$96,0))),INDEX('Rates &amp; Settings'!$D$75:$D$96,MATCH(E74,'Rates &amp; Settings'!$B$75:$B$96,0))),0),0))</f>
        <v/>
      </c>
      <c r="AA74" s="22" t="str">
        <f aca="false">IF(B74="","",ROUND(AN74/12,0))</f>
        <v/>
      </c>
      <c r="AB74" s="21"/>
      <c r="AC74" s="21"/>
      <c r="AD74" s="22" t="str">
        <f aca="false">IF(B74="","",U74+W74+X74+Z74+IF(AB74&lt;&gt;"",N(AB74),AA74)+N(AC74))</f>
        <v/>
      </c>
      <c r="AE74" s="23" t="str">
        <f aca="false">IF(B74="","",Q74-AD74)</f>
        <v/>
      </c>
      <c r="AF74" s="22" t="str">
        <f aca="false">IF(B74="","",ROUND(T74*'Rates &amp; Settings'!$C$10,0)-AG74)</f>
        <v/>
      </c>
      <c r="AG74" s="22" t="str">
        <f aca="false">IF(B74="","",IF(H74="Yes",ROUND(MIN(T74,'Rates &amp; Settings'!$C$8)*'Rates &amp; Settings'!$C$11,0),0))</f>
        <v/>
      </c>
      <c r="AH74" s="22" t="str">
        <f aca="false">IF(B74="","",ROUND(MIN(T74,'Rates &amp; Settings'!$C$8)*'Rates &amp; Settings'!$C$12,0))</f>
        <v/>
      </c>
      <c r="AI74" s="22" t="str">
        <f aca="false">IF(B74="","",ROUND(T74*'Rates &amp; Settings'!$C$13,0))</f>
        <v/>
      </c>
      <c r="AJ74" s="22" t="str">
        <f aca="false">IF(B74="","",IF(V74="Yes",ROUNDUP(Q74*'Rates &amp; Settings'!$C$16,0),0))</f>
        <v/>
      </c>
      <c r="AK74" s="22" t="str">
        <f aca="false">IF(B74="","",IFERROR(IF(Z74=0,0,IF(INDEX('Rates &amp; Settings'!$C$75:$C$96,MATCH(E74,'Rates &amp; Settings'!$B$75:$B$96,0))="Percent",MIN(Z74*INDEX('Rates &amp; Settings'!$E$75:$E$96,MATCH(E74,'Rates &amp; Settings'!$B$75:$B$96,0)),INDEX('Rates &amp; Settings'!$G$75:$G$96,MATCH(E74,'Rates &amp; Settings'!$B$75:$B$96,0))),INDEX('Rates &amp; Settings'!$E$75:$E$96,MATCH(E74,'Rates &amp; Settings'!$B$75:$B$96,0)))),0))</f>
        <v/>
      </c>
      <c r="AL74" s="22" t="str">
        <f aca="false">IF(B74="","",Q74+AF74+AG74+AH74+AI74+AJ74+AK74)</f>
        <v/>
      </c>
      <c r="AM74" s="22" t="str">
        <f aca="false">IF(B74="","",MAX(0,P74*12-'Rates &amp; Settings'!$C$18))</f>
        <v/>
      </c>
      <c r="AN74" s="22" t="str">
        <f aca="false">IF(B74="","",IF(AM74&lt;='Rates &amp; Settings'!$C$19,0,MIN(SUMPRODUCT(--(AM74&gt;'Rates &amp; Settings'!$B$24:$B$30),AM74-'Rates &amp; Settings'!$B$24:$B$30,'Rates &amp; Settings'!$D$24:$D$30),AM74-'Rates &amp; Settings'!$C$19))*(1+'Rates &amp; Settings'!$C$20))</f>
        <v/>
      </c>
    </row>
    <row r="75" customFormat="false" ht="15" hidden="false" customHeight="false" outlineLevel="0" collapsed="false">
      <c r="B75" s="5"/>
      <c r="C75" s="5"/>
      <c r="D75" s="5"/>
      <c r="E75" s="5"/>
      <c r="F75" s="5"/>
      <c r="G75" s="5"/>
      <c r="H75" s="5"/>
      <c r="I75" s="20"/>
      <c r="J75" s="21"/>
      <c r="K75" s="21"/>
      <c r="L75" s="21"/>
      <c r="M75" s="21"/>
      <c r="N75" s="21"/>
      <c r="O75" s="21"/>
      <c r="P75" s="22" t="str">
        <f aca="false">IF(B75="","",SUM(J75:O75))</f>
        <v/>
      </c>
      <c r="Q75" s="22" t="str">
        <f aca="false">IF(B75="","",ROUND(P75*N(I75)/'Rates &amp; Settings'!$C$7,0))</f>
        <v/>
      </c>
      <c r="R75" s="22" t="str">
        <f aca="false">IF(B75="","",ROUND((N(J75)+N(K75))*N(I75)/'Rates &amp; Settings'!$C$7,0))</f>
        <v/>
      </c>
      <c r="S75" s="22" t="str">
        <f aca="false">IF(B75="","",IF('Rates &amp; Settings'!$C$14="Yes",MAX(R75,ROUND(Q75*0.5,0)),R75))</f>
        <v/>
      </c>
      <c r="T75" s="22" t="str">
        <f aca="false">IF(B75="","",IF(F75="Yes",IF(G75="Yes",MIN(S75,'Rates &amp; Settings'!$C$8),S75),0))</f>
        <v/>
      </c>
      <c r="U75" s="22" t="str">
        <f aca="false">IF(B75="","",ROUND(T75*'Rates &amp; Settings'!$C$9,0))</f>
        <v/>
      </c>
      <c r="V75" s="7" t="str">
        <f aca="false">IF(B75="","",IF(P75&lt;='Rates &amp; Settings'!$C$17,"Yes","No"))</f>
        <v/>
      </c>
      <c r="W75" s="22" t="str">
        <f aca="false">IF(B75="","",IF(V75="Yes",ROUNDUP(Q75*'Rates &amp; Settings'!$C$15,0),0))</f>
        <v/>
      </c>
      <c r="X75" s="22" t="str">
        <f aca="false">IF(B75="","",IF(Y75&lt;&gt;"",N(Y75),IF(MONTH('Rates &amp; Settings'!$C$6)=2,SUMIFS('Rates &amp; Settings'!$F$35:$F$70,'Rates &amp; Settings'!$B$35:$B$70,E75,'Rates &amp; Settings'!$C$35:$C$70,"&lt;="&amp;Q75,'Rates &amp; Settings'!$D$35:$D$70,"&gt;="&amp;Q75),SUMIFS('Rates &amp; Settings'!$E$35:$E$70,'Rates &amp; Settings'!$B$35:$B$70,E75,'Rates &amp; Settings'!$C$35:$C$70,"&lt;="&amp;Q75,'Rates &amp; Settings'!$D$35:$D$70,"&gt;="&amp;Q75))))</f>
        <v/>
      </c>
      <c r="Y75" s="21"/>
      <c r="Z75" s="22" t="str">
        <f aca="false">IF(B75="","",IFERROR(IF(OR(INDEX('Rates &amp; Settings'!$H$75:$H$96,MATCH(E75,'Rates &amp; Settings'!$B$75:$B$96,0))="All",ISNUMBER(SEARCH(","&amp;MONTH('Rates &amp; Settings'!$C$6)&amp;",",","&amp;INDEX('Rates &amp; Settings'!$H$75:$H$96,MATCH(E75,'Rates &amp; Settings'!$B$75:$B$96,0))&amp;","))),IF(INDEX('Rates &amp; Settings'!$C$75:$C$96,MATCH(E75,'Rates &amp; Settings'!$B$75:$B$96,0))="Percent",MIN(ROUND(Q75*INDEX('Rates &amp; Settings'!$D$75:$D$96,MATCH(E75,'Rates &amp; Settings'!$B$75:$B$96,0)),0),INDEX('Rates &amp; Settings'!$F$75:$F$96,MATCH(E75,'Rates &amp; Settings'!$B$75:$B$96,0))),INDEX('Rates &amp; Settings'!$D$75:$D$96,MATCH(E75,'Rates &amp; Settings'!$B$75:$B$96,0))),0),0))</f>
        <v/>
      </c>
      <c r="AA75" s="22" t="str">
        <f aca="false">IF(B75="","",ROUND(AN75/12,0))</f>
        <v/>
      </c>
      <c r="AB75" s="21"/>
      <c r="AC75" s="21"/>
      <c r="AD75" s="22" t="str">
        <f aca="false">IF(B75="","",U75+W75+X75+Z75+IF(AB75&lt;&gt;"",N(AB75),AA75)+N(AC75))</f>
        <v/>
      </c>
      <c r="AE75" s="23" t="str">
        <f aca="false">IF(B75="","",Q75-AD75)</f>
        <v/>
      </c>
      <c r="AF75" s="22" t="str">
        <f aca="false">IF(B75="","",ROUND(T75*'Rates &amp; Settings'!$C$10,0)-AG75)</f>
        <v/>
      </c>
      <c r="AG75" s="22" t="str">
        <f aca="false">IF(B75="","",IF(H75="Yes",ROUND(MIN(T75,'Rates &amp; Settings'!$C$8)*'Rates &amp; Settings'!$C$11,0),0))</f>
        <v/>
      </c>
      <c r="AH75" s="22" t="str">
        <f aca="false">IF(B75="","",ROUND(MIN(T75,'Rates &amp; Settings'!$C$8)*'Rates &amp; Settings'!$C$12,0))</f>
        <v/>
      </c>
      <c r="AI75" s="22" t="str">
        <f aca="false">IF(B75="","",ROUND(T75*'Rates &amp; Settings'!$C$13,0))</f>
        <v/>
      </c>
      <c r="AJ75" s="22" t="str">
        <f aca="false">IF(B75="","",IF(V75="Yes",ROUNDUP(Q75*'Rates &amp; Settings'!$C$16,0),0))</f>
        <v/>
      </c>
      <c r="AK75" s="22" t="str">
        <f aca="false">IF(B75="","",IFERROR(IF(Z75=0,0,IF(INDEX('Rates &amp; Settings'!$C$75:$C$96,MATCH(E75,'Rates &amp; Settings'!$B$75:$B$96,0))="Percent",MIN(Z75*INDEX('Rates &amp; Settings'!$E$75:$E$96,MATCH(E75,'Rates &amp; Settings'!$B$75:$B$96,0)),INDEX('Rates &amp; Settings'!$G$75:$G$96,MATCH(E75,'Rates &amp; Settings'!$B$75:$B$96,0))),INDEX('Rates &amp; Settings'!$E$75:$E$96,MATCH(E75,'Rates &amp; Settings'!$B$75:$B$96,0)))),0))</f>
        <v/>
      </c>
      <c r="AL75" s="22" t="str">
        <f aca="false">IF(B75="","",Q75+AF75+AG75+AH75+AI75+AJ75+AK75)</f>
        <v/>
      </c>
      <c r="AM75" s="22" t="str">
        <f aca="false">IF(B75="","",MAX(0,P75*12-'Rates &amp; Settings'!$C$18))</f>
        <v/>
      </c>
      <c r="AN75" s="22" t="str">
        <f aca="false">IF(B75="","",IF(AM75&lt;='Rates &amp; Settings'!$C$19,0,MIN(SUMPRODUCT(--(AM75&gt;'Rates &amp; Settings'!$B$24:$B$30),AM75-'Rates &amp; Settings'!$B$24:$B$30,'Rates &amp; Settings'!$D$24:$D$30),AM75-'Rates &amp; Settings'!$C$19))*(1+'Rates &amp; Settings'!$C$20))</f>
        <v/>
      </c>
    </row>
    <row r="76" customFormat="false" ht="15" hidden="false" customHeight="false" outlineLevel="0" collapsed="false">
      <c r="B76" s="5"/>
      <c r="C76" s="5"/>
      <c r="D76" s="5"/>
      <c r="E76" s="5"/>
      <c r="F76" s="5"/>
      <c r="G76" s="5"/>
      <c r="H76" s="5"/>
      <c r="I76" s="20"/>
      <c r="J76" s="21"/>
      <c r="K76" s="21"/>
      <c r="L76" s="21"/>
      <c r="M76" s="21"/>
      <c r="N76" s="21"/>
      <c r="O76" s="21"/>
      <c r="P76" s="22" t="str">
        <f aca="false">IF(B76="","",SUM(J76:O76))</f>
        <v/>
      </c>
      <c r="Q76" s="22" t="str">
        <f aca="false">IF(B76="","",ROUND(P76*N(I76)/'Rates &amp; Settings'!$C$7,0))</f>
        <v/>
      </c>
      <c r="R76" s="22" t="str">
        <f aca="false">IF(B76="","",ROUND((N(J76)+N(K76))*N(I76)/'Rates &amp; Settings'!$C$7,0))</f>
        <v/>
      </c>
      <c r="S76" s="22" t="str">
        <f aca="false">IF(B76="","",IF('Rates &amp; Settings'!$C$14="Yes",MAX(R76,ROUND(Q76*0.5,0)),R76))</f>
        <v/>
      </c>
      <c r="T76" s="22" t="str">
        <f aca="false">IF(B76="","",IF(F76="Yes",IF(G76="Yes",MIN(S76,'Rates &amp; Settings'!$C$8),S76),0))</f>
        <v/>
      </c>
      <c r="U76" s="22" t="str">
        <f aca="false">IF(B76="","",ROUND(T76*'Rates &amp; Settings'!$C$9,0))</f>
        <v/>
      </c>
      <c r="V76" s="7" t="str">
        <f aca="false">IF(B76="","",IF(P76&lt;='Rates &amp; Settings'!$C$17,"Yes","No"))</f>
        <v/>
      </c>
      <c r="W76" s="22" t="str">
        <f aca="false">IF(B76="","",IF(V76="Yes",ROUNDUP(Q76*'Rates &amp; Settings'!$C$15,0),0))</f>
        <v/>
      </c>
      <c r="X76" s="22" t="str">
        <f aca="false">IF(B76="","",IF(Y76&lt;&gt;"",N(Y76),IF(MONTH('Rates &amp; Settings'!$C$6)=2,SUMIFS('Rates &amp; Settings'!$F$35:$F$70,'Rates &amp; Settings'!$B$35:$B$70,E76,'Rates &amp; Settings'!$C$35:$C$70,"&lt;="&amp;Q76,'Rates &amp; Settings'!$D$35:$D$70,"&gt;="&amp;Q76),SUMIFS('Rates &amp; Settings'!$E$35:$E$70,'Rates &amp; Settings'!$B$35:$B$70,E76,'Rates &amp; Settings'!$C$35:$C$70,"&lt;="&amp;Q76,'Rates &amp; Settings'!$D$35:$D$70,"&gt;="&amp;Q76))))</f>
        <v/>
      </c>
      <c r="Y76" s="21"/>
      <c r="Z76" s="22" t="str">
        <f aca="false">IF(B76="","",IFERROR(IF(OR(INDEX('Rates &amp; Settings'!$H$75:$H$96,MATCH(E76,'Rates &amp; Settings'!$B$75:$B$96,0))="All",ISNUMBER(SEARCH(","&amp;MONTH('Rates &amp; Settings'!$C$6)&amp;",",","&amp;INDEX('Rates &amp; Settings'!$H$75:$H$96,MATCH(E76,'Rates &amp; Settings'!$B$75:$B$96,0))&amp;","))),IF(INDEX('Rates &amp; Settings'!$C$75:$C$96,MATCH(E76,'Rates &amp; Settings'!$B$75:$B$96,0))="Percent",MIN(ROUND(Q76*INDEX('Rates &amp; Settings'!$D$75:$D$96,MATCH(E76,'Rates &amp; Settings'!$B$75:$B$96,0)),0),INDEX('Rates &amp; Settings'!$F$75:$F$96,MATCH(E76,'Rates &amp; Settings'!$B$75:$B$96,0))),INDEX('Rates &amp; Settings'!$D$75:$D$96,MATCH(E76,'Rates &amp; Settings'!$B$75:$B$96,0))),0),0))</f>
        <v/>
      </c>
      <c r="AA76" s="22" t="str">
        <f aca="false">IF(B76="","",ROUND(AN76/12,0))</f>
        <v/>
      </c>
      <c r="AB76" s="21"/>
      <c r="AC76" s="21"/>
      <c r="AD76" s="22" t="str">
        <f aca="false">IF(B76="","",U76+W76+X76+Z76+IF(AB76&lt;&gt;"",N(AB76),AA76)+N(AC76))</f>
        <v/>
      </c>
      <c r="AE76" s="23" t="str">
        <f aca="false">IF(B76="","",Q76-AD76)</f>
        <v/>
      </c>
      <c r="AF76" s="22" t="str">
        <f aca="false">IF(B76="","",ROUND(T76*'Rates &amp; Settings'!$C$10,0)-AG76)</f>
        <v/>
      </c>
      <c r="AG76" s="22" t="str">
        <f aca="false">IF(B76="","",IF(H76="Yes",ROUND(MIN(T76,'Rates &amp; Settings'!$C$8)*'Rates &amp; Settings'!$C$11,0),0))</f>
        <v/>
      </c>
      <c r="AH76" s="22" t="str">
        <f aca="false">IF(B76="","",ROUND(MIN(T76,'Rates &amp; Settings'!$C$8)*'Rates &amp; Settings'!$C$12,0))</f>
        <v/>
      </c>
      <c r="AI76" s="22" t="str">
        <f aca="false">IF(B76="","",ROUND(T76*'Rates &amp; Settings'!$C$13,0))</f>
        <v/>
      </c>
      <c r="AJ76" s="22" t="str">
        <f aca="false">IF(B76="","",IF(V76="Yes",ROUNDUP(Q76*'Rates &amp; Settings'!$C$16,0),0))</f>
        <v/>
      </c>
      <c r="AK76" s="22" t="str">
        <f aca="false">IF(B76="","",IFERROR(IF(Z76=0,0,IF(INDEX('Rates &amp; Settings'!$C$75:$C$96,MATCH(E76,'Rates &amp; Settings'!$B$75:$B$96,0))="Percent",MIN(Z76*INDEX('Rates &amp; Settings'!$E$75:$E$96,MATCH(E76,'Rates &amp; Settings'!$B$75:$B$96,0)),INDEX('Rates &amp; Settings'!$G$75:$G$96,MATCH(E76,'Rates &amp; Settings'!$B$75:$B$96,0))),INDEX('Rates &amp; Settings'!$E$75:$E$96,MATCH(E76,'Rates &amp; Settings'!$B$75:$B$96,0)))),0))</f>
        <v/>
      </c>
      <c r="AL76" s="22" t="str">
        <f aca="false">IF(B76="","",Q76+AF76+AG76+AH76+AI76+AJ76+AK76)</f>
        <v/>
      </c>
      <c r="AM76" s="22" t="str">
        <f aca="false">IF(B76="","",MAX(0,P76*12-'Rates &amp; Settings'!$C$18))</f>
        <v/>
      </c>
      <c r="AN76" s="22" t="str">
        <f aca="false">IF(B76="","",IF(AM76&lt;='Rates &amp; Settings'!$C$19,0,MIN(SUMPRODUCT(--(AM76&gt;'Rates &amp; Settings'!$B$24:$B$30),AM76-'Rates &amp; Settings'!$B$24:$B$30,'Rates &amp; Settings'!$D$24:$D$30),AM76-'Rates &amp; Settings'!$C$19))*(1+'Rates &amp; Settings'!$C$20))</f>
        <v/>
      </c>
    </row>
    <row r="77" customFormat="false" ht="15" hidden="false" customHeight="false" outlineLevel="0" collapsed="false">
      <c r="B77" s="5"/>
      <c r="C77" s="5"/>
      <c r="D77" s="5"/>
      <c r="E77" s="5"/>
      <c r="F77" s="5"/>
      <c r="G77" s="5"/>
      <c r="H77" s="5"/>
      <c r="I77" s="20"/>
      <c r="J77" s="21"/>
      <c r="K77" s="21"/>
      <c r="L77" s="21"/>
      <c r="M77" s="21"/>
      <c r="N77" s="21"/>
      <c r="O77" s="21"/>
      <c r="P77" s="22" t="str">
        <f aca="false">IF(B77="","",SUM(J77:O77))</f>
        <v/>
      </c>
      <c r="Q77" s="22" t="str">
        <f aca="false">IF(B77="","",ROUND(P77*N(I77)/'Rates &amp; Settings'!$C$7,0))</f>
        <v/>
      </c>
      <c r="R77" s="22" t="str">
        <f aca="false">IF(B77="","",ROUND((N(J77)+N(K77))*N(I77)/'Rates &amp; Settings'!$C$7,0))</f>
        <v/>
      </c>
      <c r="S77" s="22" t="str">
        <f aca="false">IF(B77="","",IF('Rates &amp; Settings'!$C$14="Yes",MAX(R77,ROUND(Q77*0.5,0)),R77))</f>
        <v/>
      </c>
      <c r="T77" s="22" t="str">
        <f aca="false">IF(B77="","",IF(F77="Yes",IF(G77="Yes",MIN(S77,'Rates &amp; Settings'!$C$8),S77),0))</f>
        <v/>
      </c>
      <c r="U77" s="22" t="str">
        <f aca="false">IF(B77="","",ROUND(T77*'Rates &amp; Settings'!$C$9,0))</f>
        <v/>
      </c>
      <c r="V77" s="7" t="str">
        <f aca="false">IF(B77="","",IF(P77&lt;='Rates &amp; Settings'!$C$17,"Yes","No"))</f>
        <v/>
      </c>
      <c r="W77" s="22" t="str">
        <f aca="false">IF(B77="","",IF(V77="Yes",ROUNDUP(Q77*'Rates &amp; Settings'!$C$15,0),0))</f>
        <v/>
      </c>
      <c r="X77" s="22" t="str">
        <f aca="false">IF(B77="","",IF(Y77&lt;&gt;"",N(Y77),IF(MONTH('Rates &amp; Settings'!$C$6)=2,SUMIFS('Rates &amp; Settings'!$F$35:$F$70,'Rates &amp; Settings'!$B$35:$B$70,E77,'Rates &amp; Settings'!$C$35:$C$70,"&lt;="&amp;Q77,'Rates &amp; Settings'!$D$35:$D$70,"&gt;="&amp;Q77),SUMIFS('Rates &amp; Settings'!$E$35:$E$70,'Rates &amp; Settings'!$B$35:$B$70,E77,'Rates &amp; Settings'!$C$35:$C$70,"&lt;="&amp;Q77,'Rates &amp; Settings'!$D$35:$D$70,"&gt;="&amp;Q77))))</f>
        <v/>
      </c>
      <c r="Y77" s="21"/>
      <c r="Z77" s="22" t="str">
        <f aca="false">IF(B77="","",IFERROR(IF(OR(INDEX('Rates &amp; Settings'!$H$75:$H$96,MATCH(E77,'Rates &amp; Settings'!$B$75:$B$96,0))="All",ISNUMBER(SEARCH(","&amp;MONTH('Rates &amp; Settings'!$C$6)&amp;",",","&amp;INDEX('Rates &amp; Settings'!$H$75:$H$96,MATCH(E77,'Rates &amp; Settings'!$B$75:$B$96,0))&amp;","))),IF(INDEX('Rates &amp; Settings'!$C$75:$C$96,MATCH(E77,'Rates &amp; Settings'!$B$75:$B$96,0))="Percent",MIN(ROUND(Q77*INDEX('Rates &amp; Settings'!$D$75:$D$96,MATCH(E77,'Rates &amp; Settings'!$B$75:$B$96,0)),0),INDEX('Rates &amp; Settings'!$F$75:$F$96,MATCH(E77,'Rates &amp; Settings'!$B$75:$B$96,0))),INDEX('Rates &amp; Settings'!$D$75:$D$96,MATCH(E77,'Rates &amp; Settings'!$B$75:$B$96,0))),0),0))</f>
        <v/>
      </c>
      <c r="AA77" s="22" t="str">
        <f aca="false">IF(B77="","",ROUND(AN77/12,0))</f>
        <v/>
      </c>
      <c r="AB77" s="21"/>
      <c r="AC77" s="21"/>
      <c r="AD77" s="22" t="str">
        <f aca="false">IF(B77="","",U77+W77+X77+Z77+IF(AB77&lt;&gt;"",N(AB77),AA77)+N(AC77))</f>
        <v/>
      </c>
      <c r="AE77" s="23" t="str">
        <f aca="false">IF(B77="","",Q77-AD77)</f>
        <v/>
      </c>
      <c r="AF77" s="22" t="str">
        <f aca="false">IF(B77="","",ROUND(T77*'Rates &amp; Settings'!$C$10,0)-AG77)</f>
        <v/>
      </c>
      <c r="AG77" s="22" t="str">
        <f aca="false">IF(B77="","",IF(H77="Yes",ROUND(MIN(T77,'Rates &amp; Settings'!$C$8)*'Rates &amp; Settings'!$C$11,0),0))</f>
        <v/>
      </c>
      <c r="AH77" s="22" t="str">
        <f aca="false">IF(B77="","",ROUND(MIN(T77,'Rates &amp; Settings'!$C$8)*'Rates &amp; Settings'!$C$12,0))</f>
        <v/>
      </c>
      <c r="AI77" s="22" t="str">
        <f aca="false">IF(B77="","",ROUND(T77*'Rates &amp; Settings'!$C$13,0))</f>
        <v/>
      </c>
      <c r="AJ77" s="22" t="str">
        <f aca="false">IF(B77="","",IF(V77="Yes",ROUNDUP(Q77*'Rates &amp; Settings'!$C$16,0),0))</f>
        <v/>
      </c>
      <c r="AK77" s="22" t="str">
        <f aca="false">IF(B77="","",IFERROR(IF(Z77=0,0,IF(INDEX('Rates &amp; Settings'!$C$75:$C$96,MATCH(E77,'Rates &amp; Settings'!$B$75:$B$96,0))="Percent",MIN(Z77*INDEX('Rates &amp; Settings'!$E$75:$E$96,MATCH(E77,'Rates &amp; Settings'!$B$75:$B$96,0)),INDEX('Rates &amp; Settings'!$G$75:$G$96,MATCH(E77,'Rates &amp; Settings'!$B$75:$B$96,0))),INDEX('Rates &amp; Settings'!$E$75:$E$96,MATCH(E77,'Rates &amp; Settings'!$B$75:$B$96,0)))),0))</f>
        <v/>
      </c>
      <c r="AL77" s="22" t="str">
        <f aca="false">IF(B77="","",Q77+AF77+AG77+AH77+AI77+AJ77+AK77)</f>
        <v/>
      </c>
      <c r="AM77" s="22" t="str">
        <f aca="false">IF(B77="","",MAX(0,P77*12-'Rates &amp; Settings'!$C$18))</f>
        <v/>
      </c>
      <c r="AN77" s="22" t="str">
        <f aca="false">IF(B77="","",IF(AM77&lt;='Rates &amp; Settings'!$C$19,0,MIN(SUMPRODUCT(--(AM77&gt;'Rates &amp; Settings'!$B$24:$B$30),AM77-'Rates &amp; Settings'!$B$24:$B$30,'Rates &amp; Settings'!$D$24:$D$30),AM77-'Rates &amp; Settings'!$C$19))*(1+'Rates &amp; Settings'!$C$20))</f>
        <v/>
      </c>
    </row>
    <row r="78" customFormat="false" ht="15" hidden="false" customHeight="false" outlineLevel="0" collapsed="false">
      <c r="B78" s="5"/>
      <c r="C78" s="5"/>
      <c r="D78" s="5"/>
      <c r="E78" s="5"/>
      <c r="F78" s="5"/>
      <c r="G78" s="5"/>
      <c r="H78" s="5"/>
      <c r="I78" s="20"/>
      <c r="J78" s="21"/>
      <c r="K78" s="21"/>
      <c r="L78" s="21"/>
      <c r="M78" s="21"/>
      <c r="N78" s="21"/>
      <c r="O78" s="21"/>
      <c r="P78" s="22" t="str">
        <f aca="false">IF(B78="","",SUM(J78:O78))</f>
        <v/>
      </c>
      <c r="Q78" s="22" t="str">
        <f aca="false">IF(B78="","",ROUND(P78*N(I78)/'Rates &amp; Settings'!$C$7,0))</f>
        <v/>
      </c>
      <c r="R78" s="22" t="str">
        <f aca="false">IF(B78="","",ROUND((N(J78)+N(K78))*N(I78)/'Rates &amp; Settings'!$C$7,0))</f>
        <v/>
      </c>
      <c r="S78" s="22" t="str">
        <f aca="false">IF(B78="","",IF('Rates &amp; Settings'!$C$14="Yes",MAX(R78,ROUND(Q78*0.5,0)),R78))</f>
        <v/>
      </c>
      <c r="T78" s="22" t="str">
        <f aca="false">IF(B78="","",IF(F78="Yes",IF(G78="Yes",MIN(S78,'Rates &amp; Settings'!$C$8),S78),0))</f>
        <v/>
      </c>
      <c r="U78" s="22" t="str">
        <f aca="false">IF(B78="","",ROUND(T78*'Rates &amp; Settings'!$C$9,0))</f>
        <v/>
      </c>
      <c r="V78" s="7" t="str">
        <f aca="false">IF(B78="","",IF(P78&lt;='Rates &amp; Settings'!$C$17,"Yes","No"))</f>
        <v/>
      </c>
      <c r="W78" s="22" t="str">
        <f aca="false">IF(B78="","",IF(V78="Yes",ROUNDUP(Q78*'Rates &amp; Settings'!$C$15,0),0))</f>
        <v/>
      </c>
      <c r="X78" s="22" t="str">
        <f aca="false">IF(B78="","",IF(Y78&lt;&gt;"",N(Y78),IF(MONTH('Rates &amp; Settings'!$C$6)=2,SUMIFS('Rates &amp; Settings'!$F$35:$F$70,'Rates &amp; Settings'!$B$35:$B$70,E78,'Rates &amp; Settings'!$C$35:$C$70,"&lt;="&amp;Q78,'Rates &amp; Settings'!$D$35:$D$70,"&gt;="&amp;Q78),SUMIFS('Rates &amp; Settings'!$E$35:$E$70,'Rates &amp; Settings'!$B$35:$B$70,E78,'Rates &amp; Settings'!$C$35:$C$70,"&lt;="&amp;Q78,'Rates &amp; Settings'!$D$35:$D$70,"&gt;="&amp;Q78))))</f>
        <v/>
      </c>
      <c r="Y78" s="21"/>
      <c r="Z78" s="22" t="str">
        <f aca="false">IF(B78="","",IFERROR(IF(OR(INDEX('Rates &amp; Settings'!$H$75:$H$96,MATCH(E78,'Rates &amp; Settings'!$B$75:$B$96,0))="All",ISNUMBER(SEARCH(","&amp;MONTH('Rates &amp; Settings'!$C$6)&amp;",",","&amp;INDEX('Rates &amp; Settings'!$H$75:$H$96,MATCH(E78,'Rates &amp; Settings'!$B$75:$B$96,0))&amp;","))),IF(INDEX('Rates &amp; Settings'!$C$75:$C$96,MATCH(E78,'Rates &amp; Settings'!$B$75:$B$96,0))="Percent",MIN(ROUND(Q78*INDEX('Rates &amp; Settings'!$D$75:$D$96,MATCH(E78,'Rates &amp; Settings'!$B$75:$B$96,0)),0),INDEX('Rates &amp; Settings'!$F$75:$F$96,MATCH(E78,'Rates &amp; Settings'!$B$75:$B$96,0))),INDEX('Rates &amp; Settings'!$D$75:$D$96,MATCH(E78,'Rates &amp; Settings'!$B$75:$B$96,0))),0),0))</f>
        <v/>
      </c>
      <c r="AA78" s="22" t="str">
        <f aca="false">IF(B78="","",ROUND(AN78/12,0))</f>
        <v/>
      </c>
      <c r="AB78" s="21"/>
      <c r="AC78" s="21"/>
      <c r="AD78" s="22" t="str">
        <f aca="false">IF(B78="","",U78+W78+X78+Z78+IF(AB78&lt;&gt;"",N(AB78),AA78)+N(AC78))</f>
        <v/>
      </c>
      <c r="AE78" s="23" t="str">
        <f aca="false">IF(B78="","",Q78-AD78)</f>
        <v/>
      </c>
      <c r="AF78" s="22" t="str">
        <f aca="false">IF(B78="","",ROUND(T78*'Rates &amp; Settings'!$C$10,0)-AG78)</f>
        <v/>
      </c>
      <c r="AG78" s="22" t="str">
        <f aca="false">IF(B78="","",IF(H78="Yes",ROUND(MIN(T78,'Rates &amp; Settings'!$C$8)*'Rates &amp; Settings'!$C$11,0),0))</f>
        <v/>
      </c>
      <c r="AH78" s="22" t="str">
        <f aca="false">IF(B78="","",ROUND(MIN(T78,'Rates &amp; Settings'!$C$8)*'Rates &amp; Settings'!$C$12,0))</f>
        <v/>
      </c>
      <c r="AI78" s="22" t="str">
        <f aca="false">IF(B78="","",ROUND(T78*'Rates &amp; Settings'!$C$13,0))</f>
        <v/>
      </c>
      <c r="AJ78" s="22" t="str">
        <f aca="false">IF(B78="","",IF(V78="Yes",ROUNDUP(Q78*'Rates &amp; Settings'!$C$16,0),0))</f>
        <v/>
      </c>
      <c r="AK78" s="22" t="str">
        <f aca="false">IF(B78="","",IFERROR(IF(Z78=0,0,IF(INDEX('Rates &amp; Settings'!$C$75:$C$96,MATCH(E78,'Rates &amp; Settings'!$B$75:$B$96,0))="Percent",MIN(Z78*INDEX('Rates &amp; Settings'!$E$75:$E$96,MATCH(E78,'Rates &amp; Settings'!$B$75:$B$96,0)),INDEX('Rates &amp; Settings'!$G$75:$G$96,MATCH(E78,'Rates &amp; Settings'!$B$75:$B$96,0))),INDEX('Rates &amp; Settings'!$E$75:$E$96,MATCH(E78,'Rates &amp; Settings'!$B$75:$B$96,0)))),0))</f>
        <v/>
      </c>
      <c r="AL78" s="22" t="str">
        <f aca="false">IF(B78="","",Q78+AF78+AG78+AH78+AI78+AJ78+AK78)</f>
        <v/>
      </c>
      <c r="AM78" s="22" t="str">
        <f aca="false">IF(B78="","",MAX(0,P78*12-'Rates &amp; Settings'!$C$18))</f>
        <v/>
      </c>
      <c r="AN78" s="22" t="str">
        <f aca="false">IF(B78="","",IF(AM78&lt;='Rates &amp; Settings'!$C$19,0,MIN(SUMPRODUCT(--(AM78&gt;'Rates &amp; Settings'!$B$24:$B$30),AM78-'Rates &amp; Settings'!$B$24:$B$30,'Rates &amp; Settings'!$D$24:$D$30),AM78-'Rates &amp; Settings'!$C$19))*(1+'Rates &amp; Settings'!$C$20))</f>
        <v/>
      </c>
    </row>
    <row r="79" customFormat="false" ht="15" hidden="false" customHeight="false" outlineLevel="0" collapsed="false">
      <c r="B79" s="5"/>
      <c r="C79" s="5"/>
      <c r="D79" s="5"/>
      <c r="E79" s="5"/>
      <c r="F79" s="5"/>
      <c r="G79" s="5"/>
      <c r="H79" s="5"/>
      <c r="I79" s="20"/>
      <c r="J79" s="21"/>
      <c r="K79" s="21"/>
      <c r="L79" s="21"/>
      <c r="M79" s="21"/>
      <c r="N79" s="21"/>
      <c r="O79" s="21"/>
      <c r="P79" s="22" t="str">
        <f aca="false">IF(B79="","",SUM(J79:O79))</f>
        <v/>
      </c>
      <c r="Q79" s="22" t="str">
        <f aca="false">IF(B79="","",ROUND(P79*N(I79)/'Rates &amp; Settings'!$C$7,0))</f>
        <v/>
      </c>
      <c r="R79" s="22" t="str">
        <f aca="false">IF(B79="","",ROUND((N(J79)+N(K79))*N(I79)/'Rates &amp; Settings'!$C$7,0))</f>
        <v/>
      </c>
      <c r="S79" s="22" t="str">
        <f aca="false">IF(B79="","",IF('Rates &amp; Settings'!$C$14="Yes",MAX(R79,ROUND(Q79*0.5,0)),R79))</f>
        <v/>
      </c>
      <c r="T79" s="22" t="str">
        <f aca="false">IF(B79="","",IF(F79="Yes",IF(G79="Yes",MIN(S79,'Rates &amp; Settings'!$C$8),S79),0))</f>
        <v/>
      </c>
      <c r="U79" s="22" t="str">
        <f aca="false">IF(B79="","",ROUND(T79*'Rates &amp; Settings'!$C$9,0))</f>
        <v/>
      </c>
      <c r="V79" s="7" t="str">
        <f aca="false">IF(B79="","",IF(P79&lt;='Rates &amp; Settings'!$C$17,"Yes","No"))</f>
        <v/>
      </c>
      <c r="W79" s="22" t="str">
        <f aca="false">IF(B79="","",IF(V79="Yes",ROUNDUP(Q79*'Rates &amp; Settings'!$C$15,0),0))</f>
        <v/>
      </c>
      <c r="X79" s="22" t="str">
        <f aca="false">IF(B79="","",IF(Y79&lt;&gt;"",N(Y79),IF(MONTH('Rates &amp; Settings'!$C$6)=2,SUMIFS('Rates &amp; Settings'!$F$35:$F$70,'Rates &amp; Settings'!$B$35:$B$70,E79,'Rates &amp; Settings'!$C$35:$C$70,"&lt;="&amp;Q79,'Rates &amp; Settings'!$D$35:$D$70,"&gt;="&amp;Q79),SUMIFS('Rates &amp; Settings'!$E$35:$E$70,'Rates &amp; Settings'!$B$35:$B$70,E79,'Rates &amp; Settings'!$C$35:$C$70,"&lt;="&amp;Q79,'Rates &amp; Settings'!$D$35:$D$70,"&gt;="&amp;Q79))))</f>
        <v/>
      </c>
      <c r="Y79" s="21"/>
      <c r="Z79" s="22" t="str">
        <f aca="false">IF(B79="","",IFERROR(IF(OR(INDEX('Rates &amp; Settings'!$H$75:$H$96,MATCH(E79,'Rates &amp; Settings'!$B$75:$B$96,0))="All",ISNUMBER(SEARCH(","&amp;MONTH('Rates &amp; Settings'!$C$6)&amp;",",","&amp;INDEX('Rates &amp; Settings'!$H$75:$H$96,MATCH(E79,'Rates &amp; Settings'!$B$75:$B$96,0))&amp;","))),IF(INDEX('Rates &amp; Settings'!$C$75:$C$96,MATCH(E79,'Rates &amp; Settings'!$B$75:$B$96,0))="Percent",MIN(ROUND(Q79*INDEX('Rates &amp; Settings'!$D$75:$D$96,MATCH(E79,'Rates &amp; Settings'!$B$75:$B$96,0)),0),INDEX('Rates &amp; Settings'!$F$75:$F$96,MATCH(E79,'Rates &amp; Settings'!$B$75:$B$96,0))),INDEX('Rates &amp; Settings'!$D$75:$D$96,MATCH(E79,'Rates &amp; Settings'!$B$75:$B$96,0))),0),0))</f>
        <v/>
      </c>
      <c r="AA79" s="22" t="str">
        <f aca="false">IF(B79="","",ROUND(AN79/12,0))</f>
        <v/>
      </c>
      <c r="AB79" s="21"/>
      <c r="AC79" s="21"/>
      <c r="AD79" s="22" t="str">
        <f aca="false">IF(B79="","",U79+W79+X79+Z79+IF(AB79&lt;&gt;"",N(AB79),AA79)+N(AC79))</f>
        <v/>
      </c>
      <c r="AE79" s="23" t="str">
        <f aca="false">IF(B79="","",Q79-AD79)</f>
        <v/>
      </c>
      <c r="AF79" s="22" t="str">
        <f aca="false">IF(B79="","",ROUND(T79*'Rates &amp; Settings'!$C$10,0)-AG79)</f>
        <v/>
      </c>
      <c r="AG79" s="22" t="str">
        <f aca="false">IF(B79="","",IF(H79="Yes",ROUND(MIN(T79,'Rates &amp; Settings'!$C$8)*'Rates &amp; Settings'!$C$11,0),0))</f>
        <v/>
      </c>
      <c r="AH79" s="22" t="str">
        <f aca="false">IF(B79="","",ROUND(MIN(T79,'Rates &amp; Settings'!$C$8)*'Rates &amp; Settings'!$C$12,0))</f>
        <v/>
      </c>
      <c r="AI79" s="22" t="str">
        <f aca="false">IF(B79="","",ROUND(T79*'Rates &amp; Settings'!$C$13,0))</f>
        <v/>
      </c>
      <c r="AJ79" s="22" t="str">
        <f aca="false">IF(B79="","",IF(V79="Yes",ROUNDUP(Q79*'Rates &amp; Settings'!$C$16,0),0))</f>
        <v/>
      </c>
      <c r="AK79" s="22" t="str">
        <f aca="false">IF(B79="","",IFERROR(IF(Z79=0,0,IF(INDEX('Rates &amp; Settings'!$C$75:$C$96,MATCH(E79,'Rates &amp; Settings'!$B$75:$B$96,0))="Percent",MIN(Z79*INDEX('Rates &amp; Settings'!$E$75:$E$96,MATCH(E79,'Rates &amp; Settings'!$B$75:$B$96,0)),INDEX('Rates &amp; Settings'!$G$75:$G$96,MATCH(E79,'Rates &amp; Settings'!$B$75:$B$96,0))),INDEX('Rates &amp; Settings'!$E$75:$E$96,MATCH(E79,'Rates &amp; Settings'!$B$75:$B$96,0)))),0))</f>
        <v/>
      </c>
      <c r="AL79" s="22" t="str">
        <f aca="false">IF(B79="","",Q79+AF79+AG79+AH79+AI79+AJ79+AK79)</f>
        <v/>
      </c>
      <c r="AM79" s="22" t="str">
        <f aca="false">IF(B79="","",MAX(0,P79*12-'Rates &amp; Settings'!$C$18))</f>
        <v/>
      </c>
      <c r="AN79" s="22" t="str">
        <f aca="false">IF(B79="","",IF(AM79&lt;='Rates &amp; Settings'!$C$19,0,MIN(SUMPRODUCT(--(AM79&gt;'Rates &amp; Settings'!$B$24:$B$30),AM79-'Rates &amp; Settings'!$B$24:$B$30,'Rates &amp; Settings'!$D$24:$D$30),AM79-'Rates &amp; Settings'!$C$19))*(1+'Rates &amp; Settings'!$C$20))</f>
        <v/>
      </c>
    </row>
    <row r="80" customFormat="false" ht="15" hidden="false" customHeight="false" outlineLevel="0" collapsed="false">
      <c r="B80" s="5"/>
      <c r="C80" s="5"/>
      <c r="D80" s="5"/>
      <c r="E80" s="5"/>
      <c r="F80" s="5"/>
      <c r="G80" s="5"/>
      <c r="H80" s="5"/>
      <c r="I80" s="20"/>
      <c r="J80" s="21"/>
      <c r="K80" s="21"/>
      <c r="L80" s="21"/>
      <c r="M80" s="21"/>
      <c r="N80" s="21"/>
      <c r="O80" s="21"/>
      <c r="P80" s="22" t="str">
        <f aca="false">IF(B80="","",SUM(J80:O80))</f>
        <v/>
      </c>
      <c r="Q80" s="22" t="str">
        <f aca="false">IF(B80="","",ROUND(P80*N(I80)/'Rates &amp; Settings'!$C$7,0))</f>
        <v/>
      </c>
      <c r="R80" s="22" t="str">
        <f aca="false">IF(B80="","",ROUND((N(J80)+N(K80))*N(I80)/'Rates &amp; Settings'!$C$7,0))</f>
        <v/>
      </c>
      <c r="S80" s="22" t="str">
        <f aca="false">IF(B80="","",IF('Rates &amp; Settings'!$C$14="Yes",MAX(R80,ROUND(Q80*0.5,0)),R80))</f>
        <v/>
      </c>
      <c r="T80" s="22" t="str">
        <f aca="false">IF(B80="","",IF(F80="Yes",IF(G80="Yes",MIN(S80,'Rates &amp; Settings'!$C$8),S80),0))</f>
        <v/>
      </c>
      <c r="U80" s="22" t="str">
        <f aca="false">IF(B80="","",ROUND(T80*'Rates &amp; Settings'!$C$9,0))</f>
        <v/>
      </c>
      <c r="V80" s="7" t="str">
        <f aca="false">IF(B80="","",IF(P80&lt;='Rates &amp; Settings'!$C$17,"Yes","No"))</f>
        <v/>
      </c>
      <c r="W80" s="22" t="str">
        <f aca="false">IF(B80="","",IF(V80="Yes",ROUNDUP(Q80*'Rates &amp; Settings'!$C$15,0),0))</f>
        <v/>
      </c>
      <c r="X80" s="22" t="str">
        <f aca="false">IF(B80="","",IF(Y80&lt;&gt;"",N(Y80),IF(MONTH('Rates &amp; Settings'!$C$6)=2,SUMIFS('Rates &amp; Settings'!$F$35:$F$70,'Rates &amp; Settings'!$B$35:$B$70,E80,'Rates &amp; Settings'!$C$35:$C$70,"&lt;="&amp;Q80,'Rates &amp; Settings'!$D$35:$D$70,"&gt;="&amp;Q80),SUMIFS('Rates &amp; Settings'!$E$35:$E$70,'Rates &amp; Settings'!$B$35:$B$70,E80,'Rates &amp; Settings'!$C$35:$C$70,"&lt;="&amp;Q80,'Rates &amp; Settings'!$D$35:$D$70,"&gt;="&amp;Q80))))</f>
        <v/>
      </c>
      <c r="Y80" s="21"/>
      <c r="Z80" s="22" t="str">
        <f aca="false">IF(B80="","",IFERROR(IF(OR(INDEX('Rates &amp; Settings'!$H$75:$H$96,MATCH(E80,'Rates &amp; Settings'!$B$75:$B$96,0))="All",ISNUMBER(SEARCH(","&amp;MONTH('Rates &amp; Settings'!$C$6)&amp;",",","&amp;INDEX('Rates &amp; Settings'!$H$75:$H$96,MATCH(E80,'Rates &amp; Settings'!$B$75:$B$96,0))&amp;","))),IF(INDEX('Rates &amp; Settings'!$C$75:$C$96,MATCH(E80,'Rates &amp; Settings'!$B$75:$B$96,0))="Percent",MIN(ROUND(Q80*INDEX('Rates &amp; Settings'!$D$75:$D$96,MATCH(E80,'Rates &amp; Settings'!$B$75:$B$96,0)),0),INDEX('Rates &amp; Settings'!$F$75:$F$96,MATCH(E80,'Rates &amp; Settings'!$B$75:$B$96,0))),INDEX('Rates &amp; Settings'!$D$75:$D$96,MATCH(E80,'Rates &amp; Settings'!$B$75:$B$96,0))),0),0))</f>
        <v/>
      </c>
      <c r="AA80" s="22" t="str">
        <f aca="false">IF(B80="","",ROUND(AN80/12,0))</f>
        <v/>
      </c>
      <c r="AB80" s="21"/>
      <c r="AC80" s="21"/>
      <c r="AD80" s="22" t="str">
        <f aca="false">IF(B80="","",U80+W80+X80+Z80+IF(AB80&lt;&gt;"",N(AB80),AA80)+N(AC80))</f>
        <v/>
      </c>
      <c r="AE80" s="23" t="str">
        <f aca="false">IF(B80="","",Q80-AD80)</f>
        <v/>
      </c>
      <c r="AF80" s="22" t="str">
        <f aca="false">IF(B80="","",ROUND(T80*'Rates &amp; Settings'!$C$10,0)-AG80)</f>
        <v/>
      </c>
      <c r="AG80" s="22" t="str">
        <f aca="false">IF(B80="","",IF(H80="Yes",ROUND(MIN(T80,'Rates &amp; Settings'!$C$8)*'Rates &amp; Settings'!$C$11,0),0))</f>
        <v/>
      </c>
      <c r="AH80" s="22" t="str">
        <f aca="false">IF(B80="","",ROUND(MIN(T80,'Rates &amp; Settings'!$C$8)*'Rates &amp; Settings'!$C$12,0))</f>
        <v/>
      </c>
      <c r="AI80" s="22" t="str">
        <f aca="false">IF(B80="","",ROUND(T80*'Rates &amp; Settings'!$C$13,0))</f>
        <v/>
      </c>
      <c r="AJ80" s="22" t="str">
        <f aca="false">IF(B80="","",IF(V80="Yes",ROUNDUP(Q80*'Rates &amp; Settings'!$C$16,0),0))</f>
        <v/>
      </c>
      <c r="AK80" s="22" t="str">
        <f aca="false">IF(B80="","",IFERROR(IF(Z80=0,0,IF(INDEX('Rates &amp; Settings'!$C$75:$C$96,MATCH(E80,'Rates &amp; Settings'!$B$75:$B$96,0))="Percent",MIN(Z80*INDEX('Rates &amp; Settings'!$E$75:$E$96,MATCH(E80,'Rates &amp; Settings'!$B$75:$B$96,0)),INDEX('Rates &amp; Settings'!$G$75:$G$96,MATCH(E80,'Rates &amp; Settings'!$B$75:$B$96,0))),INDEX('Rates &amp; Settings'!$E$75:$E$96,MATCH(E80,'Rates &amp; Settings'!$B$75:$B$96,0)))),0))</f>
        <v/>
      </c>
      <c r="AL80" s="22" t="str">
        <f aca="false">IF(B80="","",Q80+AF80+AG80+AH80+AI80+AJ80+AK80)</f>
        <v/>
      </c>
      <c r="AM80" s="22" t="str">
        <f aca="false">IF(B80="","",MAX(0,P80*12-'Rates &amp; Settings'!$C$18))</f>
        <v/>
      </c>
      <c r="AN80" s="22" t="str">
        <f aca="false">IF(B80="","",IF(AM80&lt;='Rates &amp; Settings'!$C$19,0,MIN(SUMPRODUCT(--(AM80&gt;'Rates &amp; Settings'!$B$24:$B$30),AM80-'Rates &amp; Settings'!$B$24:$B$30,'Rates &amp; Settings'!$D$24:$D$30),AM80-'Rates &amp; Settings'!$C$19))*(1+'Rates &amp; Settings'!$C$20))</f>
        <v/>
      </c>
    </row>
    <row r="81" customFormat="false" ht="15" hidden="false" customHeight="false" outlineLevel="0" collapsed="false">
      <c r="B81" s="5"/>
      <c r="C81" s="5"/>
      <c r="D81" s="5"/>
      <c r="E81" s="5"/>
      <c r="F81" s="5"/>
      <c r="G81" s="5"/>
      <c r="H81" s="5"/>
      <c r="I81" s="20"/>
      <c r="J81" s="21"/>
      <c r="K81" s="21"/>
      <c r="L81" s="21"/>
      <c r="M81" s="21"/>
      <c r="N81" s="21"/>
      <c r="O81" s="21"/>
      <c r="P81" s="22" t="str">
        <f aca="false">IF(B81="","",SUM(J81:O81))</f>
        <v/>
      </c>
      <c r="Q81" s="22" t="str">
        <f aca="false">IF(B81="","",ROUND(P81*N(I81)/'Rates &amp; Settings'!$C$7,0))</f>
        <v/>
      </c>
      <c r="R81" s="22" t="str">
        <f aca="false">IF(B81="","",ROUND((N(J81)+N(K81))*N(I81)/'Rates &amp; Settings'!$C$7,0))</f>
        <v/>
      </c>
      <c r="S81" s="22" t="str">
        <f aca="false">IF(B81="","",IF('Rates &amp; Settings'!$C$14="Yes",MAX(R81,ROUND(Q81*0.5,0)),R81))</f>
        <v/>
      </c>
      <c r="T81" s="22" t="str">
        <f aca="false">IF(B81="","",IF(F81="Yes",IF(G81="Yes",MIN(S81,'Rates &amp; Settings'!$C$8),S81),0))</f>
        <v/>
      </c>
      <c r="U81" s="22" t="str">
        <f aca="false">IF(B81="","",ROUND(T81*'Rates &amp; Settings'!$C$9,0))</f>
        <v/>
      </c>
      <c r="V81" s="7" t="str">
        <f aca="false">IF(B81="","",IF(P81&lt;='Rates &amp; Settings'!$C$17,"Yes","No"))</f>
        <v/>
      </c>
      <c r="W81" s="22" t="str">
        <f aca="false">IF(B81="","",IF(V81="Yes",ROUNDUP(Q81*'Rates &amp; Settings'!$C$15,0),0))</f>
        <v/>
      </c>
      <c r="X81" s="22" t="str">
        <f aca="false">IF(B81="","",IF(Y81&lt;&gt;"",N(Y81),IF(MONTH('Rates &amp; Settings'!$C$6)=2,SUMIFS('Rates &amp; Settings'!$F$35:$F$70,'Rates &amp; Settings'!$B$35:$B$70,E81,'Rates &amp; Settings'!$C$35:$C$70,"&lt;="&amp;Q81,'Rates &amp; Settings'!$D$35:$D$70,"&gt;="&amp;Q81),SUMIFS('Rates &amp; Settings'!$E$35:$E$70,'Rates &amp; Settings'!$B$35:$B$70,E81,'Rates &amp; Settings'!$C$35:$C$70,"&lt;="&amp;Q81,'Rates &amp; Settings'!$D$35:$D$70,"&gt;="&amp;Q81))))</f>
        <v/>
      </c>
      <c r="Y81" s="21"/>
      <c r="Z81" s="22" t="str">
        <f aca="false">IF(B81="","",IFERROR(IF(OR(INDEX('Rates &amp; Settings'!$H$75:$H$96,MATCH(E81,'Rates &amp; Settings'!$B$75:$B$96,0))="All",ISNUMBER(SEARCH(","&amp;MONTH('Rates &amp; Settings'!$C$6)&amp;",",","&amp;INDEX('Rates &amp; Settings'!$H$75:$H$96,MATCH(E81,'Rates &amp; Settings'!$B$75:$B$96,0))&amp;","))),IF(INDEX('Rates &amp; Settings'!$C$75:$C$96,MATCH(E81,'Rates &amp; Settings'!$B$75:$B$96,0))="Percent",MIN(ROUND(Q81*INDEX('Rates &amp; Settings'!$D$75:$D$96,MATCH(E81,'Rates &amp; Settings'!$B$75:$B$96,0)),0),INDEX('Rates &amp; Settings'!$F$75:$F$96,MATCH(E81,'Rates &amp; Settings'!$B$75:$B$96,0))),INDEX('Rates &amp; Settings'!$D$75:$D$96,MATCH(E81,'Rates &amp; Settings'!$B$75:$B$96,0))),0),0))</f>
        <v/>
      </c>
      <c r="AA81" s="22" t="str">
        <f aca="false">IF(B81="","",ROUND(AN81/12,0))</f>
        <v/>
      </c>
      <c r="AB81" s="21"/>
      <c r="AC81" s="21"/>
      <c r="AD81" s="22" t="str">
        <f aca="false">IF(B81="","",U81+W81+X81+Z81+IF(AB81&lt;&gt;"",N(AB81),AA81)+N(AC81))</f>
        <v/>
      </c>
      <c r="AE81" s="23" t="str">
        <f aca="false">IF(B81="","",Q81-AD81)</f>
        <v/>
      </c>
      <c r="AF81" s="22" t="str">
        <f aca="false">IF(B81="","",ROUND(T81*'Rates &amp; Settings'!$C$10,0)-AG81)</f>
        <v/>
      </c>
      <c r="AG81" s="22" t="str">
        <f aca="false">IF(B81="","",IF(H81="Yes",ROUND(MIN(T81,'Rates &amp; Settings'!$C$8)*'Rates &amp; Settings'!$C$11,0),0))</f>
        <v/>
      </c>
      <c r="AH81" s="22" t="str">
        <f aca="false">IF(B81="","",ROUND(MIN(T81,'Rates &amp; Settings'!$C$8)*'Rates &amp; Settings'!$C$12,0))</f>
        <v/>
      </c>
      <c r="AI81" s="22" t="str">
        <f aca="false">IF(B81="","",ROUND(T81*'Rates &amp; Settings'!$C$13,0))</f>
        <v/>
      </c>
      <c r="AJ81" s="22" t="str">
        <f aca="false">IF(B81="","",IF(V81="Yes",ROUNDUP(Q81*'Rates &amp; Settings'!$C$16,0),0))</f>
        <v/>
      </c>
      <c r="AK81" s="22" t="str">
        <f aca="false">IF(B81="","",IFERROR(IF(Z81=0,0,IF(INDEX('Rates &amp; Settings'!$C$75:$C$96,MATCH(E81,'Rates &amp; Settings'!$B$75:$B$96,0))="Percent",MIN(Z81*INDEX('Rates &amp; Settings'!$E$75:$E$96,MATCH(E81,'Rates &amp; Settings'!$B$75:$B$96,0)),INDEX('Rates &amp; Settings'!$G$75:$G$96,MATCH(E81,'Rates &amp; Settings'!$B$75:$B$96,0))),INDEX('Rates &amp; Settings'!$E$75:$E$96,MATCH(E81,'Rates &amp; Settings'!$B$75:$B$96,0)))),0))</f>
        <v/>
      </c>
      <c r="AL81" s="22" t="str">
        <f aca="false">IF(B81="","",Q81+AF81+AG81+AH81+AI81+AJ81+AK81)</f>
        <v/>
      </c>
      <c r="AM81" s="22" t="str">
        <f aca="false">IF(B81="","",MAX(0,P81*12-'Rates &amp; Settings'!$C$18))</f>
        <v/>
      </c>
      <c r="AN81" s="22" t="str">
        <f aca="false">IF(B81="","",IF(AM81&lt;='Rates &amp; Settings'!$C$19,0,MIN(SUMPRODUCT(--(AM81&gt;'Rates &amp; Settings'!$B$24:$B$30),AM81-'Rates &amp; Settings'!$B$24:$B$30,'Rates &amp; Settings'!$D$24:$D$30),AM81-'Rates &amp; Settings'!$C$19))*(1+'Rates &amp; Settings'!$C$20))</f>
        <v/>
      </c>
    </row>
    <row r="82" customFormat="false" ht="15" hidden="false" customHeight="false" outlineLevel="0" collapsed="false">
      <c r="B82" s="5"/>
      <c r="C82" s="5"/>
      <c r="D82" s="5"/>
      <c r="E82" s="5"/>
      <c r="F82" s="5"/>
      <c r="G82" s="5"/>
      <c r="H82" s="5"/>
      <c r="I82" s="20"/>
      <c r="J82" s="21"/>
      <c r="K82" s="21"/>
      <c r="L82" s="21"/>
      <c r="M82" s="21"/>
      <c r="N82" s="21"/>
      <c r="O82" s="21"/>
      <c r="P82" s="22" t="str">
        <f aca="false">IF(B82="","",SUM(J82:O82))</f>
        <v/>
      </c>
      <c r="Q82" s="22" t="str">
        <f aca="false">IF(B82="","",ROUND(P82*N(I82)/'Rates &amp; Settings'!$C$7,0))</f>
        <v/>
      </c>
      <c r="R82" s="22" t="str">
        <f aca="false">IF(B82="","",ROUND((N(J82)+N(K82))*N(I82)/'Rates &amp; Settings'!$C$7,0))</f>
        <v/>
      </c>
      <c r="S82" s="22" t="str">
        <f aca="false">IF(B82="","",IF('Rates &amp; Settings'!$C$14="Yes",MAX(R82,ROUND(Q82*0.5,0)),R82))</f>
        <v/>
      </c>
      <c r="T82" s="22" t="str">
        <f aca="false">IF(B82="","",IF(F82="Yes",IF(G82="Yes",MIN(S82,'Rates &amp; Settings'!$C$8),S82),0))</f>
        <v/>
      </c>
      <c r="U82" s="22" t="str">
        <f aca="false">IF(B82="","",ROUND(T82*'Rates &amp; Settings'!$C$9,0))</f>
        <v/>
      </c>
      <c r="V82" s="7" t="str">
        <f aca="false">IF(B82="","",IF(P82&lt;='Rates &amp; Settings'!$C$17,"Yes","No"))</f>
        <v/>
      </c>
      <c r="W82" s="22" t="str">
        <f aca="false">IF(B82="","",IF(V82="Yes",ROUNDUP(Q82*'Rates &amp; Settings'!$C$15,0),0))</f>
        <v/>
      </c>
      <c r="X82" s="22" t="str">
        <f aca="false">IF(B82="","",IF(Y82&lt;&gt;"",N(Y82),IF(MONTH('Rates &amp; Settings'!$C$6)=2,SUMIFS('Rates &amp; Settings'!$F$35:$F$70,'Rates &amp; Settings'!$B$35:$B$70,E82,'Rates &amp; Settings'!$C$35:$C$70,"&lt;="&amp;Q82,'Rates &amp; Settings'!$D$35:$D$70,"&gt;="&amp;Q82),SUMIFS('Rates &amp; Settings'!$E$35:$E$70,'Rates &amp; Settings'!$B$35:$B$70,E82,'Rates &amp; Settings'!$C$35:$C$70,"&lt;="&amp;Q82,'Rates &amp; Settings'!$D$35:$D$70,"&gt;="&amp;Q82))))</f>
        <v/>
      </c>
      <c r="Y82" s="21"/>
      <c r="Z82" s="22" t="str">
        <f aca="false">IF(B82="","",IFERROR(IF(OR(INDEX('Rates &amp; Settings'!$H$75:$H$96,MATCH(E82,'Rates &amp; Settings'!$B$75:$B$96,0))="All",ISNUMBER(SEARCH(","&amp;MONTH('Rates &amp; Settings'!$C$6)&amp;",",","&amp;INDEX('Rates &amp; Settings'!$H$75:$H$96,MATCH(E82,'Rates &amp; Settings'!$B$75:$B$96,0))&amp;","))),IF(INDEX('Rates &amp; Settings'!$C$75:$C$96,MATCH(E82,'Rates &amp; Settings'!$B$75:$B$96,0))="Percent",MIN(ROUND(Q82*INDEX('Rates &amp; Settings'!$D$75:$D$96,MATCH(E82,'Rates &amp; Settings'!$B$75:$B$96,0)),0),INDEX('Rates &amp; Settings'!$F$75:$F$96,MATCH(E82,'Rates &amp; Settings'!$B$75:$B$96,0))),INDEX('Rates &amp; Settings'!$D$75:$D$96,MATCH(E82,'Rates &amp; Settings'!$B$75:$B$96,0))),0),0))</f>
        <v/>
      </c>
      <c r="AA82" s="22" t="str">
        <f aca="false">IF(B82="","",ROUND(AN82/12,0))</f>
        <v/>
      </c>
      <c r="AB82" s="21"/>
      <c r="AC82" s="21"/>
      <c r="AD82" s="22" t="str">
        <f aca="false">IF(B82="","",U82+W82+X82+Z82+IF(AB82&lt;&gt;"",N(AB82),AA82)+N(AC82))</f>
        <v/>
      </c>
      <c r="AE82" s="23" t="str">
        <f aca="false">IF(B82="","",Q82-AD82)</f>
        <v/>
      </c>
      <c r="AF82" s="22" t="str">
        <f aca="false">IF(B82="","",ROUND(T82*'Rates &amp; Settings'!$C$10,0)-AG82)</f>
        <v/>
      </c>
      <c r="AG82" s="22" t="str">
        <f aca="false">IF(B82="","",IF(H82="Yes",ROUND(MIN(T82,'Rates &amp; Settings'!$C$8)*'Rates &amp; Settings'!$C$11,0),0))</f>
        <v/>
      </c>
      <c r="AH82" s="22" t="str">
        <f aca="false">IF(B82="","",ROUND(MIN(T82,'Rates &amp; Settings'!$C$8)*'Rates &amp; Settings'!$C$12,0))</f>
        <v/>
      </c>
      <c r="AI82" s="22" t="str">
        <f aca="false">IF(B82="","",ROUND(T82*'Rates &amp; Settings'!$C$13,0))</f>
        <v/>
      </c>
      <c r="AJ82" s="22" t="str">
        <f aca="false">IF(B82="","",IF(V82="Yes",ROUNDUP(Q82*'Rates &amp; Settings'!$C$16,0),0))</f>
        <v/>
      </c>
      <c r="AK82" s="22" t="str">
        <f aca="false">IF(B82="","",IFERROR(IF(Z82=0,0,IF(INDEX('Rates &amp; Settings'!$C$75:$C$96,MATCH(E82,'Rates &amp; Settings'!$B$75:$B$96,0))="Percent",MIN(Z82*INDEX('Rates &amp; Settings'!$E$75:$E$96,MATCH(E82,'Rates &amp; Settings'!$B$75:$B$96,0)),INDEX('Rates &amp; Settings'!$G$75:$G$96,MATCH(E82,'Rates &amp; Settings'!$B$75:$B$96,0))),INDEX('Rates &amp; Settings'!$E$75:$E$96,MATCH(E82,'Rates &amp; Settings'!$B$75:$B$96,0)))),0))</f>
        <v/>
      </c>
      <c r="AL82" s="22" t="str">
        <f aca="false">IF(B82="","",Q82+AF82+AG82+AH82+AI82+AJ82+AK82)</f>
        <v/>
      </c>
      <c r="AM82" s="22" t="str">
        <f aca="false">IF(B82="","",MAX(0,P82*12-'Rates &amp; Settings'!$C$18))</f>
        <v/>
      </c>
      <c r="AN82" s="22" t="str">
        <f aca="false">IF(B82="","",IF(AM82&lt;='Rates &amp; Settings'!$C$19,0,MIN(SUMPRODUCT(--(AM82&gt;'Rates &amp; Settings'!$B$24:$B$30),AM82-'Rates &amp; Settings'!$B$24:$B$30,'Rates &amp; Settings'!$D$24:$D$30),AM82-'Rates &amp; Settings'!$C$19))*(1+'Rates &amp; Settings'!$C$20))</f>
        <v/>
      </c>
    </row>
    <row r="83" customFormat="false" ht="15" hidden="false" customHeight="false" outlineLevel="0" collapsed="false">
      <c r="B83" s="5"/>
      <c r="C83" s="5"/>
      <c r="D83" s="5"/>
      <c r="E83" s="5"/>
      <c r="F83" s="5"/>
      <c r="G83" s="5"/>
      <c r="H83" s="5"/>
      <c r="I83" s="20"/>
      <c r="J83" s="21"/>
      <c r="K83" s="21"/>
      <c r="L83" s="21"/>
      <c r="M83" s="21"/>
      <c r="N83" s="21"/>
      <c r="O83" s="21"/>
      <c r="P83" s="22" t="str">
        <f aca="false">IF(B83="","",SUM(J83:O83))</f>
        <v/>
      </c>
      <c r="Q83" s="22" t="str">
        <f aca="false">IF(B83="","",ROUND(P83*N(I83)/'Rates &amp; Settings'!$C$7,0))</f>
        <v/>
      </c>
      <c r="R83" s="22" t="str">
        <f aca="false">IF(B83="","",ROUND((N(J83)+N(K83))*N(I83)/'Rates &amp; Settings'!$C$7,0))</f>
        <v/>
      </c>
      <c r="S83" s="22" t="str">
        <f aca="false">IF(B83="","",IF('Rates &amp; Settings'!$C$14="Yes",MAX(R83,ROUND(Q83*0.5,0)),R83))</f>
        <v/>
      </c>
      <c r="T83" s="22" t="str">
        <f aca="false">IF(B83="","",IF(F83="Yes",IF(G83="Yes",MIN(S83,'Rates &amp; Settings'!$C$8),S83),0))</f>
        <v/>
      </c>
      <c r="U83" s="22" t="str">
        <f aca="false">IF(B83="","",ROUND(T83*'Rates &amp; Settings'!$C$9,0))</f>
        <v/>
      </c>
      <c r="V83" s="7" t="str">
        <f aca="false">IF(B83="","",IF(P83&lt;='Rates &amp; Settings'!$C$17,"Yes","No"))</f>
        <v/>
      </c>
      <c r="W83" s="22" t="str">
        <f aca="false">IF(B83="","",IF(V83="Yes",ROUNDUP(Q83*'Rates &amp; Settings'!$C$15,0),0))</f>
        <v/>
      </c>
      <c r="X83" s="22" t="str">
        <f aca="false">IF(B83="","",IF(Y83&lt;&gt;"",N(Y83),IF(MONTH('Rates &amp; Settings'!$C$6)=2,SUMIFS('Rates &amp; Settings'!$F$35:$F$70,'Rates &amp; Settings'!$B$35:$B$70,E83,'Rates &amp; Settings'!$C$35:$C$70,"&lt;="&amp;Q83,'Rates &amp; Settings'!$D$35:$D$70,"&gt;="&amp;Q83),SUMIFS('Rates &amp; Settings'!$E$35:$E$70,'Rates &amp; Settings'!$B$35:$B$70,E83,'Rates &amp; Settings'!$C$35:$C$70,"&lt;="&amp;Q83,'Rates &amp; Settings'!$D$35:$D$70,"&gt;="&amp;Q83))))</f>
        <v/>
      </c>
      <c r="Y83" s="21"/>
      <c r="Z83" s="22" t="str">
        <f aca="false">IF(B83="","",IFERROR(IF(OR(INDEX('Rates &amp; Settings'!$H$75:$H$96,MATCH(E83,'Rates &amp; Settings'!$B$75:$B$96,0))="All",ISNUMBER(SEARCH(","&amp;MONTH('Rates &amp; Settings'!$C$6)&amp;",",","&amp;INDEX('Rates &amp; Settings'!$H$75:$H$96,MATCH(E83,'Rates &amp; Settings'!$B$75:$B$96,0))&amp;","))),IF(INDEX('Rates &amp; Settings'!$C$75:$C$96,MATCH(E83,'Rates &amp; Settings'!$B$75:$B$96,0))="Percent",MIN(ROUND(Q83*INDEX('Rates &amp; Settings'!$D$75:$D$96,MATCH(E83,'Rates &amp; Settings'!$B$75:$B$96,0)),0),INDEX('Rates &amp; Settings'!$F$75:$F$96,MATCH(E83,'Rates &amp; Settings'!$B$75:$B$96,0))),INDEX('Rates &amp; Settings'!$D$75:$D$96,MATCH(E83,'Rates &amp; Settings'!$B$75:$B$96,0))),0),0))</f>
        <v/>
      </c>
      <c r="AA83" s="22" t="str">
        <f aca="false">IF(B83="","",ROUND(AN83/12,0))</f>
        <v/>
      </c>
      <c r="AB83" s="21"/>
      <c r="AC83" s="21"/>
      <c r="AD83" s="22" t="str">
        <f aca="false">IF(B83="","",U83+W83+X83+Z83+IF(AB83&lt;&gt;"",N(AB83),AA83)+N(AC83))</f>
        <v/>
      </c>
      <c r="AE83" s="23" t="str">
        <f aca="false">IF(B83="","",Q83-AD83)</f>
        <v/>
      </c>
      <c r="AF83" s="22" t="str">
        <f aca="false">IF(B83="","",ROUND(T83*'Rates &amp; Settings'!$C$10,0)-AG83)</f>
        <v/>
      </c>
      <c r="AG83" s="22" t="str">
        <f aca="false">IF(B83="","",IF(H83="Yes",ROUND(MIN(T83,'Rates &amp; Settings'!$C$8)*'Rates &amp; Settings'!$C$11,0),0))</f>
        <v/>
      </c>
      <c r="AH83" s="22" t="str">
        <f aca="false">IF(B83="","",ROUND(MIN(T83,'Rates &amp; Settings'!$C$8)*'Rates &amp; Settings'!$C$12,0))</f>
        <v/>
      </c>
      <c r="AI83" s="22" t="str">
        <f aca="false">IF(B83="","",ROUND(T83*'Rates &amp; Settings'!$C$13,0))</f>
        <v/>
      </c>
      <c r="AJ83" s="22" t="str">
        <f aca="false">IF(B83="","",IF(V83="Yes",ROUNDUP(Q83*'Rates &amp; Settings'!$C$16,0),0))</f>
        <v/>
      </c>
      <c r="AK83" s="22" t="str">
        <f aca="false">IF(B83="","",IFERROR(IF(Z83=0,0,IF(INDEX('Rates &amp; Settings'!$C$75:$C$96,MATCH(E83,'Rates &amp; Settings'!$B$75:$B$96,0))="Percent",MIN(Z83*INDEX('Rates &amp; Settings'!$E$75:$E$96,MATCH(E83,'Rates &amp; Settings'!$B$75:$B$96,0)),INDEX('Rates &amp; Settings'!$G$75:$G$96,MATCH(E83,'Rates &amp; Settings'!$B$75:$B$96,0))),INDEX('Rates &amp; Settings'!$E$75:$E$96,MATCH(E83,'Rates &amp; Settings'!$B$75:$B$96,0)))),0))</f>
        <v/>
      </c>
      <c r="AL83" s="22" t="str">
        <f aca="false">IF(B83="","",Q83+AF83+AG83+AH83+AI83+AJ83+AK83)</f>
        <v/>
      </c>
      <c r="AM83" s="22" t="str">
        <f aca="false">IF(B83="","",MAX(0,P83*12-'Rates &amp; Settings'!$C$18))</f>
        <v/>
      </c>
      <c r="AN83" s="22" t="str">
        <f aca="false">IF(B83="","",IF(AM83&lt;='Rates &amp; Settings'!$C$19,0,MIN(SUMPRODUCT(--(AM83&gt;'Rates &amp; Settings'!$B$24:$B$30),AM83-'Rates &amp; Settings'!$B$24:$B$30,'Rates &amp; Settings'!$D$24:$D$30),AM83-'Rates &amp; Settings'!$C$19))*(1+'Rates &amp; Settings'!$C$20))</f>
        <v/>
      </c>
    </row>
    <row r="84" customFormat="false" ht="15" hidden="false" customHeight="false" outlineLevel="0" collapsed="false">
      <c r="B84" s="5"/>
      <c r="C84" s="5"/>
      <c r="D84" s="5"/>
      <c r="E84" s="5"/>
      <c r="F84" s="5"/>
      <c r="G84" s="5"/>
      <c r="H84" s="5"/>
      <c r="I84" s="20"/>
      <c r="J84" s="21"/>
      <c r="K84" s="21"/>
      <c r="L84" s="21"/>
      <c r="M84" s="21"/>
      <c r="N84" s="21"/>
      <c r="O84" s="21"/>
      <c r="P84" s="22" t="str">
        <f aca="false">IF(B84="","",SUM(J84:O84))</f>
        <v/>
      </c>
      <c r="Q84" s="22" t="str">
        <f aca="false">IF(B84="","",ROUND(P84*N(I84)/'Rates &amp; Settings'!$C$7,0))</f>
        <v/>
      </c>
      <c r="R84" s="22" t="str">
        <f aca="false">IF(B84="","",ROUND((N(J84)+N(K84))*N(I84)/'Rates &amp; Settings'!$C$7,0))</f>
        <v/>
      </c>
      <c r="S84" s="22" t="str">
        <f aca="false">IF(B84="","",IF('Rates &amp; Settings'!$C$14="Yes",MAX(R84,ROUND(Q84*0.5,0)),R84))</f>
        <v/>
      </c>
      <c r="T84" s="22" t="str">
        <f aca="false">IF(B84="","",IF(F84="Yes",IF(G84="Yes",MIN(S84,'Rates &amp; Settings'!$C$8),S84),0))</f>
        <v/>
      </c>
      <c r="U84" s="22" t="str">
        <f aca="false">IF(B84="","",ROUND(T84*'Rates &amp; Settings'!$C$9,0))</f>
        <v/>
      </c>
      <c r="V84" s="7" t="str">
        <f aca="false">IF(B84="","",IF(P84&lt;='Rates &amp; Settings'!$C$17,"Yes","No"))</f>
        <v/>
      </c>
      <c r="W84" s="22" t="str">
        <f aca="false">IF(B84="","",IF(V84="Yes",ROUNDUP(Q84*'Rates &amp; Settings'!$C$15,0),0))</f>
        <v/>
      </c>
      <c r="X84" s="22" t="str">
        <f aca="false">IF(B84="","",IF(Y84&lt;&gt;"",N(Y84),IF(MONTH('Rates &amp; Settings'!$C$6)=2,SUMIFS('Rates &amp; Settings'!$F$35:$F$70,'Rates &amp; Settings'!$B$35:$B$70,E84,'Rates &amp; Settings'!$C$35:$C$70,"&lt;="&amp;Q84,'Rates &amp; Settings'!$D$35:$D$70,"&gt;="&amp;Q84),SUMIFS('Rates &amp; Settings'!$E$35:$E$70,'Rates &amp; Settings'!$B$35:$B$70,E84,'Rates &amp; Settings'!$C$35:$C$70,"&lt;="&amp;Q84,'Rates &amp; Settings'!$D$35:$D$70,"&gt;="&amp;Q84))))</f>
        <v/>
      </c>
      <c r="Y84" s="21"/>
      <c r="Z84" s="22" t="str">
        <f aca="false">IF(B84="","",IFERROR(IF(OR(INDEX('Rates &amp; Settings'!$H$75:$H$96,MATCH(E84,'Rates &amp; Settings'!$B$75:$B$96,0))="All",ISNUMBER(SEARCH(","&amp;MONTH('Rates &amp; Settings'!$C$6)&amp;",",","&amp;INDEX('Rates &amp; Settings'!$H$75:$H$96,MATCH(E84,'Rates &amp; Settings'!$B$75:$B$96,0))&amp;","))),IF(INDEX('Rates &amp; Settings'!$C$75:$C$96,MATCH(E84,'Rates &amp; Settings'!$B$75:$B$96,0))="Percent",MIN(ROUND(Q84*INDEX('Rates &amp; Settings'!$D$75:$D$96,MATCH(E84,'Rates &amp; Settings'!$B$75:$B$96,0)),0),INDEX('Rates &amp; Settings'!$F$75:$F$96,MATCH(E84,'Rates &amp; Settings'!$B$75:$B$96,0))),INDEX('Rates &amp; Settings'!$D$75:$D$96,MATCH(E84,'Rates &amp; Settings'!$B$75:$B$96,0))),0),0))</f>
        <v/>
      </c>
      <c r="AA84" s="22" t="str">
        <f aca="false">IF(B84="","",ROUND(AN84/12,0))</f>
        <v/>
      </c>
      <c r="AB84" s="21"/>
      <c r="AC84" s="21"/>
      <c r="AD84" s="22" t="str">
        <f aca="false">IF(B84="","",U84+W84+X84+Z84+IF(AB84&lt;&gt;"",N(AB84),AA84)+N(AC84))</f>
        <v/>
      </c>
      <c r="AE84" s="23" t="str">
        <f aca="false">IF(B84="","",Q84-AD84)</f>
        <v/>
      </c>
      <c r="AF84" s="22" t="str">
        <f aca="false">IF(B84="","",ROUND(T84*'Rates &amp; Settings'!$C$10,0)-AG84)</f>
        <v/>
      </c>
      <c r="AG84" s="22" t="str">
        <f aca="false">IF(B84="","",IF(H84="Yes",ROUND(MIN(T84,'Rates &amp; Settings'!$C$8)*'Rates &amp; Settings'!$C$11,0),0))</f>
        <v/>
      </c>
      <c r="AH84" s="22" t="str">
        <f aca="false">IF(B84="","",ROUND(MIN(T84,'Rates &amp; Settings'!$C$8)*'Rates &amp; Settings'!$C$12,0))</f>
        <v/>
      </c>
      <c r="AI84" s="22" t="str">
        <f aca="false">IF(B84="","",ROUND(T84*'Rates &amp; Settings'!$C$13,0))</f>
        <v/>
      </c>
      <c r="AJ84" s="22" t="str">
        <f aca="false">IF(B84="","",IF(V84="Yes",ROUNDUP(Q84*'Rates &amp; Settings'!$C$16,0),0))</f>
        <v/>
      </c>
      <c r="AK84" s="22" t="str">
        <f aca="false">IF(B84="","",IFERROR(IF(Z84=0,0,IF(INDEX('Rates &amp; Settings'!$C$75:$C$96,MATCH(E84,'Rates &amp; Settings'!$B$75:$B$96,0))="Percent",MIN(Z84*INDEX('Rates &amp; Settings'!$E$75:$E$96,MATCH(E84,'Rates &amp; Settings'!$B$75:$B$96,0)),INDEX('Rates &amp; Settings'!$G$75:$G$96,MATCH(E84,'Rates &amp; Settings'!$B$75:$B$96,0))),INDEX('Rates &amp; Settings'!$E$75:$E$96,MATCH(E84,'Rates &amp; Settings'!$B$75:$B$96,0)))),0))</f>
        <v/>
      </c>
      <c r="AL84" s="22" t="str">
        <f aca="false">IF(B84="","",Q84+AF84+AG84+AH84+AI84+AJ84+AK84)</f>
        <v/>
      </c>
      <c r="AM84" s="22" t="str">
        <f aca="false">IF(B84="","",MAX(0,P84*12-'Rates &amp; Settings'!$C$18))</f>
        <v/>
      </c>
      <c r="AN84" s="22" t="str">
        <f aca="false">IF(B84="","",IF(AM84&lt;='Rates &amp; Settings'!$C$19,0,MIN(SUMPRODUCT(--(AM84&gt;'Rates &amp; Settings'!$B$24:$B$30),AM84-'Rates &amp; Settings'!$B$24:$B$30,'Rates &amp; Settings'!$D$24:$D$30),AM84-'Rates &amp; Settings'!$C$19))*(1+'Rates &amp; Settings'!$C$20))</f>
        <v/>
      </c>
    </row>
    <row r="85" customFormat="false" ht="15" hidden="false" customHeight="false" outlineLevel="0" collapsed="false">
      <c r="B85" s="5"/>
      <c r="C85" s="5"/>
      <c r="D85" s="5"/>
      <c r="E85" s="5"/>
      <c r="F85" s="5"/>
      <c r="G85" s="5"/>
      <c r="H85" s="5"/>
      <c r="I85" s="20"/>
      <c r="J85" s="21"/>
      <c r="K85" s="21"/>
      <c r="L85" s="21"/>
      <c r="M85" s="21"/>
      <c r="N85" s="21"/>
      <c r="O85" s="21"/>
      <c r="P85" s="22" t="str">
        <f aca="false">IF(B85="","",SUM(J85:O85))</f>
        <v/>
      </c>
      <c r="Q85" s="22" t="str">
        <f aca="false">IF(B85="","",ROUND(P85*N(I85)/'Rates &amp; Settings'!$C$7,0))</f>
        <v/>
      </c>
      <c r="R85" s="22" t="str">
        <f aca="false">IF(B85="","",ROUND((N(J85)+N(K85))*N(I85)/'Rates &amp; Settings'!$C$7,0))</f>
        <v/>
      </c>
      <c r="S85" s="22" t="str">
        <f aca="false">IF(B85="","",IF('Rates &amp; Settings'!$C$14="Yes",MAX(R85,ROUND(Q85*0.5,0)),R85))</f>
        <v/>
      </c>
      <c r="T85" s="22" t="str">
        <f aca="false">IF(B85="","",IF(F85="Yes",IF(G85="Yes",MIN(S85,'Rates &amp; Settings'!$C$8),S85),0))</f>
        <v/>
      </c>
      <c r="U85" s="22" t="str">
        <f aca="false">IF(B85="","",ROUND(T85*'Rates &amp; Settings'!$C$9,0))</f>
        <v/>
      </c>
      <c r="V85" s="7" t="str">
        <f aca="false">IF(B85="","",IF(P85&lt;='Rates &amp; Settings'!$C$17,"Yes","No"))</f>
        <v/>
      </c>
      <c r="W85" s="22" t="str">
        <f aca="false">IF(B85="","",IF(V85="Yes",ROUNDUP(Q85*'Rates &amp; Settings'!$C$15,0),0))</f>
        <v/>
      </c>
      <c r="X85" s="22" t="str">
        <f aca="false">IF(B85="","",IF(Y85&lt;&gt;"",N(Y85),IF(MONTH('Rates &amp; Settings'!$C$6)=2,SUMIFS('Rates &amp; Settings'!$F$35:$F$70,'Rates &amp; Settings'!$B$35:$B$70,E85,'Rates &amp; Settings'!$C$35:$C$70,"&lt;="&amp;Q85,'Rates &amp; Settings'!$D$35:$D$70,"&gt;="&amp;Q85),SUMIFS('Rates &amp; Settings'!$E$35:$E$70,'Rates &amp; Settings'!$B$35:$B$70,E85,'Rates &amp; Settings'!$C$35:$C$70,"&lt;="&amp;Q85,'Rates &amp; Settings'!$D$35:$D$70,"&gt;="&amp;Q85))))</f>
        <v/>
      </c>
      <c r="Y85" s="21"/>
      <c r="Z85" s="22" t="str">
        <f aca="false">IF(B85="","",IFERROR(IF(OR(INDEX('Rates &amp; Settings'!$H$75:$H$96,MATCH(E85,'Rates &amp; Settings'!$B$75:$B$96,0))="All",ISNUMBER(SEARCH(","&amp;MONTH('Rates &amp; Settings'!$C$6)&amp;",",","&amp;INDEX('Rates &amp; Settings'!$H$75:$H$96,MATCH(E85,'Rates &amp; Settings'!$B$75:$B$96,0))&amp;","))),IF(INDEX('Rates &amp; Settings'!$C$75:$C$96,MATCH(E85,'Rates &amp; Settings'!$B$75:$B$96,0))="Percent",MIN(ROUND(Q85*INDEX('Rates &amp; Settings'!$D$75:$D$96,MATCH(E85,'Rates &amp; Settings'!$B$75:$B$96,0)),0),INDEX('Rates &amp; Settings'!$F$75:$F$96,MATCH(E85,'Rates &amp; Settings'!$B$75:$B$96,0))),INDEX('Rates &amp; Settings'!$D$75:$D$96,MATCH(E85,'Rates &amp; Settings'!$B$75:$B$96,0))),0),0))</f>
        <v/>
      </c>
      <c r="AA85" s="22" t="str">
        <f aca="false">IF(B85="","",ROUND(AN85/12,0))</f>
        <v/>
      </c>
      <c r="AB85" s="21"/>
      <c r="AC85" s="21"/>
      <c r="AD85" s="22" t="str">
        <f aca="false">IF(B85="","",U85+W85+X85+Z85+IF(AB85&lt;&gt;"",N(AB85),AA85)+N(AC85))</f>
        <v/>
      </c>
      <c r="AE85" s="23" t="str">
        <f aca="false">IF(B85="","",Q85-AD85)</f>
        <v/>
      </c>
      <c r="AF85" s="22" t="str">
        <f aca="false">IF(B85="","",ROUND(T85*'Rates &amp; Settings'!$C$10,0)-AG85)</f>
        <v/>
      </c>
      <c r="AG85" s="22" t="str">
        <f aca="false">IF(B85="","",IF(H85="Yes",ROUND(MIN(T85,'Rates &amp; Settings'!$C$8)*'Rates &amp; Settings'!$C$11,0),0))</f>
        <v/>
      </c>
      <c r="AH85" s="22" t="str">
        <f aca="false">IF(B85="","",ROUND(MIN(T85,'Rates &amp; Settings'!$C$8)*'Rates &amp; Settings'!$C$12,0))</f>
        <v/>
      </c>
      <c r="AI85" s="22" t="str">
        <f aca="false">IF(B85="","",ROUND(T85*'Rates &amp; Settings'!$C$13,0))</f>
        <v/>
      </c>
      <c r="AJ85" s="22" t="str">
        <f aca="false">IF(B85="","",IF(V85="Yes",ROUNDUP(Q85*'Rates &amp; Settings'!$C$16,0),0))</f>
        <v/>
      </c>
      <c r="AK85" s="22" t="str">
        <f aca="false">IF(B85="","",IFERROR(IF(Z85=0,0,IF(INDEX('Rates &amp; Settings'!$C$75:$C$96,MATCH(E85,'Rates &amp; Settings'!$B$75:$B$96,0))="Percent",MIN(Z85*INDEX('Rates &amp; Settings'!$E$75:$E$96,MATCH(E85,'Rates &amp; Settings'!$B$75:$B$96,0)),INDEX('Rates &amp; Settings'!$G$75:$G$96,MATCH(E85,'Rates &amp; Settings'!$B$75:$B$96,0))),INDEX('Rates &amp; Settings'!$E$75:$E$96,MATCH(E85,'Rates &amp; Settings'!$B$75:$B$96,0)))),0))</f>
        <v/>
      </c>
      <c r="AL85" s="22" t="str">
        <f aca="false">IF(B85="","",Q85+AF85+AG85+AH85+AI85+AJ85+AK85)</f>
        <v/>
      </c>
      <c r="AM85" s="22" t="str">
        <f aca="false">IF(B85="","",MAX(0,P85*12-'Rates &amp; Settings'!$C$18))</f>
        <v/>
      </c>
      <c r="AN85" s="22" t="str">
        <f aca="false">IF(B85="","",IF(AM85&lt;='Rates &amp; Settings'!$C$19,0,MIN(SUMPRODUCT(--(AM85&gt;'Rates &amp; Settings'!$B$24:$B$30),AM85-'Rates &amp; Settings'!$B$24:$B$30,'Rates &amp; Settings'!$D$24:$D$30),AM85-'Rates &amp; Settings'!$C$19))*(1+'Rates &amp; Settings'!$C$20))</f>
        <v/>
      </c>
    </row>
    <row r="86" customFormat="false" ht="15" hidden="false" customHeight="false" outlineLevel="0" collapsed="false">
      <c r="B86" s="5"/>
      <c r="C86" s="5"/>
      <c r="D86" s="5"/>
      <c r="E86" s="5"/>
      <c r="F86" s="5"/>
      <c r="G86" s="5"/>
      <c r="H86" s="5"/>
      <c r="I86" s="20"/>
      <c r="J86" s="21"/>
      <c r="K86" s="21"/>
      <c r="L86" s="21"/>
      <c r="M86" s="21"/>
      <c r="N86" s="21"/>
      <c r="O86" s="21"/>
      <c r="P86" s="22" t="str">
        <f aca="false">IF(B86="","",SUM(J86:O86))</f>
        <v/>
      </c>
      <c r="Q86" s="22" t="str">
        <f aca="false">IF(B86="","",ROUND(P86*N(I86)/'Rates &amp; Settings'!$C$7,0))</f>
        <v/>
      </c>
      <c r="R86" s="22" t="str">
        <f aca="false">IF(B86="","",ROUND((N(J86)+N(K86))*N(I86)/'Rates &amp; Settings'!$C$7,0))</f>
        <v/>
      </c>
      <c r="S86" s="22" t="str">
        <f aca="false">IF(B86="","",IF('Rates &amp; Settings'!$C$14="Yes",MAX(R86,ROUND(Q86*0.5,0)),R86))</f>
        <v/>
      </c>
      <c r="T86" s="22" t="str">
        <f aca="false">IF(B86="","",IF(F86="Yes",IF(G86="Yes",MIN(S86,'Rates &amp; Settings'!$C$8),S86),0))</f>
        <v/>
      </c>
      <c r="U86" s="22" t="str">
        <f aca="false">IF(B86="","",ROUND(T86*'Rates &amp; Settings'!$C$9,0))</f>
        <v/>
      </c>
      <c r="V86" s="7" t="str">
        <f aca="false">IF(B86="","",IF(P86&lt;='Rates &amp; Settings'!$C$17,"Yes","No"))</f>
        <v/>
      </c>
      <c r="W86" s="22" t="str">
        <f aca="false">IF(B86="","",IF(V86="Yes",ROUNDUP(Q86*'Rates &amp; Settings'!$C$15,0),0))</f>
        <v/>
      </c>
      <c r="X86" s="22" t="str">
        <f aca="false">IF(B86="","",IF(Y86&lt;&gt;"",N(Y86),IF(MONTH('Rates &amp; Settings'!$C$6)=2,SUMIFS('Rates &amp; Settings'!$F$35:$F$70,'Rates &amp; Settings'!$B$35:$B$70,E86,'Rates &amp; Settings'!$C$35:$C$70,"&lt;="&amp;Q86,'Rates &amp; Settings'!$D$35:$D$70,"&gt;="&amp;Q86),SUMIFS('Rates &amp; Settings'!$E$35:$E$70,'Rates &amp; Settings'!$B$35:$B$70,E86,'Rates &amp; Settings'!$C$35:$C$70,"&lt;="&amp;Q86,'Rates &amp; Settings'!$D$35:$D$70,"&gt;="&amp;Q86))))</f>
        <v/>
      </c>
      <c r="Y86" s="21"/>
      <c r="Z86" s="22" t="str">
        <f aca="false">IF(B86="","",IFERROR(IF(OR(INDEX('Rates &amp; Settings'!$H$75:$H$96,MATCH(E86,'Rates &amp; Settings'!$B$75:$B$96,0))="All",ISNUMBER(SEARCH(","&amp;MONTH('Rates &amp; Settings'!$C$6)&amp;",",","&amp;INDEX('Rates &amp; Settings'!$H$75:$H$96,MATCH(E86,'Rates &amp; Settings'!$B$75:$B$96,0))&amp;","))),IF(INDEX('Rates &amp; Settings'!$C$75:$C$96,MATCH(E86,'Rates &amp; Settings'!$B$75:$B$96,0))="Percent",MIN(ROUND(Q86*INDEX('Rates &amp; Settings'!$D$75:$D$96,MATCH(E86,'Rates &amp; Settings'!$B$75:$B$96,0)),0),INDEX('Rates &amp; Settings'!$F$75:$F$96,MATCH(E86,'Rates &amp; Settings'!$B$75:$B$96,0))),INDEX('Rates &amp; Settings'!$D$75:$D$96,MATCH(E86,'Rates &amp; Settings'!$B$75:$B$96,0))),0),0))</f>
        <v/>
      </c>
      <c r="AA86" s="22" t="str">
        <f aca="false">IF(B86="","",ROUND(AN86/12,0))</f>
        <v/>
      </c>
      <c r="AB86" s="21"/>
      <c r="AC86" s="21"/>
      <c r="AD86" s="22" t="str">
        <f aca="false">IF(B86="","",U86+W86+X86+Z86+IF(AB86&lt;&gt;"",N(AB86),AA86)+N(AC86))</f>
        <v/>
      </c>
      <c r="AE86" s="23" t="str">
        <f aca="false">IF(B86="","",Q86-AD86)</f>
        <v/>
      </c>
      <c r="AF86" s="22" t="str">
        <f aca="false">IF(B86="","",ROUND(T86*'Rates &amp; Settings'!$C$10,0)-AG86)</f>
        <v/>
      </c>
      <c r="AG86" s="22" t="str">
        <f aca="false">IF(B86="","",IF(H86="Yes",ROUND(MIN(T86,'Rates &amp; Settings'!$C$8)*'Rates &amp; Settings'!$C$11,0),0))</f>
        <v/>
      </c>
      <c r="AH86" s="22" t="str">
        <f aca="false">IF(B86="","",ROUND(MIN(T86,'Rates &amp; Settings'!$C$8)*'Rates &amp; Settings'!$C$12,0))</f>
        <v/>
      </c>
      <c r="AI86" s="22" t="str">
        <f aca="false">IF(B86="","",ROUND(T86*'Rates &amp; Settings'!$C$13,0))</f>
        <v/>
      </c>
      <c r="AJ86" s="22" t="str">
        <f aca="false">IF(B86="","",IF(V86="Yes",ROUNDUP(Q86*'Rates &amp; Settings'!$C$16,0),0))</f>
        <v/>
      </c>
      <c r="AK86" s="22" t="str">
        <f aca="false">IF(B86="","",IFERROR(IF(Z86=0,0,IF(INDEX('Rates &amp; Settings'!$C$75:$C$96,MATCH(E86,'Rates &amp; Settings'!$B$75:$B$96,0))="Percent",MIN(Z86*INDEX('Rates &amp; Settings'!$E$75:$E$96,MATCH(E86,'Rates &amp; Settings'!$B$75:$B$96,0)),INDEX('Rates &amp; Settings'!$G$75:$G$96,MATCH(E86,'Rates &amp; Settings'!$B$75:$B$96,0))),INDEX('Rates &amp; Settings'!$E$75:$E$96,MATCH(E86,'Rates &amp; Settings'!$B$75:$B$96,0)))),0))</f>
        <v/>
      </c>
      <c r="AL86" s="22" t="str">
        <f aca="false">IF(B86="","",Q86+AF86+AG86+AH86+AI86+AJ86+AK86)</f>
        <v/>
      </c>
      <c r="AM86" s="22" t="str">
        <f aca="false">IF(B86="","",MAX(0,P86*12-'Rates &amp; Settings'!$C$18))</f>
        <v/>
      </c>
      <c r="AN86" s="22" t="str">
        <f aca="false">IF(B86="","",IF(AM86&lt;='Rates &amp; Settings'!$C$19,0,MIN(SUMPRODUCT(--(AM86&gt;'Rates &amp; Settings'!$B$24:$B$30),AM86-'Rates &amp; Settings'!$B$24:$B$30,'Rates &amp; Settings'!$D$24:$D$30),AM86-'Rates &amp; Settings'!$C$19))*(1+'Rates &amp; Settings'!$C$20))</f>
        <v/>
      </c>
    </row>
    <row r="87" customFormat="false" ht="15" hidden="false" customHeight="false" outlineLevel="0" collapsed="false">
      <c r="B87" s="5"/>
      <c r="C87" s="5"/>
      <c r="D87" s="5"/>
      <c r="E87" s="5"/>
      <c r="F87" s="5"/>
      <c r="G87" s="5"/>
      <c r="H87" s="5"/>
      <c r="I87" s="20"/>
      <c r="J87" s="21"/>
      <c r="K87" s="21"/>
      <c r="L87" s="21"/>
      <c r="M87" s="21"/>
      <c r="N87" s="21"/>
      <c r="O87" s="21"/>
      <c r="P87" s="22" t="str">
        <f aca="false">IF(B87="","",SUM(J87:O87))</f>
        <v/>
      </c>
      <c r="Q87" s="22" t="str">
        <f aca="false">IF(B87="","",ROUND(P87*N(I87)/'Rates &amp; Settings'!$C$7,0))</f>
        <v/>
      </c>
      <c r="R87" s="22" t="str">
        <f aca="false">IF(B87="","",ROUND((N(J87)+N(K87))*N(I87)/'Rates &amp; Settings'!$C$7,0))</f>
        <v/>
      </c>
      <c r="S87" s="22" t="str">
        <f aca="false">IF(B87="","",IF('Rates &amp; Settings'!$C$14="Yes",MAX(R87,ROUND(Q87*0.5,0)),R87))</f>
        <v/>
      </c>
      <c r="T87" s="22" t="str">
        <f aca="false">IF(B87="","",IF(F87="Yes",IF(G87="Yes",MIN(S87,'Rates &amp; Settings'!$C$8),S87),0))</f>
        <v/>
      </c>
      <c r="U87" s="22" t="str">
        <f aca="false">IF(B87="","",ROUND(T87*'Rates &amp; Settings'!$C$9,0))</f>
        <v/>
      </c>
      <c r="V87" s="7" t="str">
        <f aca="false">IF(B87="","",IF(P87&lt;='Rates &amp; Settings'!$C$17,"Yes","No"))</f>
        <v/>
      </c>
      <c r="W87" s="22" t="str">
        <f aca="false">IF(B87="","",IF(V87="Yes",ROUNDUP(Q87*'Rates &amp; Settings'!$C$15,0),0))</f>
        <v/>
      </c>
      <c r="X87" s="22" t="str">
        <f aca="false">IF(B87="","",IF(Y87&lt;&gt;"",N(Y87),IF(MONTH('Rates &amp; Settings'!$C$6)=2,SUMIFS('Rates &amp; Settings'!$F$35:$F$70,'Rates &amp; Settings'!$B$35:$B$70,E87,'Rates &amp; Settings'!$C$35:$C$70,"&lt;="&amp;Q87,'Rates &amp; Settings'!$D$35:$D$70,"&gt;="&amp;Q87),SUMIFS('Rates &amp; Settings'!$E$35:$E$70,'Rates &amp; Settings'!$B$35:$B$70,E87,'Rates &amp; Settings'!$C$35:$C$70,"&lt;="&amp;Q87,'Rates &amp; Settings'!$D$35:$D$70,"&gt;="&amp;Q87))))</f>
        <v/>
      </c>
      <c r="Y87" s="21"/>
      <c r="Z87" s="22" t="str">
        <f aca="false">IF(B87="","",IFERROR(IF(OR(INDEX('Rates &amp; Settings'!$H$75:$H$96,MATCH(E87,'Rates &amp; Settings'!$B$75:$B$96,0))="All",ISNUMBER(SEARCH(","&amp;MONTH('Rates &amp; Settings'!$C$6)&amp;",",","&amp;INDEX('Rates &amp; Settings'!$H$75:$H$96,MATCH(E87,'Rates &amp; Settings'!$B$75:$B$96,0))&amp;","))),IF(INDEX('Rates &amp; Settings'!$C$75:$C$96,MATCH(E87,'Rates &amp; Settings'!$B$75:$B$96,0))="Percent",MIN(ROUND(Q87*INDEX('Rates &amp; Settings'!$D$75:$D$96,MATCH(E87,'Rates &amp; Settings'!$B$75:$B$96,0)),0),INDEX('Rates &amp; Settings'!$F$75:$F$96,MATCH(E87,'Rates &amp; Settings'!$B$75:$B$96,0))),INDEX('Rates &amp; Settings'!$D$75:$D$96,MATCH(E87,'Rates &amp; Settings'!$B$75:$B$96,0))),0),0))</f>
        <v/>
      </c>
      <c r="AA87" s="22" t="str">
        <f aca="false">IF(B87="","",ROUND(AN87/12,0))</f>
        <v/>
      </c>
      <c r="AB87" s="21"/>
      <c r="AC87" s="21"/>
      <c r="AD87" s="22" t="str">
        <f aca="false">IF(B87="","",U87+W87+X87+Z87+IF(AB87&lt;&gt;"",N(AB87),AA87)+N(AC87))</f>
        <v/>
      </c>
      <c r="AE87" s="23" t="str">
        <f aca="false">IF(B87="","",Q87-AD87)</f>
        <v/>
      </c>
      <c r="AF87" s="22" t="str">
        <f aca="false">IF(B87="","",ROUND(T87*'Rates &amp; Settings'!$C$10,0)-AG87)</f>
        <v/>
      </c>
      <c r="AG87" s="22" t="str">
        <f aca="false">IF(B87="","",IF(H87="Yes",ROUND(MIN(T87,'Rates &amp; Settings'!$C$8)*'Rates &amp; Settings'!$C$11,0),0))</f>
        <v/>
      </c>
      <c r="AH87" s="22" t="str">
        <f aca="false">IF(B87="","",ROUND(MIN(T87,'Rates &amp; Settings'!$C$8)*'Rates &amp; Settings'!$C$12,0))</f>
        <v/>
      </c>
      <c r="AI87" s="22" t="str">
        <f aca="false">IF(B87="","",ROUND(T87*'Rates &amp; Settings'!$C$13,0))</f>
        <v/>
      </c>
      <c r="AJ87" s="22" t="str">
        <f aca="false">IF(B87="","",IF(V87="Yes",ROUNDUP(Q87*'Rates &amp; Settings'!$C$16,0),0))</f>
        <v/>
      </c>
      <c r="AK87" s="22" t="str">
        <f aca="false">IF(B87="","",IFERROR(IF(Z87=0,0,IF(INDEX('Rates &amp; Settings'!$C$75:$C$96,MATCH(E87,'Rates &amp; Settings'!$B$75:$B$96,0))="Percent",MIN(Z87*INDEX('Rates &amp; Settings'!$E$75:$E$96,MATCH(E87,'Rates &amp; Settings'!$B$75:$B$96,0)),INDEX('Rates &amp; Settings'!$G$75:$G$96,MATCH(E87,'Rates &amp; Settings'!$B$75:$B$96,0))),INDEX('Rates &amp; Settings'!$E$75:$E$96,MATCH(E87,'Rates &amp; Settings'!$B$75:$B$96,0)))),0))</f>
        <v/>
      </c>
      <c r="AL87" s="22" t="str">
        <f aca="false">IF(B87="","",Q87+AF87+AG87+AH87+AI87+AJ87+AK87)</f>
        <v/>
      </c>
      <c r="AM87" s="22" t="str">
        <f aca="false">IF(B87="","",MAX(0,P87*12-'Rates &amp; Settings'!$C$18))</f>
        <v/>
      </c>
      <c r="AN87" s="22" t="str">
        <f aca="false">IF(B87="","",IF(AM87&lt;='Rates &amp; Settings'!$C$19,0,MIN(SUMPRODUCT(--(AM87&gt;'Rates &amp; Settings'!$B$24:$B$30),AM87-'Rates &amp; Settings'!$B$24:$B$30,'Rates &amp; Settings'!$D$24:$D$30),AM87-'Rates &amp; Settings'!$C$19))*(1+'Rates &amp; Settings'!$C$20))</f>
        <v/>
      </c>
    </row>
    <row r="88" customFormat="false" ht="15" hidden="false" customHeight="false" outlineLevel="0" collapsed="false">
      <c r="B88" s="5"/>
      <c r="C88" s="5"/>
      <c r="D88" s="5"/>
      <c r="E88" s="5"/>
      <c r="F88" s="5"/>
      <c r="G88" s="5"/>
      <c r="H88" s="5"/>
      <c r="I88" s="20"/>
      <c r="J88" s="21"/>
      <c r="K88" s="21"/>
      <c r="L88" s="21"/>
      <c r="M88" s="21"/>
      <c r="N88" s="21"/>
      <c r="O88" s="21"/>
      <c r="P88" s="22" t="str">
        <f aca="false">IF(B88="","",SUM(J88:O88))</f>
        <v/>
      </c>
      <c r="Q88" s="22" t="str">
        <f aca="false">IF(B88="","",ROUND(P88*N(I88)/'Rates &amp; Settings'!$C$7,0))</f>
        <v/>
      </c>
      <c r="R88" s="22" t="str">
        <f aca="false">IF(B88="","",ROUND((N(J88)+N(K88))*N(I88)/'Rates &amp; Settings'!$C$7,0))</f>
        <v/>
      </c>
      <c r="S88" s="22" t="str">
        <f aca="false">IF(B88="","",IF('Rates &amp; Settings'!$C$14="Yes",MAX(R88,ROUND(Q88*0.5,0)),R88))</f>
        <v/>
      </c>
      <c r="T88" s="22" t="str">
        <f aca="false">IF(B88="","",IF(F88="Yes",IF(G88="Yes",MIN(S88,'Rates &amp; Settings'!$C$8),S88),0))</f>
        <v/>
      </c>
      <c r="U88" s="22" t="str">
        <f aca="false">IF(B88="","",ROUND(T88*'Rates &amp; Settings'!$C$9,0))</f>
        <v/>
      </c>
      <c r="V88" s="7" t="str">
        <f aca="false">IF(B88="","",IF(P88&lt;='Rates &amp; Settings'!$C$17,"Yes","No"))</f>
        <v/>
      </c>
      <c r="W88" s="22" t="str">
        <f aca="false">IF(B88="","",IF(V88="Yes",ROUNDUP(Q88*'Rates &amp; Settings'!$C$15,0),0))</f>
        <v/>
      </c>
      <c r="X88" s="22" t="str">
        <f aca="false">IF(B88="","",IF(Y88&lt;&gt;"",N(Y88),IF(MONTH('Rates &amp; Settings'!$C$6)=2,SUMIFS('Rates &amp; Settings'!$F$35:$F$70,'Rates &amp; Settings'!$B$35:$B$70,E88,'Rates &amp; Settings'!$C$35:$C$70,"&lt;="&amp;Q88,'Rates &amp; Settings'!$D$35:$D$70,"&gt;="&amp;Q88),SUMIFS('Rates &amp; Settings'!$E$35:$E$70,'Rates &amp; Settings'!$B$35:$B$70,E88,'Rates &amp; Settings'!$C$35:$C$70,"&lt;="&amp;Q88,'Rates &amp; Settings'!$D$35:$D$70,"&gt;="&amp;Q88))))</f>
        <v/>
      </c>
      <c r="Y88" s="21"/>
      <c r="Z88" s="22" t="str">
        <f aca="false">IF(B88="","",IFERROR(IF(OR(INDEX('Rates &amp; Settings'!$H$75:$H$96,MATCH(E88,'Rates &amp; Settings'!$B$75:$B$96,0))="All",ISNUMBER(SEARCH(","&amp;MONTH('Rates &amp; Settings'!$C$6)&amp;",",","&amp;INDEX('Rates &amp; Settings'!$H$75:$H$96,MATCH(E88,'Rates &amp; Settings'!$B$75:$B$96,0))&amp;","))),IF(INDEX('Rates &amp; Settings'!$C$75:$C$96,MATCH(E88,'Rates &amp; Settings'!$B$75:$B$96,0))="Percent",MIN(ROUND(Q88*INDEX('Rates &amp; Settings'!$D$75:$D$96,MATCH(E88,'Rates &amp; Settings'!$B$75:$B$96,0)),0),INDEX('Rates &amp; Settings'!$F$75:$F$96,MATCH(E88,'Rates &amp; Settings'!$B$75:$B$96,0))),INDEX('Rates &amp; Settings'!$D$75:$D$96,MATCH(E88,'Rates &amp; Settings'!$B$75:$B$96,0))),0),0))</f>
        <v/>
      </c>
      <c r="AA88" s="22" t="str">
        <f aca="false">IF(B88="","",ROUND(AN88/12,0))</f>
        <v/>
      </c>
      <c r="AB88" s="21"/>
      <c r="AC88" s="21"/>
      <c r="AD88" s="22" t="str">
        <f aca="false">IF(B88="","",U88+W88+X88+Z88+IF(AB88&lt;&gt;"",N(AB88),AA88)+N(AC88))</f>
        <v/>
      </c>
      <c r="AE88" s="23" t="str">
        <f aca="false">IF(B88="","",Q88-AD88)</f>
        <v/>
      </c>
      <c r="AF88" s="22" t="str">
        <f aca="false">IF(B88="","",ROUND(T88*'Rates &amp; Settings'!$C$10,0)-AG88)</f>
        <v/>
      </c>
      <c r="AG88" s="22" t="str">
        <f aca="false">IF(B88="","",IF(H88="Yes",ROUND(MIN(T88,'Rates &amp; Settings'!$C$8)*'Rates &amp; Settings'!$C$11,0),0))</f>
        <v/>
      </c>
      <c r="AH88" s="22" t="str">
        <f aca="false">IF(B88="","",ROUND(MIN(T88,'Rates &amp; Settings'!$C$8)*'Rates &amp; Settings'!$C$12,0))</f>
        <v/>
      </c>
      <c r="AI88" s="22" t="str">
        <f aca="false">IF(B88="","",ROUND(T88*'Rates &amp; Settings'!$C$13,0))</f>
        <v/>
      </c>
      <c r="AJ88" s="22" t="str">
        <f aca="false">IF(B88="","",IF(V88="Yes",ROUNDUP(Q88*'Rates &amp; Settings'!$C$16,0),0))</f>
        <v/>
      </c>
      <c r="AK88" s="22" t="str">
        <f aca="false">IF(B88="","",IFERROR(IF(Z88=0,0,IF(INDEX('Rates &amp; Settings'!$C$75:$C$96,MATCH(E88,'Rates &amp; Settings'!$B$75:$B$96,0))="Percent",MIN(Z88*INDEX('Rates &amp; Settings'!$E$75:$E$96,MATCH(E88,'Rates &amp; Settings'!$B$75:$B$96,0)),INDEX('Rates &amp; Settings'!$G$75:$G$96,MATCH(E88,'Rates &amp; Settings'!$B$75:$B$96,0))),INDEX('Rates &amp; Settings'!$E$75:$E$96,MATCH(E88,'Rates &amp; Settings'!$B$75:$B$96,0)))),0))</f>
        <v/>
      </c>
      <c r="AL88" s="22" t="str">
        <f aca="false">IF(B88="","",Q88+AF88+AG88+AH88+AI88+AJ88+AK88)</f>
        <v/>
      </c>
      <c r="AM88" s="22" t="str">
        <f aca="false">IF(B88="","",MAX(0,P88*12-'Rates &amp; Settings'!$C$18))</f>
        <v/>
      </c>
      <c r="AN88" s="22" t="str">
        <f aca="false">IF(B88="","",IF(AM88&lt;='Rates &amp; Settings'!$C$19,0,MIN(SUMPRODUCT(--(AM88&gt;'Rates &amp; Settings'!$B$24:$B$30),AM88-'Rates &amp; Settings'!$B$24:$B$30,'Rates &amp; Settings'!$D$24:$D$30),AM88-'Rates &amp; Settings'!$C$19))*(1+'Rates &amp; Settings'!$C$20))</f>
        <v/>
      </c>
    </row>
    <row r="89" customFormat="false" ht="15" hidden="false" customHeight="false" outlineLevel="0" collapsed="false">
      <c r="B89" s="5"/>
      <c r="C89" s="5"/>
      <c r="D89" s="5"/>
      <c r="E89" s="5"/>
      <c r="F89" s="5"/>
      <c r="G89" s="5"/>
      <c r="H89" s="5"/>
      <c r="I89" s="20"/>
      <c r="J89" s="21"/>
      <c r="K89" s="21"/>
      <c r="L89" s="21"/>
      <c r="M89" s="21"/>
      <c r="N89" s="21"/>
      <c r="O89" s="21"/>
      <c r="P89" s="22" t="str">
        <f aca="false">IF(B89="","",SUM(J89:O89))</f>
        <v/>
      </c>
      <c r="Q89" s="22" t="str">
        <f aca="false">IF(B89="","",ROUND(P89*N(I89)/'Rates &amp; Settings'!$C$7,0))</f>
        <v/>
      </c>
      <c r="R89" s="22" t="str">
        <f aca="false">IF(B89="","",ROUND((N(J89)+N(K89))*N(I89)/'Rates &amp; Settings'!$C$7,0))</f>
        <v/>
      </c>
      <c r="S89" s="22" t="str">
        <f aca="false">IF(B89="","",IF('Rates &amp; Settings'!$C$14="Yes",MAX(R89,ROUND(Q89*0.5,0)),R89))</f>
        <v/>
      </c>
      <c r="T89" s="22" t="str">
        <f aca="false">IF(B89="","",IF(F89="Yes",IF(G89="Yes",MIN(S89,'Rates &amp; Settings'!$C$8),S89),0))</f>
        <v/>
      </c>
      <c r="U89" s="22" t="str">
        <f aca="false">IF(B89="","",ROUND(T89*'Rates &amp; Settings'!$C$9,0))</f>
        <v/>
      </c>
      <c r="V89" s="7" t="str">
        <f aca="false">IF(B89="","",IF(P89&lt;='Rates &amp; Settings'!$C$17,"Yes","No"))</f>
        <v/>
      </c>
      <c r="W89" s="22" t="str">
        <f aca="false">IF(B89="","",IF(V89="Yes",ROUNDUP(Q89*'Rates &amp; Settings'!$C$15,0),0))</f>
        <v/>
      </c>
      <c r="X89" s="22" t="str">
        <f aca="false">IF(B89="","",IF(Y89&lt;&gt;"",N(Y89),IF(MONTH('Rates &amp; Settings'!$C$6)=2,SUMIFS('Rates &amp; Settings'!$F$35:$F$70,'Rates &amp; Settings'!$B$35:$B$70,E89,'Rates &amp; Settings'!$C$35:$C$70,"&lt;="&amp;Q89,'Rates &amp; Settings'!$D$35:$D$70,"&gt;="&amp;Q89),SUMIFS('Rates &amp; Settings'!$E$35:$E$70,'Rates &amp; Settings'!$B$35:$B$70,E89,'Rates &amp; Settings'!$C$35:$C$70,"&lt;="&amp;Q89,'Rates &amp; Settings'!$D$35:$D$70,"&gt;="&amp;Q89))))</f>
        <v/>
      </c>
      <c r="Y89" s="21"/>
      <c r="Z89" s="22" t="str">
        <f aca="false">IF(B89="","",IFERROR(IF(OR(INDEX('Rates &amp; Settings'!$H$75:$H$96,MATCH(E89,'Rates &amp; Settings'!$B$75:$B$96,0))="All",ISNUMBER(SEARCH(","&amp;MONTH('Rates &amp; Settings'!$C$6)&amp;",",","&amp;INDEX('Rates &amp; Settings'!$H$75:$H$96,MATCH(E89,'Rates &amp; Settings'!$B$75:$B$96,0))&amp;","))),IF(INDEX('Rates &amp; Settings'!$C$75:$C$96,MATCH(E89,'Rates &amp; Settings'!$B$75:$B$96,0))="Percent",MIN(ROUND(Q89*INDEX('Rates &amp; Settings'!$D$75:$D$96,MATCH(E89,'Rates &amp; Settings'!$B$75:$B$96,0)),0),INDEX('Rates &amp; Settings'!$F$75:$F$96,MATCH(E89,'Rates &amp; Settings'!$B$75:$B$96,0))),INDEX('Rates &amp; Settings'!$D$75:$D$96,MATCH(E89,'Rates &amp; Settings'!$B$75:$B$96,0))),0),0))</f>
        <v/>
      </c>
      <c r="AA89" s="22" t="str">
        <f aca="false">IF(B89="","",ROUND(AN89/12,0))</f>
        <v/>
      </c>
      <c r="AB89" s="21"/>
      <c r="AC89" s="21"/>
      <c r="AD89" s="22" t="str">
        <f aca="false">IF(B89="","",U89+W89+X89+Z89+IF(AB89&lt;&gt;"",N(AB89),AA89)+N(AC89))</f>
        <v/>
      </c>
      <c r="AE89" s="23" t="str">
        <f aca="false">IF(B89="","",Q89-AD89)</f>
        <v/>
      </c>
      <c r="AF89" s="22" t="str">
        <f aca="false">IF(B89="","",ROUND(T89*'Rates &amp; Settings'!$C$10,0)-AG89)</f>
        <v/>
      </c>
      <c r="AG89" s="22" t="str">
        <f aca="false">IF(B89="","",IF(H89="Yes",ROUND(MIN(T89,'Rates &amp; Settings'!$C$8)*'Rates &amp; Settings'!$C$11,0),0))</f>
        <v/>
      </c>
      <c r="AH89" s="22" t="str">
        <f aca="false">IF(B89="","",ROUND(MIN(T89,'Rates &amp; Settings'!$C$8)*'Rates &amp; Settings'!$C$12,0))</f>
        <v/>
      </c>
      <c r="AI89" s="22" t="str">
        <f aca="false">IF(B89="","",ROUND(T89*'Rates &amp; Settings'!$C$13,0))</f>
        <v/>
      </c>
      <c r="AJ89" s="22" t="str">
        <f aca="false">IF(B89="","",IF(V89="Yes",ROUNDUP(Q89*'Rates &amp; Settings'!$C$16,0),0))</f>
        <v/>
      </c>
      <c r="AK89" s="22" t="str">
        <f aca="false">IF(B89="","",IFERROR(IF(Z89=0,0,IF(INDEX('Rates &amp; Settings'!$C$75:$C$96,MATCH(E89,'Rates &amp; Settings'!$B$75:$B$96,0))="Percent",MIN(Z89*INDEX('Rates &amp; Settings'!$E$75:$E$96,MATCH(E89,'Rates &amp; Settings'!$B$75:$B$96,0)),INDEX('Rates &amp; Settings'!$G$75:$G$96,MATCH(E89,'Rates &amp; Settings'!$B$75:$B$96,0))),INDEX('Rates &amp; Settings'!$E$75:$E$96,MATCH(E89,'Rates &amp; Settings'!$B$75:$B$96,0)))),0))</f>
        <v/>
      </c>
      <c r="AL89" s="22" t="str">
        <f aca="false">IF(B89="","",Q89+AF89+AG89+AH89+AI89+AJ89+AK89)</f>
        <v/>
      </c>
      <c r="AM89" s="22" t="str">
        <f aca="false">IF(B89="","",MAX(0,P89*12-'Rates &amp; Settings'!$C$18))</f>
        <v/>
      </c>
      <c r="AN89" s="22" t="str">
        <f aca="false">IF(B89="","",IF(AM89&lt;='Rates &amp; Settings'!$C$19,0,MIN(SUMPRODUCT(--(AM89&gt;'Rates &amp; Settings'!$B$24:$B$30),AM89-'Rates &amp; Settings'!$B$24:$B$30,'Rates &amp; Settings'!$D$24:$D$30),AM89-'Rates &amp; Settings'!$C$19))*(1+'Rates &amp; Settings'!$C$20))</f>
        <v/>
      </c>
    </row>
    <row r="90" customFormat="false" ht="15" hidden="false" customHeight="false" outlineLevel="0" collapsed="false">
      <c r="B90" s="5"/>
      <c r="C90" s="5"/>
      <c r="D90" s="5"/>
      <c r="E90" s="5"/>
      <c r="F90" s="5"/>
      <c r="G90" s="5"/>
      <c r="H90" s="5"/>
      <c r="I90" s="20"/>
      <c r="J90" s="21"/>
      <c r="K90" s="21"/>
      <c r="L90" s="21"/>
      <c r="M90" s="21"/>
      <c r="N90" s="21"/>
      <c r="O90" s="21"/>
      <c r="P90" s="22" t="str">
        <f aca="false">IF(B90="","",SUM(J90:O90))</f>
        <v/>
      </c>
      <c r="Q90" s="22" t="str">
        <f aca="false">IF(B90="","",ROUND(P90*N(I90)/'Rates &amp; Settings'!$C$7,0))</f>
        <v/>
      </c>
      <c r="R90" s="22" t="str">
        <f aca="false">IF(B90="","",ROUND((N(J90)+N(K90))*N(I90)/'Rates &amp; Settings'!$C$7,0))</f>
        <v/>
      </c>
      <c r="S90" s="22" t="str">
        <f aca="false">IF(B90="","",IF('Rates &amp; Settings'!$C$14="Yes",MAX(R90,ROUND(Q90*0.5,0)),R90))</f>
        <v/>
      </c>
      <c r="T90" s="22" t="str">
        <f aca="false">IF(B90="","",IF(F90="Yes",IF(G90="Yes",MIN(S90,'Rates &amp; Settings'!$C$8),S90),0))</f>
        <v/>
      </c>
      <c r="U90" s="22" t="str">
        <f aca="false">IF(B90="","",ROUND(T90*'Rates &amp; Settings'!$C$9,0))</f>
        <v/>
      </c>
      <c r="V90" s="7" t="str">
        <f aca="false">IF(B90="","",IF(P90&lt;='Rates &amp; Settings'!$C$17,"Yes","No"))</f>
        <v/>
      </c>
      <c r="W90" s="22" t="str">
        <f aca="false">IF(B90="","",IF(V90="Yes",ROUNDUP(Q90*'Rates &amp; Settings'!$C$15,0),0))</f>
        <v/>
      </c>
      <c r="X90" s="22" t="str">
        <f aca="false">IF(B90="","",IF(Y90&lt;&gt;"",N(Y90),IF(MONTH('Rates &amp; Settings'!$C$6)=2,SUMIFS('Rates &amp; Settings'!$F$35:$F$70,'Rates &amp; Settings'!$B$35:$B$70,E90,'Rates &amp; Settings'!$C$35:$C$70,"&lt;="&amp;Q90,'Rates &amp; Settings'!$D$35:$D$70,"&gt;="&amp;Q90),SUMIFS('Rates &amp; Settings'!$E$35:$E$70,'Rates &amp; Settings'!$B$35:$B$70,E90,'Rates &amp; Settings'!$C$35:$C$70,"&lt;="&amp;Q90,'Rates &amp; Settings'!$D$35:$D$70,"&gt;="&amp;Q90))))</f>
        <v/>
      </c>
      <c r="Y90" s="21"/>
      <c r="Z90" s="22" t="str">
        <f aca="false">IF(B90="","",IFERROR(IF(OR(INDEX('Rates &amp; Settings'!$H$75:$H$96,MATCH(E90,'Rates &amp; Settings'!$B$75:$B$96,0))="All",ISNUMBER(SEARCH(","&amp;MONTH('Rates &amp; Settings'!$C$6)&amp;",",","&amp;INDEX('Rates &amp; Settings'!$H$75:$H$96,MATCH(E90,'Rates &amp; Settings'!$B$75:$B$96,0))&amp;","))),IF(INDEX('Rates &amp; Settings'!$C$75:$C$96,MATCH(E90,'Rates &amp; Settings'!$B$75:$B$96,0))="Percent",MIN(ROUND(Q90*INDEX('Rates &amp; Settings'!$D$75:$D$96,MATCH(E90,'Rates &amp; Settings'!$B$75:$B$96,0)),0),INDEX('Rates &amp; Settings'!$F$75:$F$96,MATCH(E90,'Rates &amp; Settings'!$B$75:$B$96,0))),INDEX('Rates &amp; Settings'!$D$75:$D$96,MATCH(E90,'Rates &amp; Settings'!$B$75:$B$96,0))),0),0))</f>
        <v/>
      </c>
      <c r="AA90" s="22" t="str">
        <f aca="false">IF(B90="","",ROUND(AN90/12,0))</f>
        <v/>
      </c>
      <c r="AB90" s="21"/>
      <c r="AC90" s="21"/>
      <c r="AD90" s="22" t="str">
        <f aca="false">IF(B90="","",U90+W90+X90+Z90+IF(AB90&lt;&gt;"",N(AB90),AA90)+N(AC90))</f>
        <v/>
      </c>
      <c r="AE90" s="23" t="str">
        <f aca="false">IF(B90="","",Q90-AD90)</f>
        <v/>
      </c>
      <c r="AF90" s="22" t="str">
        <f aca="false">IF(B90="","",ROUND(T90*'Rates &amp; Settings'!$C$10,0)-AG90)</f>
        <v/>
      </c>
      <c r="AG90" s="22" t="str">
        <f aca="false">IF(B90="","",IF(H90="Yes",ROUND(MIN(T90,'Rates &amp; Settings'!$C$8)*'Rates &amp; Settings'!$C$11,0),0))</f>
        <v/>
      </c>
      <c r="AH90" s="22" t="str">
        <f aca="false">IF(B90="","",ROUND(MIN(T90,'Rates &amp; Settings'!$C$8)*'Rates &amp; Settings'!$C$12,0))</f>
        <v/>
      </c>
      <c r="AI90" s="22" t="str">
        <f aca="false">IF(B90="","",ROUND(T90*'Rates &amp; Settings'!$C$13,0))</f>
        <v/>
      </c>
      <c r="AJ90" s="22" t="str">
        <f aca="false">IF(B90="","",IF(V90="Yes",ROUNDUP(Q90*'Rates &amp; Settings'!$C$16,0),0))</f>
        <v/>
      </c>
      <c r="AK90" s="22" t="str">
        <f aca="false">IF(B90="","",IFERROR(IF(Z90=0,0,IF(INDEX('Rates &amp; Settings'!$C$75:$C$96,MATCH(E90,'Rates &amp; Settings'!$B$75:$B$96,0))="Percent",MIN(Z90*INDEX('Rates &amp; Settings'!$E$75:$E$96,MATCH(E90,'Rates &amp; Settings'!$B$75:$B$96,0)),INDEX('Rates &amp; Settings'!$G$75:$G$96,MATCH(E90,'Rates &amp; Settings'!$B$75:$B$96,0))),INDEX('Rates &amp; Settings'!$E$75:$E$96,MATCH(E90,'Rates &amp; Settings'!$B$75:$B$96,0)))),0))</f>
        <v/>
      </c>
      <c r="AL90" s="22" t="str">
        <f aca="false">IF(B90="","",Q90+AF90+AG90+AH90+AI90+AJ90+AK90)</f>
        <v/>
      </c>
      <c r="AM90" s="22" t="str">
        <f aca="false">IF(B90="","",MAX(0,P90*12-'Rates &amp; Settings'!$C$18))</f>
        <v/>
      </c>
      <c r="AN90" s="22" t="str">
        <f aca="false">IF(B90="","",IF(AM90&lt;='Rates &amp; Settings'!$C$19,0,MIN(SUMPRODUCT(--(AM90&gt;'Rates &amp; Settings'!$B$24:$B$30),AM90-'Rates &amp; Settings'!$B$24:$B$30,'Rates &amp; Settings'!$D$24:$D$30),AM90-'Rates &amp; Settings'!$C$19))*(1+'Rates &amp; Settings'!$C$20))</f>
        <v/>
      </c>
    </row>
    <row r="91" customFormat="false" ht="15" hidden="false" customHeight="false" outlineLevel="0" collapsed="false">
      <c r="B91" s="5"/>
      <c r="C91" s="5"/>
      <c r="D91" s="5"/>
      <c r="E91" s="5"/>
      <c r="F91" s="5"/>
      <c r="G91" s="5"/>
      <c r="H91" s="5"/>
      <c r="I91" s="20"/>
      <c r="J91" s="21"/>
      <c r="K91" s="21"/>
      <c r="L91" s="21"/>
      <c r="M91" s="21"/>
      <c r="N91" s="21"/>
      <c r="O91" s="21"/>
      <c r="P91" s="22" t="str">
        <f aca="false">IF(B91="","",SUM(J91:O91))</f>
        <v/>
      </c>
      <c r="Q91" s="22" t="str">
        <f aca="false">IF(B91="","",ROUND(P91*N(I91)/'Rates &amp; Settings'!$C$7,0))</f>
        <v/>
      </c>
      <c r="R91" s="22" t="str">
        <f aca="false">IF(B91="","",ROUND((N(J91)+N(K91))*N(I91)/'Rates &amp; Settings'!$C$7,0))</f>
        <v/>
      </c>
      <c r="S91" s="22" t="str">
        <f aca="false">IF(B91="","",IF('Rates &amp; Settings'!$C$14="Yes",MAX(R91,ROUND(Q91*0.5,0)),R91))</f>
        <v/>
      </c>
      <c r="T91" s="22" t="str">
        <f aca="false">IF(B91="","",IF(F91="Yes",IF(G91="Yes",MIN(S91,'Rates &amp; Settings'!$C$8),S91),0))</f>
        <v/>
      </c>
      <c r="U91" s="22" t="str">
        <f aca="false">IF(B91="","",ROUND(T91*'Rates &amp; Settings'!$C$9,0))</f>
        <v/>
      </c>
      <c r="V91" s="7" t="str">
        <f aca="false">IF(B91="","",IF(P91&lt;='Rates &amp; Settings'!$C$17,"Yes","No"))</f>
        <v/>
      </c>
      <c r="W91" s="22" t="str">
        <f aca="false">IF(B91="","",IF(V91="Yes",ROUNDUP(Q91*'Rates &amp; Settings'!$C$15,0),0))</f>
        <v/>
      </c>
      <c r="X91" s="22" t="str">
        <f aca="false">IF(B91="","",IF(Y91&lt;&gt;"",N(Y91),IF(MONTH('Rates &amp; Settings'!$C$6)=2,SUMIFS('Rates &amp; Settings'!$F$35:$F$70,'Rates &amp; Settings'!$B$35:$B$70,E91,'Rates &amp; Settings'!$C$35:$C$70,"&lt;="&amp;Q91,'Rates &amp; Settings'!$D$35:$D$70,"&gt;="&amp;Q91),SUMIFS('Rates &amp; Settings'!$E$35:$E$70,'Rates &amp; Settings'!$B$35:$B$70,E91,'Rates &amp; Settings'!$C$35:$C$70,"&lt;="&amp;Q91,'Rates &amp; Settings'!$D$35:$D$70,"&gt;="&amp;Q91))))</f>
        <v/>
      </c>
      <c r="Y91" s="21"/>
      <c r="Z91" s="22" t="str">
        <f aca="false">IF(B91="","",IFERROR(IF(OR(INDEX('Rates &amp; Settings'!$H$75:$H$96,MATCH(E91,'Rates &amp; Settings'!$B$75:$B$96,0))="All",ISNUMBER(SEARCH(","&amp;MONTH('Rates &amp; Settings'!$C$6)&amp;",",","&amp;INDEX('Rates &amp; Settings'!$H$75:$H$96,MATCH(E91,'Rates &amp; Settings'!$B$75:$B$96,0))&amp;","))),IF(INDEX('Rates &amp; Settings'!$C$75:$C$96,MATCH(E91,'Rates &amp; Settings'!$B$75:$B$96,0))="Percent",MIN(ROUND(Q91*INDEX('Rates &amp; Settings'!$D$75:$D$96,MATCH(E91,'Rates &amp; Settings'!$B$75:$B$96,0)),0),INDEX('Rates &amp; Settings'!$F$75:$F$96,MATCH(E91,'Rates &amp; Settings'!$B$75:$B$96,0))),INDEX('Rates &amp; Settings'!$D$75:$D$96,MATCH(E91,'Rates &amp; Settings'!$B$75:$B$96,0))),0),0))</f>
        <v/>
      </c>
      <c r="AA91" s="22" t="str">
        <f aca="false">IF(B91="","",ROUND(AN91/12,0))</f>
        <v/>
      </c>
      <c r="AB91" s="21"/>
      <c r="AC91" s="21"/>
      <c r="AD91" s="22" t="str">
        <f aca="false">IF(B91="","",U91+W91+X91+Z91+IF(AB91&lt;&gt;"",N(AB91),AA91)+N(AC91))</f>
        <v/>
      </c>
      <c r="AE91" s="23" t="str">
        <f aca="false">IF(B91="","",Q91-AD91)</f>
        <v/>
      </c>
      <c r="AF91" s="22" t="str">
        <f aca="false">IF(B91="","",ROUND(T91*'Rates &amp; Settings'!$C$10,0)-AG91)</f>
        <v/>
      </c>
      <c r="AG91" s="22" t="str">
        <f aca="false">IF(B91="","",IF(H91="Yes",ROUND(MIN(T91,'Rates &amp; Settings'!$C$8)*'Rates &amp; Settings'!$C$11,0),0))</f>
        <v/>
      </c>
      <c r="AH91" s="22" t="str">
        <f aca="false">IF(B91="","",ROUND(MIN(T91,'Rates &amp; Settings'!$C$8)*'Rates &amp; Settings'!$C$12,0))</f>
        <v/>
      </c>
      <c r="AI91" s="22" t="str">
        <f aca="false">IF(B91="","",ROUND(T91*'Rates &amp; Settings'!$C$13,0))</f>
        <v/>
      </c>
      <c r="AJ91" s="22" t="str">
        <f aca="false">IF(B91="","",IF(V91="Yes",ROUNDUP(Q91*'Rates &amp; Settings'!$C$16,0),0))</f>
        <v/>
      </c>
      <c r="AK91" s="22" t="str">
        <f aca="false">IF(B91="","",IFERROR(IF(Z91=0,0,IF(INDEX('Rates &amp; Settings'!$C$75:$C$96,MATCH(E91,'Rates &amp; Settings'!$B$75:$B$96,0))="Percent",MIN(Z91*INDEX('Rates &amp; Settings'!$E$75:$E$96,MATCH(E91,'Rates &amp; Settings'!$B$75:$B$96,0)),INDEX('Rates &amp; Settings'!$G$75:$G$96,MATCH(E91,'Rates &amp; Settings'!$B$75:$B$96,0))),INDEX('Rates &amp; Settings'!$E$75:$E$96,MATCH(E91,'Rates &amp; Settings'!$B$75:$B$96,0)))),0))</f>
        <v/>
      </c>
      <c r="AL91" s="22" t="str">
        <f aca="false">IF(B91="","",Q91+AF91+AG91+AH91+AI91+AJ91+AK91)</f>
        <v/>
      </c>
      <c r="AM91" s="22" t="str">
        <f aca="false">IF(B91="","",MAX(0,P91*12-'Rates &amp; Settings'!$C$18))</f>
        <v/>
      </c>
      <c r="AN91" s="22" t="str">
        <f aca="false">IF(B91="","",IF(AM91&lt;='Rates &amp; Settings'!$C$19,0,MIN(SUMPRODUCT(--(AM91&gt;'Rates &amp; Settings'!$B$24:$B$30),AM91-'Rates &amp; Settings'!$B$24:$B$30,'Rates &amp; Settings'!$D$24:$D$30),AM91-'Rates &amp; Settings'!$C$19))*(1+'Rates &amp; Settings'!$C$20))</f>
        <v/>
      </c>
    </row>
    <row r="92" customFormat="false" ht="15" hidden="false" customHeight="false" outlineLevel="0" collapsed="false">
      <c r="B92" s="5"/>
      <c r="C92" s="5"/>
      <c r="D92" s="5"/>
      <c r="E92" s="5"/>
      <c r="F92" s="5"/>
      <c r="G92" s="5"/>
      <c r="H92" s="5"/>
      <c r="I92" s="20"/>
      <c r="J92" s="21"/>
      <c r="K92" s="21"/>
      <c r="L92" s="21"/>
      <c r="M92" s="21"/>
      <c r="N92" s="21"/>
      <c r="O92" s="21"/>
      <c r="P92" s="22" t="str">
        <f aca="false">IF(B92="","",SUM(J92:O92))</f>
        <v/>
      </c>
      <c r="Q92" s="22" t="str">
        <f aca="false">IF(B92="","",ROUND(P92*N(I92)/'Rates &amp; Settings'!$C$7,0))</f>
        <v/>
      </c>
      <c r="R92" s="22" t="str">
        <f aca="false">IF(B92="","",ROUND((N(J92)+N(K92))*N(I92)/'Rates &amp; Settings'!$C$7,0))</f>
        <v/>
      </c>
      <c r="S92" s="22" t="str">
        <f aca="false">IF(B92="","",IF('Rates &amp; Settings'!$C$14="Yes",MAX(R92,ROUND(Q92*0.5,0)),R92))</f>
        <v/>
      </c>
      <c r="T92" s="22" t="str">
        <f aca="false">IF(B92="","",IF(F92="Yes",IF(G92="Yes",MIN(S92,'Rates &amp; Settings'!$C$8),S92),0))</f>
        <v/>
      </c>
      <c r="U92" s="22" t="str">
        <f aca="false">IF(B92="","",ROUND(T92*'Rates &amp; Settings'!$C$9,0))</f>
        <v/>
      </c>
      <c r="V92" s="7" t="str">
        <f aca="false">IF(B92="","",IF(P92&lt;='Rates &amp; Settings'!$C$17,"Yes","No"))</f>
        <v/>
      </c>
      <c r="W92" s="22" t="str">
        <f aca="false">IF(B92="","",IF(V92="Yes",ROUNDUP(Q92*'Rates &amp; Settings'!$C$15,0),0))</f>
        <v/>
      </c>
      <c r="X92" s="22" t="str">
        <f aca="false">IF(B92="","",IF(Y92&lt;&gt;"",N(Y92),IF(MONTH('Rates &amp; Settings'!$C$6)=2,SUMIFS('Rates &amp; Settings'!$F$35:$F$70,'Rates &amp; Settings'!$B$35:$B$70,E92,'Rates &amp; Settings'!$C$35:$C$70,"&lt;="&amp;Q92,'Rates &amp; Settings'!$D$35:$D$70,"&gt;="&amp;Q92),SUMIFS('Rates &amp; Settings'!$E$35:$E$70,'Rates &amp; Settings'!$B$35:$B$70,E92,'Rates &amp; Settings'!$C$35:$C$70,"&lt;="&amp;Q92,'Rates &amp; Settings'!$D$35:$D$70,"&gt;="&amp;Q92))))</f>
        <v/>
      </c>
      <c r="Y92" s="21"/>
      <c r="Z92" s="22" t="str">
        <f aca="false">IF(B92="","",IFERROR(IF(OR(INDEX('Rates &amp; Settings'!$H$75:$H$96,MATCH(E92,'Rates &amp; Settings'!$B$75:$B$96,0))="All",ISNUMBER(SEARCH(","&amp;MONTH('Rates &amp; Settings'!$C$6)&amp;",",","&amp;INDEX('Rates &amp; Settings'!$H$75:$H$96,MATCH(E92,'Rates &amp; Settings'!$B$75:$B$96,0))&amp;","))),IF(INDEX('Rates &amp; Settings'!$C$75:$C$96,MATCH(E92,'Rates &amp; Settings'!$B$75:$B$96,0))="Percent",MIN(ROUND(Q92*INDEX('Rates &amp; Settings'!$D$75:$D$96,MATCH(E92,'Rates &amp; Settings'!$B$75:$B$96,0)),0),INDEX('Rates &amp; Settings'!$F$75:$F$96,MATCH(E92,'Rates &amp; Settings'!$B$75:$B$96,0))),INDEX('Rates &amp; Settings'!$D$75:$D$96,MATCH(E92,'Rates &amp; Settings'!$B$75:$B$96,0))),0),0))</f>
        <v/>
      </c>
      <c r="AA92" s="22" t="str">
        <f aca="false">IF(B92="","",ROUND(AN92/12,0))</f>
        <v/>
      </c>
      <c r="AB92" s="21"/>
      <c r="AC92" s="21"/>
      <c r="AD92" s="22" t="str">
        <f aca="false">IF(B92="","",U92+W92+X92+Z92+IF(AB92&lt;&gt;"",N(AB92),AA92)+N(AC92))</f>
        <v/>
      </c>
      <c r="AE92" s="23" t="str">
        <f aca="false">IF(B92="","",Q92-AD92)</f>
        <v/>
      </c>
      <c r="AF92" s="22" t="str">
        <f aca="false">IF(B92="","",ROUND(T92*'Rates &amp; Settings'!$C$10,0)-AG92)</f>
        <v/>
      </c>
      <c r="AG92" s="22" t="str">
        <f aca="false">IF(B92="","",IF(H92="Yes",ROUND(MIN(T92,'Rates &amp; Settings'!$C$8)*'Rates &amp; Settings'!$C$11,0),0))</f>
        <v/>
      </c>
      <c r="AH92" s="22" t="str">
        <f aca="false">IF(B92="","",ROUND(MIN(T92,'Rates &amp; Settings'!$C$8)*'Rates &amp; Settings'!$C$12,0))</f>
        <v/>
      </c>
      <c r="AI92" s="22" t="str">
        <f aca="false">IF(B92="","",ROUND(T92*'Rates &amp; Settings'!$C$13,0))</f>
        <v/>
      </c>
      <c r="AJ92" s="22" t="str">
        <f aca="false">IF(B92="","",IF(V92="Yes",ROUNDUP(Q92*'Rates &amp; Settings'!$C$16,0),0))</f>
        <v/>
      </c>
      <c r="AK92" s="22" t="str">
        <f aca="false">IF(B92="","",IFERROR(IF(Z92=0,0,IF(INDEX('Rates &amp; Settings'!$C$75:$C$96,MATCH(E92,'Rates &amp; Settings'!$B$75:$B$96,0))="Percent",MIN(Z92*INDEX('Rates &amp; Settings'!$E$75:$E$96,MATCH(E92,'Rates &amp; Settings'!$B$75:$B$96,0)),INDEX('Rates &amp; Settings'!$G$75:$G$96,MATCH(E92,'Rates &amp; Settings'!$B$75:$B$96,0))),INDEX('Rates &amp; Settings'!$E$75:$E$96,MATCH(E92,'Rates &amp; Settings'!$B$75:$B$96,0)))),0))</f>
        <v/>
      </c>
      <c r="AL92" s="22" t="str">
        <f aca="false">IF(B92="","",Q92+AF92+AG92+AH92+AI92+AJ92+AK92)</f>
        <v/>
      </c>
      <c r="AM92" s="22" t="str">
        <f aca="false">IF(B92="","",MAX(0,P92*12-'Rates &amp; Settings'!$C$18))</f>
        <v/>
      </c>
      <c r="AN92" s="22" t="str">
        <f aca="false">IF(B92="","",IF(AM92&lt;='Rates &amp; Settings'!$C$19,0,MIN(SUMPRODUCT(--(AM92&gt;'Rates &amp; Settings'!$B$24:$B$30),AM92-'Rates &amp; Settings'!$B$24:$B$30,'Rates &amp; Settings'!$D$24:$D$30),AM92-'Rates &amp; Settings'!$C$19))*(1+'Rates &amp; Settings'!$C$20))</f>
        <v/>
      </c>
    </row>
    <row r="93" customFormat="false" ht="15" hidden="false" customHeight="false" outlineLevel="0" collapsed="false">
      <c r="B93" s="5"/>
      <c r="C93" s="5"/>
      <c r="D93" s="5"/>
      <c r="E93" s="5"/>
      <c r="F93" s="5"/>
      <c r="G93" s="5"/>
      <c r="H93" s="5"/>
      <c r="I93" s="20"/>
      <c r="J93" s="21"/>
      <c r="K93" s="21"/>
      <c r="L93" s="21"/>
      <c r="M93" s="21"/>
      <c r="N93" s="21"/>
      <c r="O93" s="21"/>
      <c r="P93" s="22" t="str">
        <f aca="false">IF(B93="","",SUM(J93:O93))</f>
        <v/>
      </c>
      <c r="Q93" s="22" t="str">
        <f aca="false">IF(B93="","",ROUND(P93*N(I93)/'Rates &amp; Settings'!$C$7,0))</f>
        <v/>
      </c>
      <c r="R93" s="22" t="str">
        <f aca="false">IF(B93="","",ROUND((N(J93)+N(K93))*N(I93)/'Rates &amp; Settings'!$C$7,0))</f>
        <v/>
      </c>
      <c r="S93" s="22" t="str">
        <f aca="false">IF(B93="","",IF('Rates &amp; Settings'!$C$14="Yes",MAX(R93,ROUND(Q93*0.5,0)),R93))</f>
        <v/>
      </c>
      <c r="T93" s="22" t="str">
        <f aca="false">IF(B93="","",IF(F93="Yes",IF(G93="Yes",MIN(S93,'Rates &amp; Settings'!$C$8),S93),0))</f>
        <v/>
      </c>
      <c r="U93" s="22" t="str">
        <f aca="false">IF(B93="","",ROUND(T93*'Rates &amp; Settings'!$C$9,0))</f>
        <v/>
      </c>
      <c r="V93" s="7" t="str">
        <f aca="false">IF(B93="","",IF(P93&lt;='Rates &amp; Settings'!$C$17,"Yes","No"))</f>
        <v/>
      </c>
      <c r="W93" s="22" t="str">
        <f aca="false">IF(B93="","",IF(V93="Yes",ROUNDUP(Q93*'Rates &amp; Settings'!$C$15,0),0))</f>
        <v/>
      </c>
      <c r="X93" s="22" t="str">
        <f aca="false">IF(B93="","",IF(Y93&lt;&gt;"",N(Y93),IF(MONTH('Rates &amp; Settings'!$C$6)=2,SUMIFS('Rates &amp; Settings'!$F$35:$F$70,'Rates &amp; Settings'!$B$35:$B$70,E93,'Rates &amp; Settings'!$C$35:$C$70,"&lt;="&amp;Q93,'Rates &amp; Settings'!$D$35:$D$70,"&gt;="&amp;Q93),SUMIFS('Rates &amp; Settings'!$E$35:$E$70,'Rates &amp; Settings'!$B$35:$B$70,E93,'Rates &amp; Settings'!$C$35:$C$70,"&lt;="&amp;Q93,'Rates &amp; Settings'!$D$35:$D$70,"&gt;="&amp;Q93))))</f>
        <v/>
      </c>
      <c r="Y93" s="21"/>
      <c r="Z93" s="22" t="str">
        <f aca="false">IF(B93="","",IFERROR(IF(OR(INDEX('Rates &amp; Settings'!$H$75:$H$96,MATCH(E93,'Rates &amp; Settings'!$B$75:$B$96,0))="All",ISNUMBER(SEARCH(","&amp;MONTH('Rates &amp; Settings'!$C$6)&amp;",",","&amp;INDEX('Rates &amp; Settings'!$H$75:$H$96,MATCH(E93,'Rates &amp; Settings'!$B$75:$B$96,0))&amp;","))),IF(INDEX('Rates &amp; Settings'!$C$75:$C$96,MATCH(E93,'Rates &amp; Settings'!$B$75:$B$96,0))="Percent",MIN(ROUND(Q93*INDEX('Rates &amp; Settings'!$D$75:$D$96,MATCH(E93,'Rates &amp; Settings'!$B$75:$B$96,0)),0),INDEX('Rates &amp; Settings'!$F$75:$F$96,MATCH(E93,'Rates &amp; Settings'!$B$75:$B$96,0))),INDEX('Rates &amp; Settings'!$D$75:$D$96,MATCH(E93,'Rates &amp; Settings'!$B$75:$B$96,0))),0),0))</f>
        <v/>
      </c>
      <c r="AA93" s="22" t="str">
        <f aca="false">IF(B93="","",ROUND(AN93/12,0))</f>
        <v/>
      </c>
      <c r="AB93" s="21"/>
      <c r="AC93" s="21"/>
      <c r="AD93" s="22" t="str">
        <f aca="false">IF(B93="","",U93+W93+X93+Z93+IF(AB93&lt;&gt;"",N(AB93),AA93)+N(AC93))</f>
        <v/>
      </c>
      <c r="AE93" s="23" t="str">
        <f aca="false">IF(B93="","",Q93-AD93)</f>
        <v/>
      </c>
      <c r="AF93" s="22" t="str">
        <f aca="false">IF(B93="","",ROUND(T93*'Rates &amp; Settings'!$C$10,0)-AG93)</f>
        <v/>
      </c>
      <c r="AG93" s="22" t="str">
        <f aca="false">IF(B93="","",IF(H93="Yes",ROUND(MIN(T93,'Rates &amp; Settings'!$C$8)*'Rates &amp; Settings'!$C$11,0),0))</f>
        <v/>
      </c>
      <c r="AH93" s="22" t="str">
        <f aca="false">IF(B93="","",ROUND(MIN(T93,'Rates &amp; Settings'!$C$8)*'Rates &amp; Settings'!$C$12,0))</f>
        <v/>
      </c>
      <c r="AI93" s="22" t="str">
        <f aca="false">IF(B93="","",ROUND(T93*'Rates &amp; Settings'!$C$13,0))</f>
        <v/>
      </c>
      <c r="AJ93" s="22" t="str">
        <f aca="false">IF(B93="","",IF(V93="Yes",ROUNDUP(Q93*'Rates &amp; Settings'!$C$16,0),0))</f>
        <v/>
      </c>
      <c r="AK93" s="22" t="str">
        <f aca="false">IF(B93="","",IFERROR(IF(Z93=0,0,IF(INDEX('Rates &amp; Settings'!$C$75:$C$96,MATCH(E93,'Rates &amp; Settings'!$B$75:$B$96,0))="Percent",MIN(Z93*INDEX('Rates &amp; Settings'!$E$75:$E$96,MATCH(E93,'Rates &amp; Settings'!$B$75:$B$96,0)),INDEX('Rates &amp; Settings'!$G$75:$G$96,MATCH(E93,'Rates &amp; Settings'!$B$75:$B$96,0))),INDEX('Rates &amp; Settings'!$E$75:$E$96,MATCH(E93,'Rates &amp; Settings'!$B$75:$B$96,0)))),0))</f>
        <v/>
      </c>
      <c r="AL93" s="22" t="str">
        <f aca="false">IF(B93="","",Q93+AF93+AG93+AH93+AI93+AJ93+AK93)</f>
        <v/>
      </c>
      <c r="AM93" s="22" t="str">
        <f aca="false">IF(B93="","",MAX(0,P93*12-'Rates &amp; Settings'!$C$18))</f>
        <v/>
      </c>
      <c r="AN93" s="22" t="str">
        <f aca="false">IF(B93="","",IF(AM93&lt;='Rates &amp; Settings'!$C$19,0,MIN(SUMPRODUCT(--(AM93&gt;'Rates &amp; Settings'!$B$24:$B$30),AM93-'Rates &amp; Settings'!$B$24:$B$30,'Rates &amp; Settings'!$D$24:$D$30),AM93-'Rates &amp; Settings'!$C$19))*(1+'Rates &amp; Settings'!$C$20))</f>
        <v/>
      </c>
    </row>
    <row r="94" customFormat="false" ht="15" hidden="false" customHeight="false" outlineLevel="0" collapsed="false">
      <c r="B94" s="5"/>
      <c r="C94" s="5"/>
      <c r="D94" s="5"/>
      <c r="E94" s="5"/>
      <c r="F94" s="5"/>
      <c r="G94" s="5"/>
      <c r="H94" s="5"/>
      <c r="I94" s="20"/>
      <c r="J94" s="21"/>
      <c r="K94" s="21"/>
      <c r="L94" s="21"/>
      <c r="M94" s="21"/>
      <c r="N94" s="21"/>
      <c r="O94" s="21"/>
      <c r="P94" s="22" t="str">
        <f aca="false">IF(B94="","",SUM(J94:O94))</f>
        <v/>
      </c>
      <c r="Q94" s="22" t="str">
        <f aca="false">IF(B94="","",ROUND(P94*N(I94)/'Rates &amp; Settings'!$C$7,0))</f>
        <v/>
      </c>
      <c r="R94" s="22" t="str">
        <f aca="false">IF(B94="","",ROUND((N(J94)+N(K94))*N(I94)/'Rates &amp; Settings'!$C$7,0))</f>
        <v/>
      </c>
      <c r="S94" s="22" t="str">
        <f aca="false">IF(B94="","",IF('Rates &amp; Settings'!$C$14="Yes",MAX(R94,ROUND(Q94*0.5,0)),R94))</f>
        <v/>
      </c>
      <c r="T94" s="22" t="str">
        <f aca="false">IF(B94="","",IF(F94="Yes",IF(G94="Yes",MIN(S94,'Rates &amp; Settings'!$C$8),S94),0))</f>
        <v/>
      </c>
      <c r="U94" s="22" t="str">
        <f aca="false">IF(B94="","",ROUND(T94*'Rates &amp; Settings'!$C$9,0))</f>
        <v/>
      </c>
      <c r="V94" s="7" t="str">
        <f aca="false">IF(B94="","",IF(P94&lt;='Rates &amp; Settings'!$C$17,"Yes","No"))</f>
        <v/>
      </c>
      <c r="W94" s="22" t="str">
        <f aca="false">IF(B94="","",IF(V94="Yes",ROUNDUP(Q94*'Rates &amp; Settings'!$C$15,0),0))</f>
        <v/>
      </c>
      <c r="X94" s="22" t="str">
        <f aca="false">IF(B94="","",IF(Y94&lt;&gt;"",N(Y94),IF(MONTH('Rates &amp; Settings'!$C$6)=2,SUMIFS('Rates &amp; Settings'!$F$35:$F$70,'Rates &amp; Settings'!$B$35:$B$70,E94,'Rates &amp; Settings'!$C$35:$C$70,"&lt;="&amp;Q94,'Rates &amp; Settings'!$D$35:$D$70,"&gt;="&amp;Q94),SUMIFS('Rates &amp; Settings'!$E$35:$E$70,'Rates &amp; Settings'!$B$35:$B$70,E94,'Rates &amp; Settings'!$C$35:$C$70,"&lt;="&amp;Q94,'Rates &amp; Settings'!$D$35:$D$70,"&gt;="&amp;Q94))))</f>
        <v/>
      </c>
      <c r="Y94" s="21"/>
      <c r="Z94" s="22" t="str">
        <f aca="false">IF(B94="","",IFERROR(IF(OR(INDEX('Rates &amp; Settings'!$H$75:$H$96,MATCH(E94,'Rates &amp; Settings'!$B$75:$B$96,0))="All",ISNUMBER(SEARCH(","&amp;MONTH('Rates &amp; Settings'!$C$6)&amp;",",","&amp;INDEX('Rates &amp; Settings'!$H$75:$H$96,MATCH(E94,'Rates &amp; Settings'!$B$75:$B$96,0))&amp;","))),IF(INDEX('Rates &amp; Settings'!$C$75:$C$96,MATCH(E94,'Rates &amp; Settings'!$B$75:$B$96,0))="Percent",MIN(ROUND(Q94*INDEX('Rates &amp; Settings'!$D$75:$D$96,MATCH(E94,'Rates &amp; Settings'!$B$75:$B$96,0)),0),INDEX('Rates &amp; Settings'!$F$75:$F$96,MATCH(E94,'Rates &amp; Settings'!$B$75:$B$96,0))),INDEX('Rates &amp; Settings'!$D$75:$D$96,MATCH(E94,'Rates &amp; Settings'!$B$75:$B$96,0))),0),0))</f>
        <v/>
      </c>
      <c r="AA94" s="22" t="str">
        <f aca="false">IF(B94="","",ROUND(AN94/12,0))</f>
        <v/>
      </c>
      <c r="AB94" s="21"/>
      <c r="AC94" s="21"/>
      <c r="AD94" s="22" t="str">
        <f aca="false">IF(B94="","",U94+W94+X94+Z94+IF(AB94&lt;&gt;"",N(AB94),AA94)+N(AC94))</f>
        <v/>
      </c>
      <c r="AE94" s="23" t="str">
        <f aca="false">IF(B94="","",Q94-AD94)</f>
        <v/>
      </c>
      <c r="AF94" s="22" t="str">
        <f aca="false">IF(B94="","",ROUND(T94*'Rates &amp; Settings'!$C$10,0)-AG94)</f>
        <v/>
      </c>
      <c r="AG94" s="22" t="str">
        <f aca="false">IF(B94="","",IF(H94="Yes",ROUND(MIN(T94,'Rates &amp; Settings'!$C$8)*'Rates &amp; Settings'!$C$11,0),0))</f>
        <v/>
      </c>
      <c r="AH94" s="22" t="str">
        <f aca="false">IF(B94="","",ROUND(MIN(T94,'Rates &amp; Settings'!$C$8)*'Rates &amp; Settings'!$C$12,0))</f>
        <v/>
      </c>
      <c r="AI94" s="22" t="str">
        <f aca="false">IF(B94="","",ROUND(T94*'Rates &amp; Settings'!$C$13,0))</f>
        <v/>
      </c>
      <c r="AJ94" s="22" t="str">
        <f aca="false">IF(B94="","",IF(V94="Yes",ROUNDUP(Q94*'Rates &amp; Settings'!$C$16,0),0))</f>
        <v/>
      </c>
      <c r="AK94" s="22" t="str">
        <f aca="false">IF(B94="","",IFERROR(IF(Z94=0,0,IF(INDEX('Rates &amp; Settings'!$C$75:$C$96,MATCH(E94,'Rates &amp; Settings'!$B$75:$B$96,0))="Percent",MIN(Z94*INDEX('Rates &amp; Settings'!$E$75:$E$96,MATCH(E94,'Rates &amp; Settings'!$B$75:$B$96,0)),INDEX('Rates &amp; Settings'!$G$75:$G$96,MATCH(E94,'Rates &amp; Settings'!$B$75:$B$96,0))),INDEX('Rates &amp; Settings'!$E$75:$E$96,MATCH(E94,'Rates &amp; Settings'!$B$75:$B$96,0)))),0))</f>
        <v/>
      </c>
      <c r="AL94" s="22" t="str">
        <f aca="false">IF(B94="","",Q94+AF94+AG94+AH94+AI94+AJ94+AK94)</f>
        <v/>
      </c>
      <c r="AM94" s="22" t="str">
        <f aca="false">IF(B94="","",MAX(0,P94*12-'Rates &amp; Settings'!$C$18))</f>
        <v/>
      </c>
      <c r="AN94" s="22" t="str">
        <f aca="false">IF(B94="","",IF(AM94&lt;='Rates &amp; Settings'!$C$19,0,MIN(SUMPRODUCT(--(AM94&gt;'Rates &amp; Settings'!$B$24:$B$30),AM94-'Rates &amp; Settings'!$B$24:$B$30,'Rates &amp; Settings'!$D$24:$D$30),AM94-'Rates &amp; Settings'!$C$19))*(1+'Rates &amp; Settings'!$C$20))</f>
        <v/>
      </c>
    </row>
    <row r="95" customFormat="false" ht="15" hidden="false" customHeight="false" outlineLevel="0" collapsed="false">
      <c r="B95" s="5"/>
      <c r="C95" s="5"/>
      <c r="D95" s="5"/>
      <c r="E95" s="5"/>
      <c r="F95" s="5"/>
      <c r="G95" s="5"/>
      <c r="H95" s="5"/>
      <c r="I95" s="20"/>
      <c r="J95" s="21"/>
      <c r="K95" s="21"/>
      <c r="L95" s="21"/>
      <c r="M95" s="21"/>
      <c r="N95" s="21"/>
      <c r="O95" s="21"/>
      <c r="P95" s="22" t="str">
        <f aca="false">IF(B95="","",SUM(J95:O95))</f>
        <v/>
      </c>
      <c r="Q95" s="22" t="str">
        <f aca="false">IF(B95="","",ROUND(P95*N(I95)/'Rates &amp; Settings'!$C$7,0))</f>
        <v/>
      </c>
      <c r="R95" s="22" t="str">
        <f aca="false">IF(B95="","",ROUND((N(J95)+N(K95))*N(I95)/'Rates &amp; Settings'!$C$7,0))</f>
        <v/>
      </c>
      <c r="S95" s="22" t="str">
        <f aca="false">IF(B95="","",IF('Rates &amp; Settings'!$C$14="Yes",MAX(R95,ROUND(Q95*0.5,0)),R95))</f>
        <v/>
      </c>
      <c r="T95" s="22" t="str">
        <f aca="false">IF(B95="","",IF(F95="Yes",IF(G95="Yes",MIN(S95,'Rates &amp; Settings'!$C$8),S95),0))</f>
        <v/>
      </c>
      <c r="U95" s="22" t="str">
        <f aca="false">IF(B95="","",ROUND(T95*'Rates &amp; Settings'!$C$9,0))</f>
        <v/>
      </c>
      <c r="V95" s="7" t="str">
        <f aca="false">IF(B95="","",IF(P95&lt;='Rates &amp; Settings'!$C$17,"Yes","No"))</f>
        <v/>
      </c>
      <c r="W95" s="22" t="str">
        <f aca="false">IF(B95="","",IF(V95="Yes",ROUNDUP(Q95*'Rates &amp; Settings'!$C$15,0),0))</f>
        <v/>
      </c>
      <c r="X95" s="22" t="str">
        <f aca="false">IF(B95="","",IF(Y95&lt;&gt;"",N(Y95),IF(MONTH('Rates &amp; Settings'!$C$6)=2,SUMIFS('Rates &amp; Settings'!$F$35:$F$70,'Rates &amp; Settings'!$B$35:$B$70,E95,'Rates &amp; Settings'!$C$35:$C$70,"&lt;="&amp;Q95,'Rates &amp; Settings'!$D$35:$D$70,"&gt;="&amp;Q95),SUMIFS('Rates &amp; Settings'!$E$35:$E$70,'Rates &amp; Settings'!$B$35:$B$70,E95,'Rates &amp; Settings'!$C$35:$C$70,"&lt;="&amp;Q95,'Rates &amp; Settings'!$D$35:$D$70,"&gt;="&amp;Q95))))</f>
        <v/>
      </c>
      <c r="Y95" s="21"/>
      <c r="Z95" s="22" t="str">
        <f aca="false">IF(B95="","",IFERROR(IF(OR(INDEX('Rates &amp; Settings'!$H$75:$H$96,MATCH(E95,'Rates &amp; Settings'!$B$75:$B$96,0))="All",ISNUMBER(SEARCH(","&amp;MONTH('Rates &amp; Settings'!$C$6)&amp;",",","&amp;INDEX('Rates &amp; Settings'!$H$75:$H$96,MATCH(E95,'Rates &amp; Settings'!$B$75:$B$96,0))&amp;","))),IF(INDEX('Rates &amp; Settings'!$C$75:$C$96,MATCH(E95,'Rates &amp; Settings'!$B$75:$B$96,0))="Percent",MIN(ROUND(Q95*INDEX('Rates &amp; Settings'!$D$75:$D$96,MATCH(E95,'Rates &amp; Settings'!$B$75:$B$96,0)),0),INDEX('Rates &amp; Settings'!$F$75:$F$96,MATCH(E95,'Rates &amp; Settings'!$B$75:$B$96,0))),INDEX('Rates &amp; Settings'!$D$75:$D$96,MATCH(E95,'Rates &amp; Settings'!$B$75:$B$96,0))),0),0))</f>
        <v/>
      </c>
      <c r="AA95" s="22" t="str">
        <f aca="false">IF(B95="","",ROUND(AN95/12,0))</f>
        <v/>
      </c>
      <c r="AB95" s="21"/>
      <c r="AC95" s="21"/>
      <c r="AD95" s="22" t="str">
        <f aca="false">IF(B95="","",U95+W95+X95+Z95+IF(AB95&lt;&gt;"",N(AB95),AA95)+N(AC95))</f>
        <v/>
      </c>
      <c r="AE95" s="23" t="str">
        <f aca="false">IF(B95="","",Q95-AD95)</f>
        <v/>
      </c>
      <c r="AF95" s="22" t="str">
        <f aca="false">IF(B95="","",ROUND(T95*'Rates &amp; Settings'!$C$10,0)-AG95)</f>
        <v/>
      </c>
      <c r="AG95" s="22" t="str">
        <f aca="false">IF(B95="","",IF(H95="Yes",ROUND(MIN(T95,'Rates &amp; Settings'!$C$8)*'Rates &amp; Settings'!$C$11,0),0))</f>
        <v/>
      </c>
      <c r="AH95" s="22" t="str">
        <f aca="false">IF(B95="","",ROUND(MIN(T95,'Rates &amp; Settings'!$C$8)*'Rates &amp; Settings'!$C$12,0))</f>
        <v/>
      </c>
      <c r="AI95" s="22" t="str">
        <f aca="false">IF(B95="","",ROUND(T95*'Rates &amp; Settings'!$C$13,0))</f>
        <v/>
      </c>
      <c r="AJ95" s="22" t="str">
        <f aca="false">IF(B95="","",IF(V95="Yes",ROUNDUP(Q95*'Rates &amp; Settings'!$C$16,0),0))</f>
        <v/>
      </c>
      <c r="AK95" s="22" t="str">
        <f aca="false">IF(B95="","",IFERROR(IF(Z95=0,0,IF(INDEX('Rates &amp; Settings'!$C$75:$C$96,MATCH(E95,'Rates &amp; Settings'!$B$75:$B$96,0))="Percent",MIN(Z95*INDEX('Rates &amp; Settings'!$E$75:$E$96,MATCH(E95,'Rates &amp; Settings'!$B$75:$B$96,0)),INDEX('Rates &amp; Settings'!$G$75:$G$96,MATCH(E95,'Rates &amp; Settings'!$B$75:$B$96,0))),INDEX('Rates &amp; Settings'!$E$75:$E$96,MATCH(E95,'Rates &amp; Settings'!$B$75:$B$96,0)))),0))</f>
        <v/>
      </c>
      <c r="AL95" s="22" t="str">
        <f aca="false">IF(B95="","",Q95+AF95+AG95+AH95+AI95+AJ95+AK95)</f>
        <v/>
      </c>
      <c r="AM95" s="22" t="str">
        <f aca="false">IF(B95="","",MAX(0,P95*12-'Rates &amp; Settings'!$C$18))</f>
        <v/>
      </c>
      <c r="AN95" s="22" t="str">
        <f aca="false">IF(B95="","",IF(AM95&lt;='Rates &amp; Settings'!$C$19,0,MIN(SUMPRODUCT(--(AM95&gt;'Rates &amp; Settings'!$B$24:$B$30),AM95-'Rates &amp; Settings'!$B$24:$B$30,'Rates &amp; Settings'!$D$24:$D$30),AM95-'Rates &amp; Settings'!$C$19))*(1+'Rates &amp; Settings'!$C$20))</f>
        <v/>
      </c>
    </row>
    <row r="96" customFormat="false" ht="15" hidden="false" customHeight="false" outlineLevel="0" collapsed="false">
      <c r="B96" s="5"/>
      <c r="C96" s="5"/>
      <c r="D96" s="5"/>
      <c r="E96" s="5"/>
      <c r="F96" s="5"/>
      <c r="G96" s="5"/>
      <c r="H96" s="5"/>
      <c r="I96" s="20"/>
      <c r="J96" s="21"/>
      <c r="K96" s="21"/>
      <c r="L96" s="21"/>
      <c r="M96" s="21"/>
      <c r="N96" s="21"/>
      <c r="O96" s="21"/>
      <c r="P96" s="22" t="str">
        <f aca="false">IF(B96="","",SUM(J96:O96))</f>
        <v/>
      </c>
      <c r="Q96" s="22" t="str">
        <f aca="false">IF(B96="","",ROUND(P96*N(I96)/'Rates &amp; Settings'!$C$7,0))</f>
        <v/>
      </c>
      <c r="R96" s="22" t="str">
        <f aca="false">IF(B96="","",ROUND((N(J96)+N(K96))*N(I96)/'Rates &amp; Settings'!$C$7,0))</f>
        <v/>
      </c>
      <c r="S96" s="22" t="str">
        <f aca="false">IF(B96="","",IF('Rates &amp; Settings'!$C$14="Yes",MAX(R96,ROUND(Q96*0.5,0)),R96))</f>
        <v/>
      </c>
      <c r="T96" s="22" t="str">
        <f aca="false">IF(B96="","",IF(F96="Yes",IF(G96="Yes",MIN(S96,'Rates &amp; Settings'!$C$8),S96),0))</f>
        <v/>
      </c>
      <c r="U96" s="22" t="str">
        <f aca="false">IF(B96="","",ROUND(T96*'Rates &amp; Settings'!$C$9,0))</f>
        <v/>
      </c>
      <c r="V96" s="7" t="str">
        <f aca="false">IF(B96="","",IF(P96&lt;='Rates &amp; Settings'!$C$17,"Yes","No"))</f>
        <v/>
      </c>
      <c r="W96" s="22" t="str">
        <f aca="false">IF(B96="","",IF(V96="Yes",ROUNDUP(Q96*'Rates &amp; Settings'!$C$15,0),0))</f>
        <v/>
      </c>
      <c r="X96" s="22" t="str">
        <f aca="false">IF(B96="","",IF(Y96&lt;&gt;"",N(Y96),IF(MONTH('Rates &amp; Settings'!$C$6)=2,SUMIFS('Rates &amp; Settings'!$F$35:$F$70,'Rates &amp; Settings'!$B$35:$B$70,E96,'Rates &amp; Settings'!$C$35:$C$70,"&lt;="&amp;Q96,'Rates &amp; Settings'!$D$35:$D$70,"&gt;="&amp;Q96),SUMIFS('Rates &amp; Settings'!$E$35:$E$70,'Rates &amp; Settings'!$B$35:$B$70,E96,'Rates &amp; Settings'!$C$35:$C$70,"&lt;="&amp;Q96,'Rates &amp; Settings'!$D$35:$D$70,"&gt;="&amp;Q96))))</f>
        <v/>
      </c>
      <c r="Y96" s="21"/>
      <c r="Z96" s="22" t="str">
        <f aca="false">IF(B96="","",IFERROR(IF(OR(INDEX('Rates &amp; Settings'!$H$75:$H$96,MATCH(E96,'Rates &amp; Settings'!$B$75:$B$96,0))="All",ISNUMBER(SEARCH(","&amp;MONTH('Rates &amp; Settings'!$C$6)&amp;",",","&amp;INDEX('Rates &amp; Settings'!$H$75:$H$96,MATCH(E96,'Rates &amp; Settings'!$B$75:$B$96,0))&amp;","))),IF(INDEX('Rates &amp; Settings'!$C$75:$C$96,MATCH(E96,'Rates &amp; Settings'!$B$75:$B$96,0))="Percent",MIN(ROUND(Q96*INDEX('Rates &amp; Settings'!$D$75:$D$96,MATCH(E96,'Rates &amp; Settings'!$B$75:$B$96,0)),0),INDEX('Rates &amp; Settings'!$F$75:$F$96,MATCH(E96,'Rates &amp; Settings'!$B$75:$B$96,0))),INDEX('Rates &amp; Settings'!$D$75:$D$96,MATCH(E96,'Rates &amp; Settings'!$B$75:$B$96,0))),0),0))</f>
        <v/>
      </c>
      <c r="AA96" s="22" t="str">
        <f aca="false">IF(B96="","",ROUND(AN96/12,0))</f>
        <v/>
      </c>
      <c r="AB96" s="21"/>
      <c r="AC96" s="21"/>
      <c r="AD96" s="22" t="str">
        <f aca="false">IF(B96="","",U96+W96+X96+Z96+IF(AB96&lt;&gt;"",N(AB96),AA96)+N(AC96))</f>
        <v/>
      </c>
      <c r="AE96" s="23" t="str">
        <f aca="false">IF(B96="","",Q96-AD96)</f>
        <v/>
      </c>
      <c r="AF96" s="22" t="str">
        <f aca="false">IF(B96="","",ROUND(T96*'Rates &amp; Settings'!$C$10,0)-AG96)</f>
        <v/>
      </c>
      <c r="AG96" s="22" t="str">
        <f aca="false">IF(B96="","",IF(H96="Yes",ROUND(MIN(T96,'Rates &amp; Settings'!$C$8)*'Rates &amp; Settings'!$C$11,0),0))</f>
        <v/>
      </c>
      <c r="AH96" s="22" t="str">
        <f aca="false">IF(B96="","",ROUND(MIN(T96,'Rates &amp; Settings'!$C$8)*'Rates &amp; Settings'!$C$12,0))</f>
        <v/>
      </c>
      <c r="AI96" s="22" t="str">
        <f aca="false">IF(B96="","",ROUND(T96*'Rates &amp; Settings'!$C$13,0))</f>
        <v/>
      </c>
      <c r="AJ96" s="22" t="str">
        <f aca="false">IF(B96="","",IF(V96="Yes",ROUNDUP(Q96*'Rates &amp; Settings'!$C$16,0),0))</f>
        <v/>
      </c>
      <c r="AK96" s="22" t="str">
        <f aca="false">IF(B96="","",IFERROR(IF(Z96=0,0,IF(INDEX('Rates &amp; Settings'!$C$75:$C$96,MATCH(E96,'Rates &amp; Settings'!$B$75:$B$96,0))="Percent",MIN(Z96*INDEX('Rates &amp; Settings'!$E$75:$E$96,MATCH(E96,'Rates &amp; Settings'!$B$75:$B$96,0)),INDEX('Rates &amp; Settings'!$G$75:$G$96,MATCH(E96,'Rates &amp; Settings'!$B$75:$B$96,0))),INDEX('Rates &amp; Settings'!$E$75:$E$96,MATCH(E96,'Rates &amp; Settings'!$B$75:$B$96,0)))),0))</f>
        <v/>
      </c>
      <c r="AL96" s="22" t="str">
        <f aca="false">IF(B96="","",Q96+AF96+AG96+AH96+AI96+AJ96+AK96)</f>
        <v/>
      </c>
      <c r="AM96" s="22" t="str">
        <f aca="false">IF(B96="","",MAX(0,P96*12-'Rates &amp; Settings'!$C$18))</f>
        <v/>
      </c>
      <c r="AN96" s="22" t="str">
        <f aca="false">IF(B96="","",IF(AM96&lt;='Rates &amp; Settings'!$C$19,0,MIN(SUMPRODUCT(--(AM96&gt;'Rates &amp; Settings'!$B$24:$B$30),AM96-'Rates &amp; Settings'!$B$24:$B$30,'Rates &amp; Settings'!$D$24:$D$30),AM96-'Rates &amp; Settings'!$C$19))*(1+'Rates &amp; Settings'!$C$20))</f>
        <v/>
      </c>
    </row>
    <row r="97" customFormat="false" ht="15" hidden="false" customHeight="false" outlineLevel="0" collapsed="false">
      <c r="B97" s="5"/>
      <c r="C97" s="5"/>
      <c r="D97" s="5"/>
      <c r="E97" s="5"/>
      <c r="F97" s="5"/>
      <c r="G97" s="5"/>
      <c r="H97" s="5"/>
      <c r="I97" s="20"/>
      <c r="J97" s="21"/>
      <c r="K97" s="21"/>
      <c r="L97" s="21"/>
      <c r="M97" s="21"/>
      <c r="N97" s="21"/>
      <c r="O97" s="21"/>
      <c r="P97" s="22" t="str">
        <f aca="false">IF(B97="","",SUM(J97:O97))</f>
        <v/>
      </c>
      <c r="Q97" s="22" t="str">
        <f aca="false">IF(B97="","",ROUND(P97*N(I97)/'Rates &amp; Settings'!$C$7,0))</f>
        <v/>
      </c>
      <c r="R97" s="22" t="str">
        <f aca="false">IF(B97="","",ROUND((N(J97)+N(K97))*N(I97)/'Rates &amp; Settings'!$C$7,0))</f>
        <v/>
      </c>
      <c r="S97" s="22" t="str">
        <f aca="false">IF(B97="","",IF('Rates &amp; Settings'!$C$14="Yes",MAX(R97,ROUND(Q97*0.5,0)),R97))</f>
        <v/>
      </c>
      <c r="T97" s="22" t="str">
        <f aca="false">IF(B97="","",IF(F97="Yes",IF(G97="Yes",MIN(S97,'Rates &amp; Settings'!$C$8),S97),0))</f>
        <v/>
      </c>
      <c r="U97" s="22" t="str">
        <f aca="false">IF(B97="","",ROUND(T97*'Rates &amp; Settings'!$C$9,0))</f>
        <v/>
      </c>
      <c r="V97" s="7" t="str">
        <f aca="false">IF(B97="","",IF(P97&lt;='Rates &amp; Settings'!$C$17,"Yes","No"))</f>
        <v/>
      </c>
      <c r="W97" s="22" t="str">
        <f aca="false">IF(B97="","",IF(V97="Yes",ROUNDUP(Q97*'Rates &amp; Settings'!$C$15,0),0))</f>
        <v/>
      </c>
      <c r="X97" s="22" t="str">
        <f aca="false">IF(B97="","",IF(Y97&lt;&gt;"",N(Y97),IF(MONTH('Rates &amp; Settings'!$C$6)=2,SUMIFS('Rates &amp; Settings'!$F$35:$F$70,'Rates &amp; Settings'!$B$35:$B$70,E97,'Rates &amp; Settings'!$C$35:$C$70,"&lt;="&amp;Q97,'Rates &amp; Settings'!$D$35:$D$70,"&gt;="&amp;Q97),SUMIFS('Rates &amp; Settings'!$E$35:$E$70,'Rates &amp; Settings'!$B$35:$B$70,E97,'Rates &amp; Settings'!$C$35:$C$70,"&lt;="&amp;Q97,'Rates &amp; Settings'!$D$35:$D$70,"&gt;="&amp;Q97))))</f>
        <v/>
      </c>
      <c r="Y97" s="21"/>
      <c r="Z97" s="22" t="str">
        <f aca="false">IF(B97="","",IFERROR(IF(OR(INDEX('Rates &amp; Settings'!$H$75:$H$96,MATCH(E97,'Rates &amp; Settings'!$B$75:$B$96,0))="All",ISNUMBER(SEARCH(","&amp;MONTH('Rates &amp; Settings'!$C$6)&amp;",",","&amp;INDEX('Rates &amp; Settings'!$H$75:$H$96,MATCH(E97,'Rates &amp; Settings'!$B$75:$B$96,0))&amp;","))),IF(INDEX('Rates &amp; Settings'!$C$75:$C$96,MATCH(E97,'Rates &amp; Settings'!$B$75:$B$96,0))="Percent",MIN(ROUND(Q97*INDEX('Rates &amp; Settings'!$D$75:$D$96,MATCH(E97,'Rates &amp; Settings'!$B$75:$B$96,0)),0),INDEX('Rates &amp; Settings'!$F$75:$F$96,MATCH(E97,'Rates &amp; Settings'!$B$75:$B$96,0))),INDEX('Rates &amp; Settings'!$D$75:$D$96,MATCH(E97,'Rates &amp; Settings'!$B$75:$B$96,0))),0),0))</f>
        <v/>
      </c>
      <c r="AA97" s="22" t="str">
        <f aca="false">IF(B97="","",ROUND(AN97/12,0))</f>
        <v/>
      </c>
      <c r="AB97" s="21"/>
      <c r="AC97" s="21"/>
      <c r="AD97" s="22" t="str">
        <f aca="false">IF(B97="","",U97+W97+X97+Z97+IF(AB97&lt;&gt;"",N(AB97),AA97)+N(AC97))</f>
        <v/>
      </c>
      <c r="AE97" s="23" t="str">
        <f aca="false">IF(B97="","",Q97-AD97)</f>
        <v/>
      </c>
      <c r="AF97" s="22" t="str">
        <f aca="false">IF(B97="","",ROUND(T97*'Rates &amp; Settings'!$C$10,0)-AG97)</f>
        <v/>
      </c>
      <c r="AG97" s="22" t="str">
        <f aca="false">IF(B97="","",IF(H97="Yes",ROUND(MIN(T97,'Rates &amp; Settings'!$C$8)*'Rates &amp; Settings'!$C$11,0),0))</f>
        <v/>
      </c>
      <c r="AH97" s="22" t="str">
        <f aca="false">IF(B97="","",ROUND(MIN(T97,'Rates &amp; Settings'!$C$8)*'Rates &amp; Settings'!$C$12,0))</f>
        <v/>
      </c>
      <c r="AI97" s="22" t="str">
        <f aca="false">IF(B97="","",ROUND(T97*'Rates &amp; Settings'!$C$13,0))</f>
        <v/>
      </c>
      <c r="AJ97" s="22" t="str">
        <f aca="false">IF(B97="","",IF(V97="Yes",ROUNDUP(Q97*'Rates &amp; Settings'!$C$16,0),0))</f>
        <v/>
      </c>
      <c r="AK97" s="22" t="str">
        <f aca="false">IF(B97="","",IFERROR(IF(Z97=0,0,IF(INDEX('Rates &amp; Settings'!$C$75:$C$96,MATCH(E97,'Rates &amp; Settings'!$B$75:$B$96,0))="Percent",MIN(Z97*INDEX('Rates &amp; Settings'!$E$75:$E$96,MATCH(E97,'Rates &amp; Settings'!$B$75:$B$96,0)),INDEX('Rates &amp; Settings'!$G$75:$G$96,MATCH(E97,'Rates &amp; Settings'!$B$75:$B$96,0))),INDEX('Rates &amp; Settings'!$E$75:$E$96,MATCH(E97,'Rates &amp; Settings'!$B$75:$B$96,0)))),0))</f>
        <v/>
      </c>
      <c r="AL97" s="22" t="str">
        <f aca="false">IF(B97="","",Q97+AF97+AG97+AH97+AI97+AJ97+AK97)</f>
        <v/>
      </c>
      <c r="AM97" s="22" t="str">
        <f aca="false">IF(B97="","",MAX(0,P97*12-'Rates &amp; Settings'!$C$18))</f>
        <v/>
      </c>
      <c r="AN97" s="22" t="str">
        <f aca="false">IF(B97="","",IF(AM97&lt;='Rates &amp; Settings'!$C$19,0,MIN(SUMPRODUCT(--(AM97&gt;'Rates &amp; Settings'!$B$24:$B$30),AM97-'Rates &amp; Settings'!$B$24:$B$30,'Rates &amp; Settings'!$D$24:$D$30),AM97-'Rates &amp; Settings'!$C$19))*(1+'Rates &amp; Settings'!$C$20))</f>
        <v/>
      </c>
    </row>
    <row r="98" customFormat="false" ht="15" hidden="false" customHeight="false" outlineLevel="0" collapsed="false">
      <c r="B98" s="5"/>
      <c r="C98" s="5"/>
      <c r="D98" s="5"/>
      <c r="E98" s="5"/>
      <c r="F98" s="5"/>
      <c r="G98" s="5"/>
      <c r="H98" s="5"/>
      <c r="I98" s="20"/>
      <c r="J98" s="21"/>
      <c r="K98" s="21"/>
      <c r="L98" s="21"/>
      <c r="M98" s="21"/>
      <c r="N98" s="21"/>
      <c r="O98" s="21"/>
      <c r="P98" s="22" t="str">
        <f aca="false">IF(B98="","",SUM(J98:O98))</f>
        <v/>
      </c>
      <c r="Q98" s="22" t="str">
        <f aca="false">IF(B98="","",ROUND(P98*N(I98)/'Rates &amp; Settings'!$C$7,0))</f>
        <v/>
      </c>
      <c r="R98" s="22" t="str">
        <f aca="false">IF(B98="","",ROUND((N(J98)+N(K98))*N(I98)/'Rates &amp; Settings'!$C$7,0))</f>
        <v/>
      </c>
      <c r="S98" s="22" t="str">
        <f aca="false">IF(B98="","",IF('Rates &amp; Settings'!$C$14="Yes",MAX(R98,ROUND(Q98*0.5,0)),R98))</f>
        <v/>
      </c>
      <c r="T98" s="22" t="str">
        <f aca="false">IF(B98="","",IF(F98="Yes",IF(G98="Yes",MIN(S98,'Rates &amp; Settings'!$C$8),S98),0))</f>
        <v/>
      </c>
      <c r="U98" s="22" t="str">
        <f aca="false">IF(B98="","",ROUND(T98*'Rates &amp; Settings'!$C$9,0))</f>
        <v/>
      </c>
      <c r="V98" s="7" t="str">
        <f aca="false">IF(B98="","",IF(P98&lt;='Rates &amp; Settings'!$C$17,"Yes","No"))</f>
        <v/>
      </c>
      <c r="W98" s="22" t="str">
        <f aca="false">IF(B98="","",IF(V98="Yes",ROUNDUP(Q98*'Rates &amp; Settings'!$C$15,0),0))</f>
        <v/>
      </c>
      <c r="X98" s="22" t="str">
        <f aca="false">IF(B98="","",IF(Y98&lt;&gt;"",N(Y98),IF(MONTH('Rates &amp; Settings'!$C$6)=2,SUMIFS('Rates &amp; Settings'!$F$35:$F$70,'Rates &amp; Settings'!$B$35:$B$70,E98,'Rates &amp; Settings'!$C$35:$C$70,"&lt;="&amp;Q98,'Rates &amp; Settings'!$D$35:$D$70,"&gt;="&amp;Q98),SUMIFS('Rates &amp; Settings'!$E$35:$E$70,'Rates &amp; Settings'!$B$35:$B$70,E98,'Rates &amp; Settings'!$C$35:$C$70,"&lt;="&amp;Q98,'Rates &amp; Settings'!$D$35:$D$70,"&gt;="&amp;Q98))))</f>
        <v/>
      </c>
      <c r="Y98" s="21"/>
      <c r="Z98" s="22" t="str">
        <f aca="false">IF(B98="","",IFERROR(IF(OR(INDEX('Rates &amp; Settings'!$H$75:$H$96,MATCH(E98,'Rates &amp; Settings'!$B$75:$B$96,0))="All",ISNUMBER(SEARCH(","&amp;MONTH('Rates &amp; Settings'!$C$6)&amp;",",","&amp;INDEX('Rates &amp; Settings'!$H$75:$H$96,MATCH(E98,'Rates &amp; Settings'!$B$75:$B$96,0))&amp;","))),IF(INDEX('Rates &amp; Settings'!$C$75:$C$96,MATCH(E98,'Rates &amp; Settings'!$B$75:$B$96,0))="Percent",MIN(ROUND(Q98*INDEX('Rates &amp; Settings'!$D$75:$D$96,MATCH(E98,'Rates &amp; Settings'!$B$75:$B$96,0)),0),INDEX('Rates &amp; Settings'!$F$75:$F$96,MATCH(E98,'Rates &amp; Settings'!$B$75:$B$96,0))),INDEX('Rates &amp; Settings'!$D$75:$D$96,MATCH(E98,'Rates &amp; Settings'!$B$75:$B$96,0))),0),0))</f>
        <v/>
      </c>
      <c r="AA98" s="22" t="str">
        <f aca="false">IF(B98="","",ROUND(AN98/12,0))</f>
        <v/>
      </c>
      <c r="AB98" s="21"/>
      <c r="AC98" s="21"/>
      <c r="AD98" s="22" t="str">
        <f aca="false">IF(B98="","",U98+W98+X98+Z98+IF(AB98&lt;&gt;"",N(AB98),AA98)+N(AC98))</f>
        <v/>
      </c>
      <c r="AE98" s="23" t="str">
        <f aca="false">IF(B98="","",Q98-AD98)</f>
        <v/>
      </c>
      <c r="AF98" s="22" t="str">
        <f aca="false">IF(B98="","",ROUND(T98*'Rates &amp; Settings'!$C$10,0)-AG98)</f>
        <v/>
      </c>
      <c r="AG98" s="22" t="str">
        <f aca="false">IF(B98="","",IF(H98="Yes",ROUND(MIN(T98,'Rates &amp; Settings'!$C$8)*'Rates &amp; Settings'!$C$11,0),0))</f>
        <v/>
      </c>
      <c r="AH98" s="22" t="str">
        <f aca="false">IF(B98="","",ROUND(MIN(T98,'Rates &amp; Settings'!$C$8)*'Rates &amp; Settings'!$C$12,0))</f>
        <v/>
      </c>
      <c r="AI98" s="22" t="str">
        <f aca="false">IF(B98="","",ROUND(T98*'Rates &amp; Settings'!$C$13,0))</f>
        <v/>
      </c>
      <c r="AJ98" s="22" t="str">
        <f aca="false">IF(B98="","",IF(V98="Yes",ROUNDUP(Q98*'Rates &amp; Settings'!$C$16,0),0))</f>
        <v/>
      </c>
      <c r="AK98" s="22" t="str">
        <f aca="false">IF(B98="","",IFERROR(IF(Z98=0,0,IF(INDEX('Rates &amp; Settings'!$C$75:$C$96,MATCH(E98,'Rates &amp; Settings'!$B$75:$B$96,0))="Percent",MIN(Z98*INDEX('Rates &amp; Settings'!$E$75:$E$96,MATCH(E98,'Rates &amp; Settings'!$B$75:$B$96,0)),INDEX('Rates &amp; Settings'!$G$75:$G$96,MATCH(E98,'Rates &amp; Settings'!$B$75:$B$96,0))),INDEX('Rates &amp; Settings'!$E$75:$E$96,MATCH(E98,'Rates &amp; Settings'!$B$75:$B$96,0)))),0))</f>
        <v/>
      </c>
      <c r="AL98" s="22" t="str">
        <f aca="false">IF(B98="","",Q98+AF98+AG98+AH98+AI98+AJ98+AK98)</f>
        <v/>
      </c>
      <c r="AM98" s="22" t="str">
        <f aca="false">IF(B98="","",MAX(0,P98*12-'Rates &amp; Settings'!$C$18))</f>
        <v/>
      </c>
      <c r="AN98" s="22" t="str">
        <f aca="false">IF(B98="","",IF(AM98&lt;='Rates &amp; Settings'!$C$19,0,MIN(SUMPRODUCT(--(AM98&gt;'Rates &amp; Settings'!$B$24:$B$30),AM98-'Rates &amp; Settings'!$B$24:$B$30,'Rates &amp; Settings'!$D$24:$D$30),AM98-'Rates &amp; Settings'!$C$19))*(1+'Rates &amp; Settings'!$C$20))</f>
        <v/>
      </c>
    </row>
    <row r="99" customFormat="false" ht="15" hidden="false" customHeight="false" outlineLevel="0" collapsed="false">
      <c r="B99" s="5"/>
      <c r="C99" s="5"/>
      <c r="D99" s="5"/>
      <c r="E99" s="5"/>
      <c r="F99" s="5"/>
      <c r="G99" s="5"/>
      <c r="H99" s="5"/>
      <c r="I99" s="20"/>
      <c r="J99" s="21"/>
      <c r="K99" s="21"/>
      <c r="L99" s="21"/>
      <c r="M99" s="21"/>
      <c r="N99" s="21"/>
      <c r="O99" s="21"/>
      <c r="P99" s="22" t="str">
        <f aca="false">IF(B99="","",SUM(J99:O99))</f>
        <v/>
      </c>
      <c r="Q99" s="22" t="str">
        <f aca="false">IF(B99="","",ROUND(P99*N(I99)/'Rates &amp; Settings'!$C$7,0))</f>
        <v/>
      </c>
      <c r="R99" s="22" t="str">
        <f aca="false">IF(B99="","",ROUND((N(J99)+N(K99))*N(I99)/'Rates &amp; Settings'!$C$7,0))</f>
        <v/>
      </c>
      <c r="S99" s="22" t="str">
        <f aca="false">IF(B99="","",IF('Rates &amp; Settings'!$C$14="Yes",MAX(R99,ROUND(Q99*0.5,0)),R99))</f>
        <v/>
      </c>
      <c r="T99" s="22" t="str">
        <f aca="false">IF(B99="","",IF(F99="Yes",IF(G99="Yes",MIN(S99,'Rates &amp; Settings'!$C$8),S99),0))</f>
        <v/>
      </c>
      <c r="U99" s="22" t="str">
        <f aca="false">IF(B99="","",ROUND(T99*'Rates &amp; Settings'!$C$9,0))</f>
        <v/>
      </c>
      <c r="V99" s="7" t="str">
        <f aca="false">IF(B99="","",IF(P99&lt;='Rates &amp; Settings'!$C$17,"Yes","No"))</f>
        <v/>
      </c>
      <c r="W99" s="22" t="str">
        <f aca="false">IF(B99="","",IF(V99="Yes",ROUNDUP(Q99*'Rates &amp; Settings'!$C$15,0),0))</f>
        <v/>
      </c>
      <c r="X99" s="22" t="str">
        <f aca="false">IF(B99="","",IF(Y99&lt;&gt;"",N(Y99),IF(MONTH('Rates &amp; Settings'!$C$6)=2,SUMIFS('Rates &amp; Settings'!$F$35:$F$70,'Rates &amp; Settings'!$B$35:$B$70,E99,'Rates &amp; Settings'!$C$35:$C$70,"&lt;="&amp;Q99,'Rates &amp; Settings'!$D$35:$D$70,"&gt;="&amp;Q99),SUMIFS('Rates &amp; Settings'!$E$35:$E$70,'Rates &amp; Settings'!$B$35:$B$70,E99,'Rates &amp; Settings'!$C$35:$C$70,"&lt;="&amp;Q99,'Rates &amp; Settings'!$D$35:$D$70,"&gt;="&amp;Q99))))</f>
        <v/>
      </c>
      <c r="Y99" s="21"/>
      <c r="Z99" s="22" t="str">
        <f aca="false">IF(B99="","",IFERROR(IF(OR(INDEX('Rates &amp; Settings'!$H$75:$H$96,MATCH(E99,'Rates &amp; Settings'!$B$75:$B$96,0))="All",ISNUMBER(SEARCH(","&amp;MONTH('Rates &amp; Settings'!$C$6)&amp;",",","&amp;INDEX('Rates &amp; Settings'!$H$75:$H$96,MATCH(E99,'Rates &amp; Settings'!$B$75:$B$96,0))&amp;","))),IF(INDEX('Rates &amp; Settings'!$C$75:$C$96,MATCH(E99,'Rates &amp; Settings'!$B$75:$B$96,0))="Percent",MIN(ROUND(Q99*INDEX('Rates &amp; Settings'!$D$75:$D$96,MATCH(E99,'Rates &amp; Settings'!$B$75:$B$96,0)),0),INDEX('Rates &amp; Settings'!$F$75:$F$96,MATCH(E99,'Rates &amp; Settings'!$B$75:$B$96,0))),INDEX('Rates &amp; Settings'!$D$75:$D$96,MATCH(E99,'Rates &amp; Settings'!$B$75:$B$96,0))),0),0))</f>
        <v/>
      </c>
      <c r="AA99" s="22" t="str">
        <f aca="false">IF(B99="","",ROUND(AN99/12,0))</f>
        <v/>
      </c>
      <c r="AB99" s="21"/>
      <c r="AC99" s="21"/>
      <c r="AD99" s="22" t="str">
        <f aca="false">IF(B99="","",U99+W99+X99+Z99+IF(AB99&lt;&gt;"",N(AB99),AA99)+N(AC99))</f>
        <v/>
      </c>
      <c r="AE99" s="23" t="str">
        <f aca="false">IF(B99="","",Q99-AD99)</f>
        <v/>
      </c>
      <c r="AF99" s="22" t="str">
        <f aca="false">IF(B99="","",ROUND(T99*'Rates &amp; Settings'!$C$10,0)-AG99)</f>
        <v/>
      </c>
      <c r="AG99" s="22" t="str">
        <f aca="false">IF(B99="","",IF(H99="Yes",ROUND(MIN(T99,'Rates &amp; Settings'!$C$8)*'Rates &amp; Settings'!$C$11,0),0))</f>
        <v/>
      </c>
      <c r="AH99" s="22" t="str">
        <f aca="false">IF(B99="","",ROUND(MIN(T99,'Rates &amp; Settings'!$C$8)*'Rates &amp; Settings'!$C$12,0))</f>
        <v/>
      </c>
      <c r="AI99" s="22" t="str">
        <f aca="false">IF(B99="","",ROUND(T99*'Rates &amp; Settings'!$C$13,0))</f>
        <v/>
      </c>
      <c r="AJ99" s="22" t="str">
        <f aca="false">IF(B99="","",IF(V99="Yes",ROUNDUP(Q99*'Rates &amp; Settings'!$C$16,0),0))</f>
        <v/>
      </c>
      <c r="AK99" s="22" t="str">
        <f aca="false">IF(B99="","",IFERROR(IF(Z99=0,0,IF(INDEX('Rates &amp; Settings'!$C$75:$C$96,MATCH(E99,'Rates &amp; Settings'!$B$75:$B$96,0))="Percent",MIN(Z99*INDEX('Rates &amp; Settings'!$E$75:$E$96,MATCH(E99,'Rates &amp; Settings'!$B$75:$B$96,0)),INDEX('Rates &amp; Settings'!$G$75:$G$96,MATCH(E99,'Rates &amp; Settings'!$B$75:$B$96,0))),INDEX('Rates &amp; Settings'!$E$75:$E$96,MATCH(E99,'Rates &amp; Settings'!$B$75:$B$96,0)))),0))</f>
        <v/>
      </c>
      <c r="AL99" s="22" t="str">
        <f aca="false">IF(B99="","",Q99+AF99+AG99+AH99+AI99+AJ99+AK99)</f>
        <v/>
      </c>
      <c r="AM99" s="22" t="str">
        <f aca="false">IF(B99="","",MAX(0,P99*12-'Rates &amp; Settings'!$C$18))</f>
        <v/>
      </c>
      <c r="AN99" s="22" t="str">
        <f aca="false">IF(B99="","",IF(AM99&lt;='Rates &amp; Settings'!$C$19,0,MIN(SUMPRODUCT(--(AM99&gt;'Rates &amp; Settings'!$B$24:$B$30),AM99-'Rates &amp; Settings'!$B$24:$B$30,'Rates &amp; Settings'!$D$24:$D$30),AM99-'Rates &amp; Settings'!$C$19))*(1+'Rates &amp; Settings'!$C$20))</f>
        <v/>
      </c>
    </row>
    <row r="100" customFormat="false" ht="15" hidden="false" customHeight="false" outlineLevel="0" collapsed="false">
      <c r="B100" s="5"/>
      <c r="C100" s="5"/>
      <c r="D100" s="5"/>
      <c r="E100" s="5"/>
      <c r="F100" s="5"/>
      <c r="G100" s="5"/>
      <c r="H100" s="5"/>
      <c r="I100" s="20"/>
      <c r="J100" s="21"/>
      <c r="K100" s="21"/>
      <c r="L100" s="21"/>
      <c r="M100" s="21"/>
      <c r="N100" s="21"/>
      <c r="O100" s="21"/>
      <c r="P100" s="22" t="str">
        <f aca="false">IF(B100="","",SUM(J100:O100))</f>
        <v/>
      </c>
      <c r="Q100" s="22" t="str">
        <f aca="false">IF(B100="","",ROUND(P100*N(I100)/'Rates &amp; Settings'!$C$7,0))</f>
        <v/>
      </c>
      <c r="R100" s="22" t="str">
        <f aca="false">IF(B100="","",ROUND((N(J100)+N(K100))*N(I100)/'Rates &amp; Settings'!$C$7,0))</f>
        <v/>
      </c>
      <c r="S100" s="22" t="str">
        <f aca="false">IF(B100="","",IF('Rates &amp; Settings'!$C$14="Yes",MAX(R100,ROUND(Q100*0.5,0)),R100))</f>
        <v/>
      </c>
      <c r="T100" s="22" t="str">
        <f aca="false">IF(B100="","",IF(F100="Yes",IF(G100="Yes",MIN(S100,'Rates &amp; Settings'!$C$8),S100),0))</f>
        <v/>
      </c>
      <c r="U100" s="22" t="str">
        <f aca="false">IF(B100="","",ROUND(T100*'Rates &amp; Settings'!$C$9,0))</f>
        <v/>
      </c>
      <c r="V100" s="7" t="str">
        <f aca="false">IF(B100="","",IF(P100&lt;='Rates &amp; Settings'!$C$17,"Yes","No"))</f>
        <v/>
      </c>
      <c r="W100" s="22" t="str">
        <f aca="false">IF(B100="","",IF(V100="Yes",ROUNDUP(Q100*'Rates &amp; Settings'!$C$15,0),0))</f>
        <v/>
      </c>
      <c r="X100" s="22" t="str">
        <f aca="false">IF(B100="","",IF(Y100&lt;&gt;"",N(Y100),IF(MONTH('Rates &amp; Settings'!$C$6)=2,SUMIFS('Rates &amp; Settings'!$F$35:$F$70,'Rates &amp; Settings'!$B$35:$B$70,E100,'Rates &amp; Settings'!$C$35:$C$70,"&lt;="&amp;Q100,'Rates &amp; Settings'!$D$35:$D$70,"&gt;="&amp;Q100),SUMIFS('Rates &amp; Settings'!$E$35:$E$70,'Rates &amp; Settings'!$B$35:$B$70,E100,'Rates &amp; Settings'!$C$35:$C$70,"&lt;="&amp;Q100,'Rates &amp; Settings'!$D$35:$D$70,"&gt;="&amp;Q100))))</f>
        <v/>
      </c>
      <c r="Y100" s="21"/>
      <c r="Z100" s="22" t="str">
        <f aca="false">IF(B100="","",IFERROR(IF(OR(INDEX('Rates &amp; Settings'!$H$75:$H$96,MATCH(E100,'Rates &amp; Settings'!$B$75:$B$96,0))="All",ISNUMBER(SEARCH(","&amp;MONTH('Rates &amp; Settings'!$C$6)&amp;",",","&amp;INDEX('Rates &amp; Settings'!$H$75:$H$96,MATCH(E100,'Rates &amp; Settings'!$B$75:$B$96,0))&amp;","))),IF(INDEX('Rates &amp; Settings'!$C$75:$C$96,MATCH(E100,'Rates &amp; Settings'!$B$75:$B$96,0))="Percent",MIN(ROUND(Q100*INDEX('Rates &amp; Settings'!$D$75:$D$96,MATCH(E100,'Rates &amp; Settings'!$B$75:$B$96,0)),0),INDEX('Rates &amp; Settings'!$F$75:$F$96,MATCH(E100,'Rates &amp; Settings'!$B$75:$B$96,0))),INDEX('Rates &amp; Settings'!$D$75:$D$96,MATCH(E100,'Rates &amp; Settings'!$B$75:$B$96,0))),0),0))</f>
        <v/>
      </c>
      <c r="AA100" s="22" t="str">
        <f aca="false">IF(B100="","",ROUND(AN100/12,0))</f>
        <v/>
      </c>
      <c r="AB100" s="21"/>
      <c r="AC100" s="21"/>
      <c r="AD100" s="22" t="str">
        <f aca="false">IF(B100="","",U100+W100+X100+Z100+IF(AB100&lt;&gt;"",N(AB100),AA100)+N(AC100))</f>
        <v/>
      </c>
      <c r="AE100" s="23" t="str">
        <f aca="false">IF(B100="","",Q100-AD100)</f>
        <v/>
      </c>
      <c r="AF100" s="22" t="str">
        <f aca="false">IF(B100="","",ROUND(T100*'Rates &amp; Settings'!$C$10,0)-AG100)</f>
        <v/>
      </c>
      <c r="AG100" s="22" t="str">
        <f aca="false">IF(B100="","",IF(H100="Yes",ROUND(MIN(T100,'Rates &amp; Settings'!$C$8)*'Rates &amp; Settings'!$C$11,0),0))</f>
        <v/>
      </c>
      <c r="AH100" s="22" t="str">
        <f aca="false">IF(B100="","",ROUND(MIN(T100,'Rates &amp; Settings'!$C$8)*'Rates &amp; Settings'!$C$12,0))</f>
        <v/>
      </c>
      <c r="AI100" s="22" t="str">
        <f aca="false">IF(B100="","",ROUND(T100*'Rates &amp; Settings'!$C$13,0))</f>
        <v/>
      </c>
      <c r="AJ100" s="22" t="str">
        <f aca="false">IF(B100="","",IF(V100="Yes",ROUNDUP(Q100*'Rates &amp; Settings'!$C$16,0),0))</f>
        <v/>
      </c>
      <c r="AK100" s="22" t="str">
        <f aca="false">IF(B100="","",IFERROR(IF(Z100=0,0,IF(INDEX('Rates &amp; Settings'!$C$75:$C$96,MATCH(E100,'Rates &amp; Settings'!$B$75:$B$96,0))="Percent",MIN(Z100*INDEX('Rates &amp; Settings'!$E$75:$E$96,MATCH(E100,'Rates &amp; Settings'!$B$75:$B$96,0)),INDEX('Rates &amp; Settings'!$G$75:$G$96,MATCH(E100,'Rates &amp; Settings'!$B$75:$B$96,0))),INDEX('Rates &amp; Settings'!$E$75:$E$96,MATCH(E100,'Rates &amp; Settings'!$B$75:$B$96,0)))),0))</f>
        <v/>
      </c>
      <c r="AL100" s="22" t="str">
        <f aca="false">IF(B100="","",Q100+AF100+AG100+AH100+AI100+AJ100+AK100)</f>
        <v/>
      </c>
      <c r="AM100" s="22" t="str">
        <f aca="false">IF(B100="","",MAX(0,P100*12-'Rates &amp; Settings'!$C$18))</f>
        <v/>
      </c>
      <c r="AN100" s="22" t="str">
        <f aca="false">IF(B100="","",IF(AM100&lt;='Rates &amp; Settings'!$C$19,0,MIN(SUMPRODUCT(--(AM100&gt;'Rates &amp; Settings'!$B$24:$B$30),AM100-'Rates &amp; Settings'!$B$24:$B$30,'Rates &amp; Settings'!$D$24:$D$30),AM100-'Rates &amp; Settings'!$C$19))*(1+'Rates &amp; Settings'!$C$20))</f>
        <v/>
      </c>
    </row>
    <row r="101" customFormat="false" ht="15" hidden="false" customHeight="false" outlineLevel="0" collapsed="false">
      <c r="B101" s="5"/>
      <c r="C101" s="5"/>
      <c r="D101" s="5"/>
      <c r="E101" s="5"/>
      <c r="F101" s="5"/>
      <c r="G101" s="5"/>
      <c r="H101" s="5"/>
      <c r="I101" s="20"/>
      <c r="J101" s="21"/>
      <c r="K101" s="21"/>
      <c r="L101" s="21"/>
      <c r="M101" s="21"/>
      <c r="N101" s="21"/>
      <c r="O101" s="21"/>
      <c r="P101" s="22" t="str">
        <f aca="false">IF(B101="","",SUM(J101:O101))</f>
        <v/>
      </c>
      <c r="Q101" s="22" t="str">
        <f aca="false">IF(B101="","",ROUND(P101*N(I101)/'Rates &amp; Settings'!$C$7,0))</f>
        <v/>
      </c>
      <c r="R101" s="22" t="str">
        <f aca="false">IF(B101="","",ROUND((N(J101)+N(K101))*N(I101)/'Rates &amp; Settings'!$C$7,0))</f>
        <v/>
      </c>
      <c r="S101" s="22" t="str">
        <f aca="false">IF(B101="","",IF('Rates &amp; Settings'!$C$14="Yes",MAX(R101,ROUND(Q101*0.5,0)),R101))</f>
        <v/>
      </c>
      <c r="T101" s="22" t="str">
        <f aca="false">IF(B101="","",IF(F101="Yes",IF(G101="Yes",MIN(S101,'Rates &amp; Settings'!$C$8),S101),0))</f>
        <v/>
      </c>
      <c r="U101" s="22" t="str">
        <f aca="false">IF(B101="","",ROUND(T101*'Rates &amp; Settings'!$C$9,0))</f>
        <v/>
      </c>
      <c r="V101" s="7" t="str">
        <f aca="false">IF(B101="","",IF(P101&lt;='Rates &amp; Settings'!$C$17,"Yes","No"))</f>
        <v/>
      </c>
      <c r="W101" s="22" t="str">
        <f aca="false">IF(B101="","",IF(V101="Yes",ROUNDUP(Q101*'Rates &amp; Settings'!$C$15,0),0))</f>
        <v/>
      </c>
      <c r="X101" s="22" t="str">
        <f aca="false">IF(B101="","",IF(Y101&lt;&gt;"",N(Y101),IF(MONTH('Rates &amp; Settings'!$C$6)=2,SUMIFS('Rates &amp; Settings'!$F$35:$F$70,'Rates &amp; Settings'!$B$35:$B$70,E101,'Rates &amp; Settings'!$C$35:$C$70,"&lt;="&amp;Q101,'Rates &amp; Settings'!$D$35:$D$70,"&gt;="&amp;Q101),SUMIFS('Rates &amp; Settings'!$E$35:$E$70,'Rates &amp; Settings'!$B$35:$B$70,E101,'Rates &amp; Settings'!$C$35:$C$70,"&lt;="&amp;Q101,'Rates &amp; Settings'!$D$35:$D$70,"&gt;="&amp;Q101))))</f>
        <v/>
      </c>
      <c r="Y101" s="21"/>
      <c r="Z101" s="22" t="str">
        <f aca="false">IF(B101="","",IFERROR(IF(OR(INDEX('Rates &amp; Settings'!$H$75:$H$96,MATCH(E101,'Rates &amp; Settings'!$B$75:$B$96,0))="All",ISNUMBER(SEARCH(","&amp;MONTH('Rates &amp; Settings'!$C$6)&amp;",",","&amp;INDEX('Rates &amp; Settings'!$H$75:$H$96,MATCH(E101,'Rates &amp; Settings'!$B$75:$B$96,0))&amp;","))),IF(INDEX('Rates &amp; Settings'!$C$75:$C$96,MATCH(E101,'Rates &amp; Settings'!$B$75:$B$96,0))="Percent",MIN(ROUND(Q101*INDEX('Rates &amp; Settings'!$D$75:$D$96,MATCH(E101,'Rates &amp; Settings'!$B$75:$B$96,0)),0),INDEX('Rates &amp; Settings'!$F$75:$F$96,MATCH(E101,'Rates &amp; Settings'!$B$75:$B$96,0))),INDEX('Rates &amp; Settings'!$D$75:$D$96,MATCH(E101,'Rates &amp; Settings'!$B$75:$B$96,0))),0),0))</f>
        <v/>
      </c>
      <c r="AA101" s="22" t="str">
        <f aca="false">IF(B101="","",ROUND(AN101/12,0))</f>
        <v/>
      </c>
      <c r="AB101" s="21"/>
      <c r="AC101" s="21"/>
      <c r="AD101" s="22" t="str">
        <f aca="false">IF(B101="","",U101+W101+X101+Z101+IF(AB101&lt;&gt;"",N(AB101),AA101)+N(AC101))</f>
        <v/>
      </c>
      <c r="AE101" s="23" t="str">
        <f aca="false">IF(B101="","",Q101-AD101)</f>
        <v/>
      </c>
      <c r="AF101" s="22" t="str">
        <f aca="false">IF(B101="","",ROUND(T101*'Rates &amp; Settings'!$C$10,0)-AG101)</f>
        <v/>
      </c>
      <c r="AG101" s="22" t="str">
        <f aca="false">IF(B101="","",IF(H101="Yes",ROUND(MIN(T101,'Rates &amp; Settings'!$C$8)*'Rates &amp; Settings'!$C$11,0),0))</f>
        <v/>
      </c>
      <c r="AH101" s="22" t="str">
        <f aca="false">IF(B101="","",ROUND(MIN(T101,'Rates &amp; Settings'!$C$8)*'Rates &amp; Settings'!$C$12,0))</f>
        <v/>
      </c>
      <c r="AI101" s="22" t="str">
        <f aca="false">IF(B101="","",ROUND(T101*'Rates &amp; Settings'!$C$13,0))</f>
        <v/>
      </c>
      <c r="AJ101" s="22" t="str">
        <f aca="false">IF(B101="","",IF(V101="Yes",ROUNDUP(Q101*'Rates &amp; Settings'!$C$16,0),0))</f>
        <v/>
      </c>
      <c r="AK101" s="22" t="str">
        <f aca="false">IF(B101="","",IFERROR(IF(Z101=0,0,IF(INDEX('Rates &amp; Settings'!$C$75:$C$96,MATCH(E101,'Rates &amp; Settings'!$B$75:$B$96,0))="Percent",MIN(Z101*INDEX('Rates &amp; Settings'!$E$75:$E$96,MATCH(E101,'Rates &amp; Settings'!$B$75:$B$96,0)),INDEX('Rates &amp; Settings'!$G$75:$G$96,MATCH(E101,'Rates &amp; Settings'!$B$75:$B$96,0))),INDEX('Rates &amp; Settings'!$E$75:$E$96,MATCH(E101,'Rates &amp; Settings'!$B$75:$B$96,0)))),0))</f>
        <v/>
      </c>
      <c r="AL101" s="22" t="str">
        <f aca="false">IF(B101="","",Q101+AF101+AG101+AH101+AI101+AJ101+AK101)</f>
        <v/>
      </c>
      <c r="AM101" s="22" t="str">
        <f aca="false">IF(B101="","",MAX(0,P101*12-'Rates &amp; Settings'!$C$18))</f>
        <v/>
      </c>
      <c r="AN101" s="22" t="str">
        <f aca="false">IF(B101="","",IF(AM101&lt;='Rates &amp; Settings'!$C$19,0,MIN(SUMPRODUCT(--(AM101&gt;'Rates &amp; Settings'!$B$24:$B$30),AM101-'Rates &amp; Settings'!$B$24:$B$30,'Rates &amp; Settings'!$D$24:$D$30),AM101-'Rates &amp; Settings'!$C$19))*(1+'Rates &amp; Settings'!$C$20))</f>
        <v/>
      </c>
    </row>
    <row r="102" customFormat="false" ht="15" hidden="false" customHeight="false" outlineLevel="0" collapsed="false">
      <c r="B102" s="5"/>
      <c r="C102" s="5"/>
      <c r="D102" s="5"/>
      <c r="E102" s="5"/>
      <c r="F102" s="5"/>
      <c r="G102" s="5"/>
      <c r="H102" s="5"/>
      <c r="I102" s="20"/>
      <c r="J102" s="21"/>
      <c r="K102" s="21"/>
      <c r="L102" s="21"/>
      <c r="M102" s="21"/>
      <c r="N102" s="21"/>
      <c r="O102" s="21"/>
      <c r="P102" s="22" t="str">
        <f aca="false">IF(B102="","",SUM(J102:O102))</f>
        <v/>
      </c>
      <c r="Q102" s="22" t="str">
        <f aca="false">IF(B102="","",ROUND(P102*N(I102)/'Rates &amp; Settings'!$C$7,0))</f>
        <v/>
      </c>
      <c r="R102" s="22" t="str">
        <f aca="false">IF(B102="","",ROUND((N(J102)+N(K102))*N(I102)/'Rates &amp; Settings'!$C$7,0))</f>
        <v/>
      </c>
      <c r="S102" s="22" t="str">
        <f aca="false">IF(B102="","",IF('Rates &amp; Settings'!$C$14="Yes",MAX(R102,ROUND(Q102*0.5,0)),R102))</f>
        <v/>
      </c>
      <c r="T102" s="22" t="str">
        <f aca="false">IF(B102="","",IF(F102="Yes",IF(G102="Yes",MIN(S102,'Rates &amp; Settings'!$C$8),S102),0))</f>
        <v/>
      </c>
      <c r="U102" s="22" t="str">
        <f aca="false">IF(B102="","",ROUND(T102*'Rates &amp; Settings'!$C$9,0))</f>
        <v/>
      </c>
      <c r="V102" s="7" t="str">
        <f aca="false">IF(B102="","",IF(P102&lt;='Rates &amp; Settings'!$C$17,"Yes","No"))</f>
        <v/>
      </c>
      <c r="W102" s="22" t="str">
        <f aca="false">IF(B102="","",IF(V102="Yes",ROUNDUP(Q102*'Rates &amp; Settings'!$C$15,0),0))</f>
        <v/>
      </c>
      <c r="X102" s="22" t="str">
        <f aca="false">IF(B102="","",IF(Y102&lt;&gt;"",N(Y102),IF(MONTH('Rates &amp; Settings'!$C$6)=2,SUMIFS('Rates &amp; Settings'!$F$35:$F$70,'Rates &amp; Settings'!$B$35:$B$70,E102,'Rates &amp; Settings'!$C$35:$C$70,"&lt;="&amp;Q102,'Rates &amp; Settings'!$D$35:$D$70,"&gt;="&amp;Q102),SUMIFS('Rates &amp; Settings'!$E$35:$E$70,'Rates &amp; Settings'!$B$35:$B$70,E102,'Rates &amp; Settings'!$C$35:$C$70,"&lt;="&amp;Q102,'Rates &amp; Settings'!$D$35:$D$70,"&gt;="&amp;Q102))))</f>
        <v/>
      </c>
      <c r="Y102" s="21"/>
      <c r="Z102" s="22" t="str">
        <f aca="false">IF(B102="","",IFERROR(IF(OR(INDEX('Rates &amp; Settings'!$H$75:$H$96,MATCH(E102,'Rates &amp; Settings'!$B$75:$B$96,0))="All",ISNUMBER(SEARCH(","&amp;MONTH('Rates &amp; Settings'!$C$6)&amp;",",","&amp;INDEX('Rates &amp; Settings'!$H$75:$H$96,MATCH(E102,'Rates &amp; Settings'!$B$75:$B$96,0))&amp;","))),IF(INDEX('Rates &amp; Settings'!$C$75:$C$96,MATCH(E102,'Rates &amp; Settings'!$B$75:$B$96,0))="Percent",MIN(ROUND(Q102*INDEX('Rates &amp; Settings'!$D$75:$D$96,MATCH(E102,'Rates &amp; Settings'!$B$75:$B$96,0)),0),INDEX('Rates &amp; Settings'!$F$75:$F$96,MATCH(E102,'Rates &amp; Settings'!$B$75:$B$96,0))),INDEX('Rates &amp; Settings'!$D$75:$D$96,MATCH(E102,'Rates &amp; Settings'!$B$75:$B$96,0))),0),0))</f>
        <v/>
      </c>
      <c r="AA102" s="22" t="str">
        <f aca="false">IF(B102="","",ROUND(AN102/12,0))</f>
        <v/>
      </c>
      <c r="AB102" s="21"/>
      <c r="AC102" s="21"/>
      <c r="AD102" s="22" t="str">
        <f aca="false">IF(B102="","",U102+W102+X102+Z102+IF(AB102&lt;&gt;"",N(AB102),AA102)+N(AC102))</f>
        <v/>
      </c>
      <c r="AE102" s="23" t="str">
        <f aca="false">IF(B102="","",Q102-AD102)</f>
        <v/>
      </c>
      <c r="AF102" s="22" t="str">
        <f aca="false">IF(B102="","",ROUND(T102*'Rates &amp; Settings'!$C$10,0)-AG102)</f>
        <v/>
      </c>
      <c r="AG102" s="22" t="str">
        <f aca="false">IF(B102="","",IF(H102="Yes",ROUND(MIN(T102,'Rates &amp; Settings'!$C$8)*'Rates &amp; Settings'!$C$11,0),0))</f>
        <v/>
      </c>
      <c r="AH102" s="22" t="str">
        <f aca="false">IF(B102="","",ROUND(MIN(T102,'Rates &amp; Settings'!$C$8)*'Rates &amp; Settings'!$C$12,0))</f>
        <v/>
      </c>
      <c r="AI102" s="22" t="str">
        <f aca="false">IF(B102="","",ROUND(T102*'Rates &amp; Settings'!$C$13,0))</f>
        <v/>
      </c>
      <c r="AJ102" s="22" t="str">
        <f aca="false">IF(B102="","",IF(V102="Yes",ROUNDUP(Q102*'Rates &amp; Settings'!$C$16,0),0))</f>
        <v/>
      </c>
      <c r="AK102" s="22" t="str">
        <f aca="false">IF(B102="","",IFERROR(IF(Z102=0,0,IF(INDEX('Rates &amp; Settings'!$C$75:$C$96,MATCH(E102,'Rates &amp; Settings'!$B$75:$B$96,0))="Percent",MIN(Z102*INDEX('Rates &amp; Settings'!$E$75:$E$96,MATCH(E102,'Rates &amp; Settings'!$B$75:$B$96,0)),INDEX('Rates &amp; Settings'!$G$75:$G$96,MATCH(E102,'Rates &amp; Settings'!$B$75:$B$96,0))),INDEX('Rates &amp; Settings'!$E$75:$E$96,MATCH(E102,'Rates &amp; Settings'!$B$75:$B$96,0)))),0))</f>
        <v/>
      </c>
      <c r="AL102" s="22" t="str">
        <f aca="false">IF(B102="","",Q102+AF102+AG102+AH102+AI102+AJ102+AK102)</f>
        <v/>
      </c>
      <c r="AM102" s="22" t="str">
        <f aca="false">IF(B102="","",MAX(0,P102*12-'Rates &amp; Settings'!$C$18))</f>
        <v/>
      </c>
      <c r="AN102" s="22" t="str">
        <f aca="false">IF(B102="","",IF(AM102&lt;='Rates &amp; Settings'!$C$19,0,MIN(SUMPRODUCT(--(AM102&gt;'Rates &amp; Settings'!$B$24:$B$30),AM102-'Rates &amp; Settings'!$B$24:$B$30,'Rates &amp; Settings'!$D$24:$D$30),AM102-'Rates &amp; Settings'!$C$19))*(1+'Rates &amp; Settings'!$C$20))</f>
        <v/>
      </c>
    </row>
    <row r="103" customFormat="false" ht="15" hidden="false" customHeight="false" outlineLevel="0" collapsed="false">
      <c r="B103" s="5"/>
      <c r="C103" s="5"/>
      <c r="D103" s="5"/>
      <c r="E103" s="5"/>
      <c r="F103" s="5"/>
      <c r="G103" s="5"/>
      <c r="H103" s="5"/>
      <c r="I103" s="20"/>
      <c r="J103" s="21"/>
      <c r="K103" s="21"/>
      <c r="L103" s="21"/>
      <c r="M103" s="21"/>
      <c r="N103" s="21"/>
      <c r="O103" s="21"/>
      <c r="P103" s="22" t="str">
        <f aca="false">IF(B103="","",SUM(J103:O103))</f>
        <v/>
      </c>
      <c r="Q103" s="22" t="str">
        <f aca="false">IF(B103="","",ROUND(P103*N(I103)/'Rates &amp; Settings'!$C$7,0))</f>
        <v/>
      </c>
      <c r="R103" s="22" t="str">
        <f aca="false">IF(B103="","",ROUND((N(J103)+N(K103))*N(I103)/'Rates &amp; Settings'!$C$7,0))</f>
        <v/>
      </c>
      <c r="S103" s="22" t="str">
        <f aca="false">IF(B103="","",IF('Rates &amp; Settings'!$C$14="Yes",MAX(R103,ROUND(Q103*0.5,0)),R103))</f>
        <v/>
      </c>
      <c r="T103" s="22" t="str">
        <f aca="false">IF(B103="","",IF(F103="Yes",IF(G103="Yes",MIN(S103,'Rates &amp; Settings'!$C$8),S103),0))</f>
        <v/>
      </c>
      <c r="U103" s="22" t="str">
        <f aca="false">IF(B103="","",ROUND(T103*'Rates &amp; Settings'!$C$9,0))</f>
        <v/>
      </c>
      <c r="V103" s="7" t="str">
        <f aca="false">IF(B103="","",IF(P103&lt;='Rates &amp; Settings'!$C$17,"Yes","No"))</f>
        <v/>
      </c>
      <c r="W103" s="22" t="str">
        <f aca="false">IF(B103="","",IF(V103="Yes",ROUNDUP(Q103*'Rates &amp; Settings'!$C$15,0),0))</f>
        <v/>
      </c>
      <c r="X103" s="22" t="str">
        <f aca="false">IF(B103="","",IF(Y103&lt;&gt;"",N(Y103),IF(MONTH('Rates &amp; Settings'!$C$6)=2,SUMIFS('Rates &amp; Settings'!$F$35:$F$70,'Rates &amp; Settings'!$B$35:$B$70,E103,'Rates &amp; Settings'!$C$35:$C$70,"&lt;="&amp;Q103,'Rates &amp; Settings'!$D$35:$D$70,"&gt;="&amp;Q103),SUMIFS('Rates &amp; Settings'!$E$35:$E$70,'Rates &amp; Settings'!$B$35:$B$70,E103,'Rates &amp; Settings'!$C$35:$C$70,"&lt;="&amp;Q103,'Rates &amp; Settings'!$D$35:$D$70,"&gt;="&amp;Q103))))</f>
        <v/>
      </c>
      <c r="Y103" s="21"/>
      <c r="Z103" s="22" t="str">
        <f aca="false">IF(B103="","",IFERROR(IF(OR(INDEX('Rates &amp; Settings'!$H$75:$H$96,MATCH(E103,'Rates &amp; Settings'!$B$75:$B$96,0))="All",ISNUMBER(SEARCH(","&amp;MONTH('Rates &amp; Settings'!$C$6)&amp;",",","&amp;INDEX('Rates &amp; Settings'!$H$75:$H$96,MATCH(E103,'Rates &amp; Settings'!$B$75:$B$96,0))&amp;","))),IF(INDEX('Rates &amp; Settings'!$C$75:$C$96,MATCH(E103,'Rates &amp; Settings'!$B$75:$B$96,0))="Percent",MIN(ROUND(Q103*INDEX('Rates &amp; Settings'!$D$75:$D$96,MATCH(E103,'Rates &amp; Settings'!$B$75:$B$96,0)),0),INDEX('Rates &amp; Settings'!$F$75:$F$96,MATCH(E103,'Rates &amp; Settings'!$B$75:$B$96,0))),INDEX('Rates &amp; Settings'!$D$75:$D$96,MATCH(E103,'Rates &amp; Settings'!$B$75:$B$96,0))),0),0))</f>
        <v/>
      </c>
      <c r="AA103" s="22" t="str">
        <f aca="false">IF(B103="","",ROUND(AN103/12,0))</f>
        <v/>
      </c>
      <c r="AB103" s="21"/>
      <c r="AC103" s="21"/>
      <c r="AD103" s="22" t="str">
        <f aca="false">IF(B103="","",U103+W103+X103+Z103+IF(AB103&lt;&gt;"",N(AB103),AA103)+N(AC103))</f>
        <v/>
      </c>
      <c r="AE103" s="23" t="str">
        <f aca="false">IF(B103="","",Q103-AD103)</f>
        <v/>
      </c>
      <c r="AF103" s="22" t="str">
        <f aca="false">IF(B103="","",ROUND(T103*'Rates &amp; Settings'!$C$10,0)-AG103)</f>
        <v/>
      </c>
      <c r="AG103" s="22" t="str">
        <f aca="false">IF(B103="","",IF(H103="Yes",ROUND(MIN(T103,'Rates &amp; Settings'!$C$8)*'Rates &amp; Settings'!$C$11,0),0))</f>
        <v/>
      </c>
      <c r="AH103" s="22" t="str">
        <f aca="false">IF(B103="","",ROUND(MIN(T103,'Rates &amp; Settings'!$C$8)*'Rates &amp; Settings'!$C$12,0))</f>
        <v/>
      </c>
      <c r="AI103" s="22" t="str">
        <f aca="false">IF(B103="","",ROUND(T103*'Rates &amp; Settings'!$C$13,0))</f>
        <v/>
      </c>
      <c r="AJ103" s="22" t="str">
        <f aca="false">IF(B103="","",IF(V103="Yes",ROUNDUP(Q103*'Rates &amp; Settings'!$C$16,0),0))</f>
        <v/>
      </c>
      <c r="AK103" s="22" t="str">
        <f aca="false">IF(B103="","",IFERROR(IF(Z103=0,0,IF(INDEX('Rates &amp; Settings'!$C$75:$C$96,MATCH(E103,'Rates &amp; Settings'!$B$75:$B$96,0))="Percent",MIN(Z103*INDEX('Rates &amp; Settings'!$E$75:$E$96,MATCH(E103,'Rates &amp; Settings'!$B$75:$B$96,0)),INDEX('Rates &amp; Settings'!$G$75:$G$96,MATCH(E103,'Rates &amp; Settings'!$B$75:$B$96,0))),INDEX('Rates &amp; Settings'!$E$75:$E$96,MATCH(E103,'Rates &amp; Settings'!$B$75:$B$96,0)))),0))</f>
        <v/>
      </c>
      <c r="AL103" s="22" t="str">
        <f aca="false">IF(B103="","",Q103+AF103+AG103+AH103+AI103+AJ103+AK103)</f>
        <v/>
      </c>
      <c r="AM103" s="22" t="str">
        <f aca="false">IF(B103="","",MAX(0,P103*12-'Rates &amp; Settings'!$C$18))</f>
        <v/>
      </c>
      <c r="AN103" s="22" t="str">
        <f aca="false">IF(B103="","",IF(AM103&lt;='Rates &amp; Settings'!$C$19,0,MIN(SUMPRODUCT(--(AM103&gt;'Rates &amp; Settings'!$B$24:$B$30),AM103-'Rates &amp; Settings'!$B$24:$B$30,'Rates &amp; Settings'!$D$24:$D$30),AM103-'Rates &amp; Settings'!$C$19))*(1+'Rates &amp; Settings'!$C$20))</f>
        <v/>
      </c>
    </row>
    <row r="104" customFormat="false" ht="15" hidden="false" customHeight="false" outlineLevel="0" collapsed="false">
      <c r="B104" s="5"/>
      <c r="C104" s="5"/>
      <c r="D104" s="5"/>
      <c r="E104" s="5"/>
      <c r="F104" s="5"/>
      <c r="G104" s="5"/>
      <c r="H104" s="5"/>
      <c r="I104" s="20"/>
      <c r="J104" s="21"/>
      <c r="K104" s="21"/>
      <c r="L104" s="21"/>
      <c r="M104" s="21"/>
      <c r="N104" s="21"/>
      <c r="O104" s="21"/>
      <c r="P104" s="22" t="str">
        <f aca="false">IF(B104="","",SUM(J104:O104))</f>
        <v/>
      </c>
      <c r="Q104" s="22" t="str">
        <f aca="false">IF(B104="","",ROUND(P104*N(I104)/'Rates &amp; Settings'!$C$7,0))</f>
        <v/>
      </c>
      <c r="R104" s="22" t="str">
        <f aca="false">IF(B104="","",ROUND((N(J104)+N(K104))*N(I104)/'Rates &amp; Settings'!$C$7,0))</f>
        <v/>
      </c>
      <c r="S104" s="22" t="str">
        <f aca="false">IF(B104="","",IF('Rates &amp; Settings'!$C$14="Yes",MAX(R104,ROUND(Q104*0.5,0)),R104))</f>
        <v/>
      </c>
      <c r="T104" s="22" t="str">
        <f aca="false">IF(B104="","",IF(F104="Yes",IF(G104="Yes",MIN(S104,'Rates &amp; Settings'!$C$8),S104),0))</f>
        <v/>
      </c>
      <c r="U104" s="22" t="str">
        <f aca="false">IF(B104="","",ROUND(T104*'Rates &amp; Settings'!$C$9,0))</f>
        <v/>
      </c>
      <c r="V104" s="7" t="str">
        <f aca="false">IF(B104="","",IF(P104&lt;='Rates &amp; Settings'!$C$17,"Yes","No"))</f>
        <v/>
      </c>
      <c r="W104" s="22" t="str">
        <f aca="false">IF(B104="","",IF(V104="Yes",ROUNDUP(Q104*'Rates &amp; Settings'!$C$15,0),0))</f>
        <v/>
      </c>
      <c r="X104" s="22" t="str">
        <f aca="false">IF(B104="","",IF(Y104&lt;&gt;"",N(Y104),IF(MONTH('Rates &amp; Settings'!$C$6)=2,SUMIFS('Rates &amp; Settings'!$F$35:$F$70,'Rates &amp; Settings'!$B$35:$B$70,E104,'Rates &amp; Settings'!$C$35:$C$70,"&lt;="&amp;Q104,'Rates &amp; Settings'!$D$35:$D$70,"&gt;="&amp;Q104),SUMIFS('Rates &amp; Settings'!$E$35:$E$70,'Rates &amp; Settings'!$B$35:$B$70,E104,'Rates &amp; Settings'!$C$35:$C$70,"&lt;="&amp;Q104,'Rates &amp; Settings'!$D$35:$D$70,"&gt;="&amp;Q104))))</f>
        <v/>
      </c>
      <c r="Y104" s="21"/>
      <c r="Z104" s="22" t="str">
        <f aca="false">IF(B104="","",IFERROR(IF(OR(INDEX('Rates &amp; Settings'!$H$75:$H$96,MATCH(E104,'Rates &amp; Settings'!$B$75:$B$96,0))="All",ISNUMBER(SEARCH(","&amp;MONTH('Rates &amp; Settings'!$C$6)&amp;",",","&amp;INDEX('Rates &amp; Settings'!$H$75:$H$96,MATCH(E104,'Rates &amp; Settings'!$B$75:$B$96,0))&amp;","))),IF(INDEX('Rates &amp; Settings'!$C$75:$C$96,MATCH(E104,'Rates &amp; Settings'!$B$75:$B$96,0))="Percent",MIN(ROUND(Q104*INDEX('Rates &amp; Settings'!$D$75:$D$96,MATCH(E104,'Rates &amp; Settings'!$B$75:$B$96,0)),0),INDEX('Rates &amp; Settings'!$F$75:$F$96,MATCH(E104,'Rates &amp; Settings'!$B$75:$B$96,0))),INDEX('Rates &amp; Settings'!$D$75:$D$96,MATCH(E104,'Rates &amp; Settings'!$B$75:$B$96,0))),0),0))</f>
        <v/>
      </c>
      <c r="AA104" s="22" t="str">
        <f aca="false">IF(B104="","",ROUND(AN104/12,0))</f>
        <v/>
      </c>
      <c r="AB104" s="21"/>
      <c r="AC104" s="21"/>
      <c r="AD104" s="22" t="str">
        <f aca="false">IF(B104="","",U104+W104+X104+Z104+IF(AB104&lt;&gt;"",N(AB104),AA104)+N(AC104))</f>
        <v/>
      </c>
      <c r="AE104" s="23" t="str">
        <f aca="false">IF(B104="","",Q104-AD104)</f>
        <v/>
      </c>
      <c r="AF104" s="22" t="str">
        <f aca="false">IF(B104="","",ROUND(T104*'Rates &amp; Settings'!$C$10,0)-AG104)</f>
        <v/>
      </c>
      <c r="AG104" s="22" t="str">
        <f aca="false">IF(B104="","",IF(H104="Yes",ROUND(MIN(T104,'Rates &amp; Settings'!$C$8)*'Rates &amp; Settings'!$C$11,0),0))</f>
        <v/>
      </c>
      <c r="AH104" s="22" t="str">
        <f aca="false">IF(B104="","",ROUND(MIN(T104,'Rates &amp; Settings'!$C$8)*'Rates &amp; Settings'!$C$12,0))</f>
        <v/>
      </c>
      <c r="AI104" s="22" t="str">
        <f aca="false">IF(B104="","",ROUND(T104*'Rates &amp; Settings'!$C$13,0))</f>
        <v/>
      </c>
      <c r="AJ104" s="22" t="str">
        <f aca="false">IF(B104="","",IF(V104="Yes",ROUNDUP(Q104*'Rates &amp; Settings'!$C$16,0),0))</f>
        <v/>
      </c>
      <c r="AK104" s="22" t="str">
        <f aca="false">IF(B104="","",IFERROR(IF(Z104=0,0,IF(INDEX('Rates &amp; Settings'!$C$75:$C$96,MATCH(E104,'Rates &amp; Settings'!$B$75:$B$96,0))="Percent",MIN(Z104*INDEX('Rates &amp; Settings'!$E$75:$E$96,MATCH(E104,'Rates &amp; Settings'!$B$75:$B$96,0)),INDEX('Rates &amp; Settings'!$G$75:$G$96,MATCH(E104,'Rates &amp; Settings'!$B$75:$B$96,0))),INDEX('Rates &amp; Settings'!$E$75:$E$96,MATCH(E104,'Rates &amp; Settings'!$B$75:$B$96,0)))),0))</f>
        <v/>
      </c>
      <c r="AL104" s="22" t="str">
        <f aca="false">IF(B104="","",Q104+AF104+AG104+AH104+AI104+AJ104+AK104)</f>
        <v/>
      </c>
      <c r="AM104" s="22" t="str">
        <f aca="false">IF(B104="","",MAX(0,P104*12-'Rates &amp; Settings'!$C$18))</f>
        <v/>
      </c>
      <c r="AN104" s="22" t="str">
        <f aca="false">IF(B104="","",IF(AM104&lt;='Rates &amp; Settings'!$C$19,0,MIN(SUMPRODUCT(--(AM104&gt;'Rates &amp; Settings'!$B$24:$B$30),AM104-'Rates &amp; Settings'!$B$24:$B$30,'Rates &amp; Settings'!$D$24:$D$30),AM104-'Rates &amp; Settings'!$C$19))*(1+'Rates &amp; Settings'!$C$20))</f>
        <v/>
      </c>
    </row>
    <row r="105" customFormat="false" ht="15" hidden="false" customHeight="false" outlineLevel="0" collapsed="false">
      <c r="B105" s="5"/>
      <c r="C105" s="5"/>
      <c r="D105" s="5"/>
      <c r="E105" s="5"/>
      <c r="F105" s="5"/>
      <c r="G105" s="5"/>
      <c r="H105" s="5"/>
      <c r="I105" s="20"/>
      <c r="J105" s="21"/>
      <c r="K105" s="21"/>
      <c r="L105" s="21"/>
      <c r="M105" s="21"/>
      <c r="N105" s="21"/>
      <c r="O105" s="21"/>
      <c r="P105" s="22" t="str">
        <f aca="false">IF(B105="","",SUM(J105:O105))</f>
        <v/>
      </c>
      <c r="Q105" s="22" t="str">
        <f aca="false">IF(B105="","",ROUND(P105*N(I105)/'Rates &amp; Settings'!$C$7,0))</f>
        <v/>
      </c>
      <c r="R105" s="22" t="str">
        <f aca="false">IF(B105="","",ROUND((N(J105)+N(K105))*N(I105)/'Rates &amp; Settings'!$C$7,0))</f>
        <v/>
      </c>
      <c r="S105" s="22" t="str">
        <f aca="false">IF(B105="","",IF('Rates &amp; Settings'!$C$14="Yes",MAX(R105,ROUND(Q105*0.5,0)),R105))</f>
        <v/>
      </c>
      <c r="T105" s="22" t="str">
        <f aca="false">IF(B105="","",IF(F105="Yes",IF(G105="Yes",MIN(S105,'Rates &amp; Settings'!$C$8),S105),0))</f>
        <v/>
      </c>
      <c r="U105" s="22" t="str">
        <f aca="false">IF(B105="","",ROUND(T105*'Rates &amp; Settings'!$C$9,0))</f>
        <v/>
      </c>
      <c r="V105" s="7" t="str">
        <f aca="false">IF(B105="","",IF(P105&lt;='Rates &amp; Settings'!$C$17,"Yes","No"))</f>
        <v/>
      </c>
      <c r="W105" s="22" t="str">
        <f aca="false">IF(B105="","",IF(V105="Yes",ROUNDUP(Q105*'Rates &amp; Settings'!$C$15,0),0))</f>
        <v/>
      </c>
      <c r="X105" s="22" t="str">
        <f aca="false">IF(B105="","",IF(Y105&lt;&gt;"",N(Y105),IF(MONTH('Rates &amp; Settings'!$C$6)=2,SUMIFS('Rates &amp; Settings'!$F$35:$F$70,'Rates &amp; Settings'!$B$35:$B$70,E105,'Rates &amp; Settings'!$C$35:$C$70,"&lt;="&amp;Q105,'Rates &amp; Settings'!$D$35:$D$70,"&gt;="&amp;Q105),SUMIFS('Rates &amp; Settings'!$E$35:$E$70,'Rates &amp; Settings'!$B$35:$B$70,E105,'Rates &amp; Settings'!$C$35:$C$70,"&lt;="&amp;Q105,'Rates &amp; Settings'!$D$35:$D$70,"&gt;="&amp;Q105))))</f>
        <v/>
      </c>
      <c r="Y105" s="21"/>
      <c r="Z105" s="22" t="str">
        <f aca="false">IF(B105="","",IFERROR(IF(OR(INDEX('Rates &amp; Settings'!$H$75:$H$96,MATCH(E105,'Rates &amp; Settings'!$B$75:$B$96,0))="All",ISNUMBER(SEARCH(","&amp;MONTH('Rates &amp; Settings'!$C$6)&amp;",",","&amp;INDEX('Rates &amp; Settings'!$H$75:$H$96,MATCH(E105,'Rates &amp; Settings'!$B$75:$B$96,0))&amp;","))),IF(INDEX('Rates &amp; Settings'!$C$75:$C$96,MATCH(E105,'Rates &amp; Settings'!$B$75:$B$96,0))="Percent",MIN(ROUND(Q105*INDEX('Rates &amp; Settings'!$D$75:$D$96,MATCH(E105,'Rates &amp; Settings'!$B$75:$B$96,0)),0),INDEX('Rates &amp; Settings'!$F$75:$F$96,MATCH(E105,'Rates &amp; Settings'!$B$75:$B$96,0))),INDEX('Rates &amp; Settings'!$D$75:$D$96,MATCH(E105,'Rates &amp; Settings'!$B$75:$B$96,0))),0),0))</f>
        <v/>
      </c>
      <c r="AA105" s="22" t="str">
        <f aca="false">IF(B105="","",ROUND(AN105/12,0))</f>
        <v/>
      </c>
      <c r="AB105" s="21"/>
      <c r="AC105" s="21"/>
      <c r="AD105" s="22" t="str">
        <f aca="false">IF(B105="","",U105+W105+X105+Z105+IF(AB105&lt;&gt;"",N(AB105),AA105)+N(AC105))</f>
        <v/>
      </c>
      <c r="AE105" s="23" t="str">
        <f aca="false">IF(B105="","",Q105-AD105)</f>
        <v/>
      </c>
      <c r="AF105" s="22" t="str">
        <f aca="false">IF(B105="","",ROUND(T105*'Rates &amp; Settings'!$C$10,0)-AG105)</f>
        <v/>
      </c>
      <c r="AG105" s="22" t="str">
        <f aca="false">IF(B105="","",IF(H105="Yes",ROUND(MIN(T105,'Rates &amp; Settings'!$C$8)*'Rates &amp; Settings'!$C$11,0),0))</f>
        <v/>
      </c>
      <c r="AH105" s="22" t="str">
        <f aca="false">IF(B105="","",ROUND(MIN(T105,'Rates &amp; Settings'!$C$8)*'Rates &amp; Settings'!$C$12,0))</f>
        <v/>
      </c>
      <c r="AI105" s="22" t="str">
        <f aca="false">IF(B105="","",ROUND(T105*'Rates &amp; Settings'!$C$13,0))</f>
        <v/>
      </c>
      <c r="AJ105" s="22" t="str">
        <f aca="false">IF(B105="","",IF(V105="Yes",ROUNDUP(Q105*'Rates &amp; Settings'!$C$16,0),0))</f>
        <v/>
      </c>
      <c r="AK105" s="22" t="str">
        <f aca="false">IF(B105="","",IFERROR(IF(Z105=0,0,IF(INDEX('Rates &amp; Settings'!$C$75:$C$96,MATCH(E105,'Rates &amp; Settings'!$B$75:$B$96,0))="Percent",MIN(Z105*INDEX('Rates &amp; Settings'!$E$75:$E$96,MATCH(E105,'Rates &amp; Settings'!$B$75:$B$96,0)),INDEX('Rates &amp; Settings'!$G$75:$G$96,MATCH(E105,'Rates &amp; Settings'!$B$75:$B$96,0))),INDEX('Rates &amp; Settings'!$E$75:$E$96,MATCH(E105,'Rates &amp; Settings'!$B$75:$B$96,0)))),0))</f>
        <v/>
      </c>
      <c r="AL105" s="22" t="str">
        <f aca="false">IF(B105="","",Q105+AF105+AG105+AH105+AI105+AJ105+AK105)</f>
        <v/>
      </c>
      <c r="AM105" s="22" t="str">
        <f aca="false">IF(B105="","",MAX(0,P105*12-'Rates &amp; Settings'!$C$18))</f>
        <v/>
      </c>
      <c r="AN105" s="22" t="str">
        <f aca="false">IF(B105="","",IF(AM105&lt;='Rates &amp; Settings'!$C$19,0,MIN(SUMPRODUCT(--(AM105&gt;'Rates &amp; Settings'!$B$24:$B$30),AM105-'Rates &amp; Settings'!$B$24:$B$30,'Rates &amp; Settings'!$D$24:$D$30),AM105-'Rates &amp; Settings'!$C$19))*(1+'Rates &amp; Settings'!$C$20))</f>
        <v/>
      </c>
    </row>
    <row r="106" customFormat="false" ht="15" hidden="false" customHeight="false" outlineLevel="0" collapsed="false">
      <c r="B106" s="24" t="s">
        <v>100</v>
      </c>
      <c r="J106" s="23" t="n">
        <f aca="false">SUM(J6:J105)</f>
        <v>152000</v>
      </c>
      <c r="K106" s="23" t="n">
        <f aca="false">SUM(K6:K105)</f>
        <v>1000</v>
      </c>
      <c r="L106" s="23" t="n">
        <f aca="false">SUM(L6:L105)</f>
        <v>75500</v>
      </c>
      <c r="M106" s="23" t="n">
        <f aca="false">SUM(M6:M105)</f>
        <v>8000</v>
      </c>
      <c r="N106" s="23" t="n">
        <f aca="false">SUM(N6:N105)</f>
        <v>61500</v>
      </c>
      <c r="O106" s="23" t="n">
        <f aca="false">SUM(O6:O105)</f>
        <v>10000</v>
      </c>
      <c r="P106" s="23" t="n">
        <f aca="false">SUM(P6:P105)</f>
        <v>308000</v>
      </c>
      <c r="Q106" s="23" t="n">
        <f aca="false">SUM(Q6:Q105)</f>
        <v>302194</v>
      </c>
      <c r="R106" s="23" t="n">
        <f aca="false">SUM(R6:R105)</f>
        <v>150097</v>
      </c>
      <c r="S106" s="23" t="n">
        <f aca="false">SUM(S6:S105)</f>
        <v>152097</v>
      </c>
      <c r="T106" s="23" t="n">
        <f aca="false">SUM(T6:T105)</f>
        <v>87097</v>
      </c>
      <c r="U106" s="23" t="n">
        <f aca="false">SUM(U6:U105)</f>
        <v>10452</v>
      </c>
      <c r="W106" s="23" t="n">
        <f aca="false">SUM(W6:W105)</f>
        <v>285</v>
      </c>
      <c r="X106" s="23" t="n">
        <f aca="false">SUM(X6:X105)</f>
        <v>530</v>
      </c>
      <c r="Y106" s="23" t="n">
        <f aca="false">SUM(Y6:Y105)</f>
        <v>0</v>
      </c>
      <c r="Z106" s="23" t="n">
        <f aca="false">SUM(Z6:Z105)</f>
        <v>35</v>
      </c>
      <c r="AA106" s="23" t="n">
        <f aca="false">SUM(AA6:AA105)</f>
        <v>7345</v>
      </c>
      <c r="AB106" s="23" t="n">
        <f aca="false">SUM(AB6:AB105)</f>
        <v>0</v>
      </c>
      <c r="AC106" s="23" t="n">
        <f aca="false">SUM(AC6:AC105)</f>
        <v>0</v>
      </c>
      <c r="AD106" s="23" t="n">
        <f aca="false">SUM(AD6:AD105)</f>
        <v>18647</v>
      </c>
      <c r="AE106" s="23" t="n">
        <f aca="false">SUM(AE6:AE105)</f>
        <v>283547</v>
      </c>
      <c r="AF106" s="23" t="n">
        <f aca="false">SUM(AF6:AF105)</f>
        <v>6703</v>
      </c>
      <c r="AG106" s="23" t="n">
        <f aca="false">SUM(AG6:AG105)</f>
        <v>3749</v>
      </c>
      <c r="AH106" s="23" t="n">
        <f aca="false">SUM(AH6:AH105)</f>
        <v>350</v>
      </c>
      <c r="AI106" s="23" t="n">
        <f aca="false">SUM(AI6:AI105)</f>
        <v>435</v>
      </c>
      <c r="AJ106" s="23" t="n">
        <f aca="false">SUM(AJ6:AJ105)</f>
        <v>1235</v>
      </c>
      <c r="AK106" s="23" t="n">
        <f aca="false">SUM(AK6:AK105)</f>
        <v>70</v>
      </c>
      <c r="AL106" s="23" t="n">
        <f aca="false">SUM(AL6:AL105)</f>
        <v>314736</v>
      </c>
      <c r="AM106" s="23" t="n">
        <f aca="false">SUM(AM6:AM105)</f>
        <v>3321000</v>
      </c>
      <c r="AN106" s="23" t="n">
        <f aca="false">SUM(AN6:AN105)</f>
        <v>88140</v>
      </c>
    </row>
  </sheetData>
  <mergeCells count="6">
    <mergeCell ref="B4:I4"/>
    <mergeCell ref="J4:P4"/>
    <mergeCell ref="Q4:T4"/>
    <mergeCell ref="U4:AD4"/>
    <mergeCell ref="AF4:AL4"/>
    <mergeCell ref="AM4:AN4"/>
  </mergeCells>
  <dataValidations count="2">
    <dataValidation allowBlank="true" errorStyle="stop" operator="between" showDropDown="false" showErrorMessage="false" showInputMessage="false" sqref="E6:E105" type="list">
      <formula1>'Rates &amp; Settings'!$K$5:$K$29</formula1>
      <formula2>0</formula2>
    </dataValidation>
    <dataValidation allowBlank="true" errorStyle="stop" operator="between" showDropDown="false" showErrorMessage="false" showInputMessage="false" sqref="F6:H10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7" min="5" style="0" width="14"/>
    <col collapsed="false" customWidth="true" hidden="false" outlineLevel="0" max="8" min="8" style="0" width="18"/>
    <col collapsed="false" customWidth="true" hidden="true" outlineLevel="0" max="11" min="11" style="0" width="13"/>
  </cols>
  <sheetData>
    <row r="2" customFormat="false" ht="19.7" hidden="false" customHeight="false" outlineLevel="0" collapsed="false">
      <c r="B2" s="1" t="s">
        <v>101</v>
      </c>
    </row>
    <row r="3" customFormat="false" ht="15" hidden="false" customHeight="false" outlineLevel="0" collapsed="false">
      <c r="B3" s="2" t="s">
        <v>102</v>
      </c>
    </row>
    <row r="5" customFormat="false" ht="15" hidden="false" customHeight="false" outlineLevel="0" collapsed="false">
      <c r="B5" s="25" t="s">
        <v>103</v>
      </c>
      <c r="C5" s="5" t="s">
        <v>104</v>
      </c>
      <c r="D5" s="2"/>
      <c r="K5" s="26" t="s">
        <v>81</v>
      </c>
    </row>
    <row r="6" customFormat="false" ht="15" hidden="false" customHeight="false" outlineLevel="0" collapsed="false">
      <c r="B6" s="25" t="s">
        <v>105</v>
      </c>
      <c r="C6" s="27" t="n">
        <v>46296</v>
      </c>
      <c r="D6" s="2"/>
      <c r="K6" s="26" t="s">
        <v>99</v>
      </c>
    </row>
    <row r="7" customFormat="false" ht="15" hidden="false" customHeight="false" outlineLevel="0" collapsed="false">
      <c r="B7" s="25" t="s">
        <v>106</v>
      </c>
      <c r="C7" s="28" t="n">
        <f aca="false">DAY(EOMONTH($C$6,0))</f>
        <v>31</v>
      </c>
      <c r="D7" s="2" t="s">
        <v>7</v>
      </c>
      <c r="K7" s="26" t="s">
        <v>107</v>
      </c>
    </row>
    <row r="8" customFormat="false" ht="15" hidden="false" customHeight="false" outlineLevel="0" collapsed="false">
      <c r="B8" s="25" t="s">
        <v>108</v>
      </c>
      <c r="C8" s="21" t="n">
        <v>25000</v>
      </c>
      <c r="D8" s="2" t="s">
        <v>109</v>
      </c>
      <c r="K8" s="26" t="s">
        <v>110</v>
      </c>
    </row>
    <row r="9" customFormat="false" ht="15" hidden="false" customHeight="false" outlineLevel="0" collapsed="false">
      <c r="B9" s="25" t="s">
        <v>111</v>
      </c>
      <c r="C9" s="29" t="n">
        <v>0.12</v>
      </c>
      <c r="D9" s="2"/>
      <c r="K9" s="26" t="s">
        <v>90</v>
      </c>
    </row>
    <row r="10" customFormat="false" ht="15" hidden="false" customHeight="false" outlineLevel="0" collapsed="false">
      <c r="B10" s="25" t="s">
        <v>112</v>
      </c>
      <c r="C10" s="29" t="n">
        <v>0.12</v>
      </c>
      <c r="D10" s="2"/>
      <c r="K10" s="26" t="s">
        <v>113</v>
      </c>
    </row>
    <row r="11" customFormat="false" ht="15" hidden="false" customHeight="false" outlineLevel="0" collapsed="false">
      <c r="B11" s="25" t="s">
        <v>114</v>
      </c>
      <c r="C11" s="30" t="n">
        <v>0.0833</v>
      </c>
      <c r="D11" s="2" t="s">
        <v>115</v>
      </c>
      <c r="K11" s="26" t="s">
        <v>86</v>
      </c>
    </row>
    <row r="12" customFormat="false" ht="15" hidden="false" customHeight="false" outlineLevel="0" collapsed="false">
      <c r="B12" s="25" t="s">
        <v>116</v>
      </c>
      <c r="C12" s="30" t="n">
        <v>0.005</v>
      </c>
      <c r="D12" s="2"/>
      <c r="K12" s="26" t="s">
        <v>117</v>
      </c>
    </row>
    <row r="13" customFormat="false" ht="15" hidden="false" customHeight="false" outlineLevel="0" collapsed="false">
      <c r="B13" s="25" t="s">
        <v>118</v>
      </c>
      <c r="C13" s="30" t="n">
        <v>0.005</v>
      </c>
      <c r="D13" s="2"/>
      <c r="K13" s="26" t="s">
        <v>119</v>
      </c>
    </row>
    <row r="14" customFormat="false" ht="15" hidden="false" customHeight="false" outlineLevel="0" collapsed="false">
      <c r="B14" s="25" t="s">
        <v>120</v>
      </c>
      <c r="C14" s="5" t="s">
        <v>82</v>
      </c>
      <c r="D14" s="2" t="s">
        <v>121</v>
      </c>
      <c r="K14" s="26" t="s">
        <v>122</v>
      </c>
    </row>
    <row r="15" customFormat="false" ht="15" hidden="false" customHeight="false" outlineLevel="0" collapsed="false">
      <c r="B15" s="25" t="s">
        <v>123</v>
      </c>
      <c r="C15" s="30" t="n">
        <v>0.0075</v>
      </c>
      <c r="D15" s="2"/>
      <c r="K15" s="26" t="s">
        <v>95</v>
      </c>
    </row>
    <row r="16" customFormat="false" ht="15" hidden="false" customHeight="false" outlineLevel="0" collapsed="false">
      <c r="B16" s="25" t="s">
        <v>124</v>
      </c>
      <c r="C16" s="30" t="n">
        <v>0.0325</v>
      </c>
      <c r="D16" s="2"/>
      <c r="K16" s="26" t="s">
        <v>125</v>
      </c>
    </row>
    <row r="17" customFormat="false" ht="15" hidden="false" customHeight="false" outlineLevel="0" collapsed="false">
      <c r="B17" s="25" t="s">
        <v>126</v>
      </c>
      <c r="C17" s="21" t="n">
        <v>21000</v>
      </c>
      <c r="D17" s="2" t="s">
        <v>127</v>
      </c>
      <c r="K17" s="26" t="s">
        <v>128</v>
      </c>
    </row>
    <row r="18" customFormat="false" ht="15" hidden="false" customHeight="false" outlineLevel="0" collapsed="false">
      <c r="B18" s="25" t="s">
        <v>129</v>
      </c>
      <c r="C18" s="21" t="n">
        <v>75000</v>
      </c>
      <c r="D18" s="2" t="s">
        <v>130</v>
      </c>
      <c r="K18" s="26" t="s">
        <v>131</v>
      </c>
    </row>
    <row r="19" customFormat="false" ht="15" hidden="false" customHeight="false" outlineLevel="0" collapsed="false">
      <c r="B19" s="25" t="s">
        <v>132</v>
      </c>
      <c r="C19" s="21" t="n">
        <v>1200000</v>
      </c>
      <c r="D19" s="2" t="s">
        <v>133</v>
      </c>
      <c r="K19" s="26" t="s">
        <v>134</v>
      </c>
    </row>
    <row r="20" customFormat="false" ht="15" hidden="false" customHeight="false" outlineLevel="0" collapsed="false">
      <c r="B20" s="25" t="s">
        <v>135</v>
      </c>
      <c r="C20" s="29" t="n">
        <v>0.04</v>
      </c>
      <c r="D20" s="2"/>
      <c r="K20" s="26" t="s">
        <v>136</v>
      </c>
    </row>
    <row r="21" customFormat="false" ht="15" hidden="false" customHeight="false" outlineLevel="0" collapsed="false">
      <c r="K21" s="0" t="s">
        <v>137</v>
      </c>
    </row>
    <row r="22" customFormat="false" ht="15" hidden="false" customHeight="false" outlineLevel="0" collapsed="false">
      <c r="B22" s="3" t="s">
        <v>138</v>
      </c>
      <c r="K22" s="26" t="s">
        <v>139</v>
      </c>
    </row>
    <row r="23" customFormat="false" ht="30" hidden="false" customHeight="true" outlineLevel="0" collapsed="false">
      <c r="B23" s="18" t="s">
        <v>140</v>
      </c>
      <c r="C23" s="19" t="s">
        <v>141</v>
      </c>
      <c r="D23" s="19" t="s">
        <v>142</v>
      </c>
      <c r="K23" s="26" t="s">
        <v>143</v>
      </c>
    </row>
    <row r="24" customFormat="false" ht="15" hidden="false" customHeight="false" outlineLevel="0" collapsed="false">
      <c r="B24" s="21" t="n">
        <v>0</v>
      </c>
      <c r="C24" s="29" t="n">
        <v>0</v>
      </c>
      <c r="D24" s="31" t="n">
        <f aca="false">C24</f>
        <v>0</v>
      </c>
      <c r="K24" s="26" t="s">
        <v>144</v>
      </c>
    </row>
    <row r="25" customFormat="false" ht="15" hidden="false" customHeight="false" outlineLevel="0" collapsed="false">
      <c r="B25" s="21" t="n">
        <v>400000</v>
      </c>
      <c r="C25" s="29" t="n">
        <v>0.05</v>
      </c>
      <c r="D25" s="31" t="n">
        <f aca="false">C25-C24</f>
        <v>0.05</v>
      </c>
      <c r="K25" s="26" t="s">
        <v>145</v>
      </c>
    </row>
    <row r="26" customFormat="false" ht="15" hidden="false" customHeight="false" outlineLevel="0" collapsed="false">
      <c r="B26" s="21" t="n">
        <v>800000</v>
      </c>
      <c r="C26" s="29" t="n">
        <v>0.1</v>
      </c>
      <c r="D26" s="31" t="n">
        <f aca="false">C26-C25</f>
        <v>0.05</v>
      </c>
      <c r="K26" s="26" t="s">
        <v>146</v>
      </c>
    </row>
    <row r="27" customFormat="false" ht="15" hidden="false" customHeight="false" outlineLevel="0" collapsed="false">
      <c r="B27" s="21" t="n">
        <v>1200000</v>
      </c>
      <c r="C27" s="29" t="n">
        <v>0.15</v>
      </c>
      <c r="D27" s="31" t="n">
        <f aca="false">C27-C26</f>
        <v>0.05</v>
      </c>
      <c r="K27" s="26" t="s">
        <v>147</v>
      </c>
    </row>
    <row r="28" customFormat="false" ht="15" hidden="false" customHeight="false" outlineLevel="0" collapsed="false">
      <c r="B28" s="21" t="n">
        <v>1600000</v>
      </c>
      <c r="C28" s="29" t="n">
        <v>0.2</v>
      </c>
      <c r="D28" s="31" t="n">
        <f aca="false">C28-C27</f>
        <v>0.05</v>
      </c>
      <c r="K28" s="26" t="s">
        <v>148</v>
      </c>
    </row>
    <row r="29" customFormat="false" ht="15" hidden="false" customHeight="false" outlineLevel="0" collapsed="false">
      <c r="B29" s="21" t="n">
        <v>2000000</v>
      </c>
      <c r="C29" s="29" t="n">
        <v>0.25</v>
      </c>
      <c r="D29" s="31" t="n">
        <f aca="false">C29-C28</f>
        <v>0.05</v>
      </c>
      <c r="K29" s="26" t="s">
        <v>149</v>
      </c>
    </row>
    <row r="30" customFormat="false" ht="15" hidden="false" customHeight="false" outlineLevel="0" collapsed="false">
      <c r="B30" s="21" t="n">
        <v>2400000</v>
      </c>
      <c r="C30" s="29" t="n">
        <v>0.3</v>
      </c>
      <c r="D30" s="31" t="n">
        <f aca="false">C30-C29</f>
        <v>0.05</v>
      </c>
    </row>
    <row r="33" customFormat="false" ht="15" hidden="false" customHeight="false" outlineLevel="0" collapsed="false">
      <c r="B33" s="3" t="s">
        <v>150</v>
      </c>
    </row>
    <row r="34" customFormat="false" ht="30" hidden="false" customHeight="true" outlineLevel="0" collapsed="false">
      <c r="B34" s="18" t="s">
        <v>42</v>
      </c>
      <c r="C34" s="19" t="s">
        <v>151</v>
      </c>
      <c r="D34" s="19" t="s">
        <v>152</v>
      </c>
      <c r="E34" s="19" t="s">
        <v>153</v>
      </c>
      <c r="F34" s="19" t="s">
        <v>154</v>
      </c>
    </row>
    <row r="35" customFormat="false" ht="15" hidden="false" customHeight="false" outlineLevel="0" collapsed="false">
      <c r="B35" s="5" t="s">
        <v>90</v>
      </c>
      <c r="C35" s="21" t="n">
        <v>0</v>
      </c>
      <c r="D35" s="21" t="n">
        <v>7500</v>
      </c>
      <c r="E35" s="21" t="n">
        <v>0</v>
      </c>
      <c r="F35" s="21" t="n">
        <v>0</v>
      </c>
    </row>
    <row r="36" customFormat="false" ht="15" hidden="false" customHeight="false" outlineLevel="0" collapsed="false">
      <c r="B36" s="5" t="s">
        <v>90</v>
      </c>
      <c r="C36" s="21" t="n">
        <v>7501</v>
      </c>
      <c r="D36" s="21" t="n">
        <v>10000</v>
      </c>
      <c r="E36" s="21" t="n">
        <v>175</v>
      </c>
      <c r="F36" s="21" t="n">
        <v>175</v>
      </c>
    </row>
    <row r="37" customFormat="false" ht="15" hidden="false" customHeight="false" outlineLevel="0" collapsed="false">
      <c r="B37" s="5" t="s">
        <v>90</v>
      </c>
      <c r="C37" s="21" t="n">
        <v>10001</v>
      </c>
      <c r="D37" s="21" t="n">
        <v>999999999</v>
      </c>
      <c r="E37" s="21" t="n">
        <v>200</v>
      </c>
      <c r="F37" s="21" t="n">
        <v>300</v>
      </c>
    </row>
    <row r="38" customFormat="false" ht="15" hidden="false" customHeight="false" outlineLevel="0" collapsed="false">
      <c r="B38" s="5" t="s">
        <v>113</v>
      </c>
      <c r="C38" s="21" t="n">
        <v>0</v>
      </c>
      <c r="D38" s="21" t="n">
        <v>25000</v>
      </c>
      <c r="E38" s="21" t="n">
        <v>0</v>
      </c>
      <c r="F38" s="21" t="n">
        <v>0</v>
      </c>
    </row>
    <row r="39" customFormat="false" ht="15" hidden="false" customHeight="false" outlineLevel="0" collapsed="false">
      <c r="B39" s="5" t="s">
        <v>113</v>
      </c>
      <c r="C39" s="21" t="n">
        <v>25001</v>
      </c>
      <c r="D39" s="21" t="n">
        <v>999999999</v>
      </c>
      <c r="E39" s="21" t="n">
        <v>200</v>
      </c>
      <c r="F39" s="21" t="n">
        <v>300</v>
      </c>
    </row>
    <row r="40" customFormat="false" ht="15" hidden="false" customHeight="false" outlineLevel="0" collapsed="false">
      <c r="B40" s="5" t="s">
        <v>86</v>
      </c>
      <c r="C40" s="21" t="n">
        <v>0</v>
      </c>
      <c r="D40" s="21" t="n">
        <v>24999</v>
      </c>
      <c r="E40" s="21" t="n">
        <v>0</v>
      </c>
      <c r="F40" s="21" t="n">
        <v>0</v>
      </c>
    </row>
    <row r="41" customFormat="false" ht="15" hidden="false" customHeight="false" outlineLevel="0" collapsed="false">
      <c r="B41" s="5" t="s">
        <v>86</v>
      </c>
      <c r="C41" s="21" t="n">
        <v>25000</v>
      </c>
      <c r="D41" s="21" t="n">
        <v>999999999</v>
      </c>
      <c r="E41" s="21" t="n">
        <v>200</v>
      </c>
      <c r="F41" s="21" t="n">
        <v>300</v>
      </c>
    </row>
    <row r="42" customFormat="false" ht="15" hidden="false" customHeight="false" outlineLevel="0" collapsed="false">
      <c r="B42" s="5" t="s">
        <v>95</v>
      </c>
      <c r="C42" s="21" t="n">
        <v>0</v>
      </c>
      <c r="D42" s="21" t="n">
        <v>10000</v>
      </c>
      <c r="E42" s="21" t="n">
        <v>0</v>
      </c>
      <c r="F42" s="21" t="n">
        <v>0</v>
      </c>
    </row>
    <row r="43" customFormat="false" ht="15" hidden="false" customHeight="false" outlineLevel="0" collapsed="false">
      <c r="B43" s="5" t="s">
        <v>95</v>
      </c>
      <c r="C43" s="21" t="n">
        <v>10001</v>
      </c>
      <c r="D43" s="21" t="n">
        <v>15000</v>
      </c>
      <c r="E43" s="21" t="n">
        <v>110</v>
      </c>
      <c r="F43" s="21" t="n">
        <v>110</v>
      </c>
    </row>
    <row r="44" customFormat="false" ht="15" hidden="false" customHeight="false" outlineLevel="0" collapsed="false">
      <c r="B44" s="5" t="s">
        <v>95</v>
      </c>
      <c r="C44" s="21" t="n">
        <v>15001</v>
      </c>
      <c r="D44" s="21" t="n">
        <v>25000</v>
      </c>
      <c r="E44" s="21" t="n">
        <v>130</v>
      </c>
      <c r="F44" s="21" t="n">
        <v>130</v>
      </c>
    </row>
    <row r="45" customFormat="false" ht="15" hidden="false" customHeight="false" outlineLevel="0" collapsed="false">
      <c r="B45" s="5" t="s">
        <v>95</v>
      </c>
      <c r="C45" s="21" t="n">
        <v>25001</v>
      </c>
      <c r="D45" s="21" t="n">
        <v>40000</v>
      </c>
      <c r="E45" s="21" t="n">
        <v>150</v>
      </c>
      <c r="F45" s="21" t="n">
        <v>150</v>
      </c>
    </row>
    <row r="46" customFormat="false" ht="15" hidden="false" customHeight="false" outlineLevel="0" collapsed="false">
      <c r="B46" s="5" t="s">
        <v>95</v>
      </c>
      <c r="C46" s="21" t="n">
        <v>40001</v>
      </c>
      <c r="D46" s="21" t="n">
        <v>999999999</v>
      </c>
      <c r="E46" s="21" t="n">
        <v>200</v>
      </c>
      <c r="F46" s="21" t="n">
        <v>200</v>
      </c>
    </row>
    <row r="47" customFormat="false" ht="15" hidden="false" customHeight="false" outlineLevel="0" collapsed="false">
      <c r="B47" s="5" t="s">
        <v>119</v>
      </c>
      <c r="C47" s="21" t="n">
        <v>0</v>
      </c>
      <c r="D47" s="21" t="n">
        <v>15000</v>
      </c>
      <c r="E47" s="21" t="n">
        <v>0</v>
      </c>
      <c r="F47" s="21" t="n">
        <v>0</v>
      </c>
    </row>
    <row r="48" customFormat="false" ht="15" hidden="false" customHeight="false" outlineLevel="0" collapsed="false">
      <c r="B48" s="5" t="s">
        <v>119</v>
      </c>
      <c r="C48" s="21" t="n">
        <v>15001</v>
      </c>
      <c r="D48" s="21" t="n">
        <v>20000</v>
      </c>
      <c r="E48" s="21" t="n">
        <v>150</v>
      </c>
      <c r="F48" s="21" t="n">
        <v>150</v>
      </c>
    </row>
    <row r="49" customFormat="false" ht="15" hidden="false" customHeight="false" outlineLevel="0" collapsed="false">
      <c r="B49" s="5" t="s">
        <v>119</v>
      </c>
      <c r="C49" s="21" t="n">
        <v>20001</v>
      </c>
      <c r="D49" s="21" t="n">
        <v>999999999</v>
      </c>
      <c r="E49" s="21" t="n">
        <v>200</v>
      </c>
      <c r="F49" s="21" t="n">
        <v>200</v>
      </c>
    </row>
    <row r="50" customFormat="false" ht="15" hidden="false" customHeight="false" outlineLevel="0" collapsed="false">
      <c r="B50" s="5" t="s">
        <v>122</v>
      </c>
      <c r="C50" s="21" t="n">
        <v>0</v>
      </c>
      <c r="D50" s="21" t="n">
        <v>15000</v>
      </c>
      <c r="E50" s="21" t="n">
        <v>0</v>
      </c>
      <c r="F50" s="21" t="n">
        <v>0</v>
      </c>
    </row>
    <row r="51" customFormat="false" ht="15" hidden="false" customHeight="false" outlineLevel="0" collapsed="false">
      <c r="B51" s="5" t="s">
        <v>122</v>
      </c>
      <c r="C51" s="21" t="n">
        <v>15001</v>
      </c>
      <c r="D51" s="21" t="n">
        <v>20000</v>
      </c>
      <c r="E51" s="21" t="n">
        <v>150</v>
      </c>
      <c r="F51" s="21" t="n">
        <v>150</v>
      </c>
    </row>
    <row r="52" customFormat="false" ht="15" hidden="false" customHeight="false" outlineLevel="0" collapsed="false">
      <c r="B52" s="5" t="s">
        <v>122</v>
      </c>
      <c r="C52" s="21" t="n">
        <v>20001</v>
      </c>
      <c r="D52" s="21" t="n">
        <v>999999999</v>
      </c>
      <c r="E52" s="21" t="n">
        <v>200</v>
      </c>
      <c r="F52" s="21" t="n">
        <v>200</v>
      </c>
    </row>
    <row r="53" customFormat="false" ht="15" hidden="false" customHeight="false" outlineLevel="0" collapsed="false">
      <c r="B53" s="5" t="s">
        <v>125</v>
      </c>
      <c r="C53" s="21" t="n">
        <v>0</v>
      </c>
      <c r="D53" s="21" t="n">
        <v>5999</v>
      </c>
      <c r="E53" s="21" t="n">
        <v>0</v>
      </c>
      <c r="F53" s="21" t="n">
        <v>0</v>
      </c>
    </row>
    <row r="54" customFormat="false" ht="15" hidden="false" customHeight="false" outlineLevel="0" collapsed="false">
      <c r="B54" s="5" t="s">
        <v>125</v>
      </c>
      <c r="C54" s="21" t="n">
        <v>6000</v>
      </c>
      <c r="D54" s="21" t="n">
        <v>8999</v>
      </c>
      <c r="E54" s="21" t="n">
        <v>80</v>
      </c>
      <c r="F54" s="21" t="n">
        <v>80</v>
      </c>
    </row>
    <row r="55" customFormat="false" ht="15" hidden="false" customHeight="false" outlineLevel="0" collapsed="false">
      <c r="B55" s="5" t="s">
        <v>125</v>
      </c>
      <c r="C55" s="21" t="n">
        <v>9000</v>
      </c>
      <c r="D55" s="21" t="n">
        <v>11999</v>
      </c>
      <c r="E55" s="21" t="n">
        <v>150</v>
      </c>
      <c r="F55" s="21" t="n">
        <v>150</v>
      </c>
    </row>
    <row r="56" customFormat="false" ht="15" hidden="false" customHeight="false" outlineLevel="0" collapsed="false">
      <c r="B56" s="5" t="s">
        <v>125</v>
      </c>
      <c r="C56" s="21" t="n">
        <v>12000</v>
      </c>
      <c r="D56" s="21" t="n">
        <v>999999999</v>
      </c>
      <c r="E56" s="21" t="n">
        <v>200</v>
      </c>
      <c r="F56" s="21" t="n">
        <v>200</v>
      </c>
    </row>
    <row r="57" customFormat="false" ht="15" hidden="false" customHeight="false" outlineLevel="0" collapsed="false">
      <c r="B57" s="5" t="s">
        <v>131</v>
      </c>
      <c r="C57" s="21" t="n">
        <v>0</v>
      </c>
      <c r="D57" s="21" t="n">
        <v>13304</v>
      </c>
      <c r="E57" s="21" t="n">
        <v>0</v>
      </c>
      <c r="F57" s="21" t="n">
        <v>0</v>
      </c>
    </row>
    <row r="58" customFormat="false" ht="15" hidden="false" customHeight="false" outlineLevel="0" collapsed="false">
      <c r="B58" s="5" t="s">
        <v>131</v>
      </c>
      <c r="C58" s="21" t="n">
        <v>13305</v>
      </c>
      <c r="D58" s="21" t="n">
        <v>25000</v>
      </c>
      <c r="E58" s="21" t="n">
        <v>125</v>
      </c>
      <c r="F58" s="21" t="n">
        <v>125</v>
      </c>
    </row>
    <row r="59" customFormat="false" ht="15" hidden="false" customHeight="false" outlineLevel="0" collapsed="false">
      <c r="B59" s="5" t="s">
        <v>131</v>
      </c>
      <c r="C59" s="21" t="n">
        <v>25001</v>
      </c>
      <c r="D59" s="21" t="n">
        <v>41666</v>
      </c>
      <c r="E59" s="21" t="n">
        <v>167</v>
      </c>
      <c r="F59" s="21" t="n">
        <v>167</v>
      </c>
    </row>
    <row r="60" customFormat="false" ht="15" hidden="false" customHeight="false" outlineLevel="0" collapsed="false">
      <c r="B60" s="5" t="s">
        <v>131</v>
      </c>
      <c r="C60" s="21" t="n">
        <v>41667</v>
      </c>
      <c r="D60" s="21" t="n">
        <v>999999999</v>
      </c>
      <c r="E60" s="21" t="n">
        <v>208</v>
      </c>
      <c r="F60" s="21" t="n">
        <v>208</v>
      </c>
    </row>
    <row r="61" customFormat="false" ht="15" hidden="false" customHeight="false" outlineLevel="0" collapsed="false">
      <c r="B61" s="5"/>
      <c r="C61" s="21"/>
      <c r="D61" s="21"/>
      <c r="E61" s="21"/>
      <c r="F61" s="21"/>
    </row>
    <row r="62" customFormat="false" ht="15" hidden="false" customHeight="false" outlineLevel="0" collapsed="false">
      <c r="B62" s="5"/>
      <c r="C62" s="21"/>
      <c r="D62" s="21"/>
      <c r="E62" s="21"/>
      <c r="F62" s="21"/>
    </row>
    <row r="63" customFormat="false" ht="15" hidden="false" customHeight="false" outlineLevel="0" collapsed="false">
      <c r="B63" s="5"/>
      <c r="C63" s="21"/>
      <c r="D63" s="21"/>
      <c r="E63" s="21"/>
      <c r="F63" s="21"/>
    </row>
    <row r="64" customFormat="false" ht="15" hidden="false" customHeight="false" outlineLevel="0" collapsed="false">
      <c r="B64" s="5"/>
      <c r="C64" s="21"/>
      <c r="D64" s="21"/>
      <c r="E64" s="21"/>
      <c r="F64" s="21"/>
    </row>
    <row r="65" customFormat="false" ht="15" hidden="false" customHeight="false" outlineLevel="0" collapsed="false">
      <c r="B65" s="5"/>
      <c r="C65" s="21"/>
      <c r="D65" s="21"/>
      <c r="E65" s="21"/>
      <c r="F65" s="21"/>
    </row>
    <row r="66" customFormat="false" ht="15" hidden="false" customHeight="false" outlineLevel="0" collapsed="false">
      <c r="B66" s="5"/>
      <c r="C66" s="21"/>
      <c r="D66" s="21"/>
      <c r="E66" s="21"/>
      <c r="F66" s="21"/>
    </row>
    <row r="67" customFormat="false" ht="15" hidden="false" customHeight="false" outlineLevel="0" collapsed="false">
      <c r="B67" s="5"/>
      <c r="C67" s="21"/>
      <c r="D67" s="21"/>
      <c r="E67" s="21"/>
      <c r="F67" s="21"/>
    </row>
    <row r="68" customFormat="false" ht="15" hidden="false" customHeight="false" outlineLevel="0" collapsed="false">
      <c r="B68" s="5"/>
      <c r="C68" s="21"/>
      <c r="D68" s="21"/>
      <c r="E68" s="21"/>
      <c r="F68" s="21"/>
    </row>
    <row r="69" customFormat="false" ht="15" hidden="false" customHeight="false" outlineLevel="0" collapsed="false">
      <c r="B69" s="5"/>
      <c r="C69" s="21"/>
      <c r="D69" s="21"/>
      <c r="E69" s="21"/>
      <c r="F69" s="21"/>
    </row>
    <row r="70" customFormat="false" ht="15" hidden="false" customHeight="false" outlineLevel="0" collapsed="false">
      <c r="B70" s="5"/>
      <c r="C70" s="21"/>
      <c r="D70" s="21"/>
      <c r="E70" s="21"/>
      <c r="F70" s="21"/>
    </row>
    <row r="71" customFormat="false" ht="15" hidden="false" customHeight="false" outlineLevel="0" collapsed="false">
      <c r="B71" s="32" t="s">
        <v>155</v>
      </c>
    </row>
    <row r="73" customFormat="false" ht="15" hidden="false" customHeight="false" outlineLevel="0" collapsed="false">
      <c r="B73" s="3" t="s">
        <v>156</v>
      </c>
    </row>
    <row r="74" customFormat="false" ht="30" hidden="false" customHeight="true" outlineLevel="0" collapsed="false">
      <c r="B74" s="18" t="s">
        <v>42</v>
      </c>
      <c r="C74" s="19" t="s">
        <v>157</v>
      </c>
      <c r="D74" s="19" t="s">
        <v>158</v>
      </c>
      <c r="E74" s="19" t="s">
        <v>159</v>
      </c>
      <c r="F74" s="19" t="s">
        <v>160</v>
      </c>
      <c r="G74" s="19" t="s">
        <v>161</v>
      </c>
      <c r="H74" s="19" t="s">
        <v>162</v>
      </c>
    </row>
    <row r="75" customFormat="false" ht="15" hidden="false" customHeight="false" outlineLevel="0" collapsed="false">
      <c r="B75" s="5" t="s">
        <v>81</v>
      </c>
      <c r="C75" s="5" t="s">
        <v>163</v>
      </c>
      <c r="D75" s="30" t="n">
        <v>0.002</v>
      </c>
      <c r="E75" s="33" t="n">
        <v>2</v>
      </c>
      <c r="F75" s="33" t="n">
        <v>35</v>
      </c>
      <c r="G75" s="33" t="n">
        <v>70</v>
      </c>
      <c r="H75" s="5" t="s">
        <v>164</v>
      </c>
    </row>
    <row r="76" customFormat="false" ht="15" hidden="false" customHeight="false" outlineLevel="0" collapsed="false">
      <c r="B76" s="5" t="s">
        <v>99</v>
      </c>
      <c r="C76" s="5" t="s">
        <v>165</v>
      </c>
      <c r="D76" s="33" t="n">
        <v>0.75</v>
      </c>
      <c r="E76" s="33" t="n">
        <v>2.25</v>
      </c>
      <c r="F76" s="33"/>
      <c r="G76" s="33"/>
      <c r="H76" s="5" t="s">
        <v>166</v>
      </c>
    </row>
    <row r="77" customFormat="false" ht="15" hidden="false" customHeight="false" outlineLevel="0" collapsed="false">
      <c r="B77" s="5" t="s">
        <v>90</v>
      </c>
      <c r="C77" s="5" t="s">
        <v>165</v>
      </c>
      <c r="D77" s="33" t="n">
        <v>25</v>
      </c>
      <c r="E77" s="33" t="n">
        <v>75</v>
      </c>
      <c r="F77" s="33"/>
      <c r="G77" s="33"/>
      <c r="H77" s="5" t="s">
        <v>166</v>
      </c>
    </row>
    <row r="78" customFormat="false" ht="15" hidden="false" customHeight="false" outlineLevel="0" collapsed="false">
      <c r="B78" s="5" t="s">
        <v>113</v>
      </c>
      <c r="C78" s="5" t="s">
        <v>165</v>
      </c>
      <c r="D78" s="33" t="n">
        <v>25</v>
      </c>
      <c r="E78" s="33" t="n">
        <v>75</v>
      </c>
      <c r="F78" s="33"/>
      <c r="G78" s="33"/>
      <c r="H78" s="5" t="s">
        <v>166</v>
      </c>
    </row>
    <row r="79" customFormat="false" ht="15" hidden="false" customHeight="false" outlineLevel="0" collapsed="false">
      <c r="B79" s="5" t="s">
        <v>86</v>
      </c>
      <c r="C79" s="5" t="s">
        <v>165</v>
      </c>
      <c r="D79" s="33" t="n">
        <v>50</v>
      </c>
      <c r="E79" s="33" t="n">
        <v>100</v>
      </c>
      <c r="F79" s="33"/>
      <c r="G79" s="33"/>
      <c r="H79" s="5" t="s">
        <v>167</v>
      </c>
    </row>
    <row r="80" customFormat="false" ht="15" hidden="false" customHeight="false" outlineLevel="0" collapsed="false">
      <c r="B80" s="5" t="s">
        <v>117</v>
      </c>
      <c r="C80" s="5" t="s">
        <v>165</v>
      </c>
      <c r="D80" s="33" t="n">
        <v>20</v>
      </c>
      <c r="E80" s="33" t="n">
        <v>40</v>
      </c>
      <c r="F80" s="33"/>
      <c r="G80" s="33"/>
      <c r="H80" s="5" t="s">
        <v>167</v>
      </c>
    </row>
    <row r="81" customFormat="false" ht="15" hidden="false" customHeight="false" outlineLevel="0" collapsed="false">
      <c r="B81" s="5" t="s">
        <v>119</v>
      </c>
      <c r="C81" s="5" t="s">
        <v>165</v>
      </c>
      <c r="D81" s="33" t="n">
        <v>2</v>
      </c>
      <c r="E81" s="33" t="n">
        <v>5</v>
      </c>
      <c r="F81" s="33"/>
      <c r="G81" s="33"/>
      <c r="H81" s="5" t="s">
        <v>167</v>
      </c>
    </row>
    <row r="82" customFormat="false" ht="15" hidden="false" customHeight="false" outlineLevel="0" collapsed="false">
      <c r="B82" s="5" t="s">
        <v>122</v>
      </c>
      <c r="C82" s="5" t="s">
        <v>165</v>
      </c>
      <c r="D82" s="33" t="n">
        <v>30</v>
      </c>
      <c r="E82" s="33" t="n">
        <v>70</v>
      </c>
      <c r="F82" s="33"/>
      <c r="G82" s="33"/>
      <c r="H82" s="5" t="s">
        <v>167</v>
      </c>
    </row>
    <row r="83" customFormat="false" ht="15" hidden="false" customHeight="false" outlineLevel="0" collapsed="false">
      <c r="B83" s="5" t="s">
        <v>95</v>
      </c>
      <c r="C83" s="5" t="s">
        <v>165</v>
      </c>
      <c r="D83" s="33" t="n">
        <v>3</v>
      </c>
      <c r="E83" s="33" t="n">
        <v>30</v>
      </c>
      <c r="F83" s="33"/>
      <c r="G83" s="33"/>
      <c r="H83" s="5" t="s">
        <v>166</v>
      </c>
    </row>
    <row r="84" customFormat="false" ht="15" hidden="false" customHeight="false" outlineLevel="0" collapsed="false">
      <c r="B84" s="5" t="s">
        <v>125</v>
      </c>
      <c r="C84" s="5" t="s">
        <v>165</v>
      </c>
      <c r="D84" s="33" t="n">
        <v>6</v>
      </c>
      <c r="E84" s="33" t="n">
        <v>12</v>
      </c>
      <c r="F84" s="33"/>
      <c r="G84" s="33"/>
      <c r="H84" s="5" t="s">
        <v>166</v>
      </c>
    </row>
    <row r="85" customFormat="false" ht="15" hidden="false" customHeight="false" outlineLevel="0" collapsed="false">
      <c r="B85" s="5" t="s">
        <v>128</v>
      </c>
      <c r="C85" s="5" t="s">
        <v>165</v>
      </c>
      <c r="D85" s="33" t="n">
        <v>10</v>
      </c>
      <c r="E85" s="33" t="n">
        <v>30</v>
      </c>
      <c r="F85" s="33"/>
      <c r="G85" s="33"/>
      <c r="H85" s="5" t="s">
        <v>166</v>
      </c>
    </row>
    <row r="86" customFormat="false" ht="15" hidden="false" customHeight="false" outlineLevel="0" collapsed="false">
      <c r="B86" s="5" t="s">
        <v>131</v>
      </c>
      <c r="C86" s="5" t="s">
        <v>165</v>
      </c>
      <c r="D86" s="33" t="n">
        <v>20</v>
      </c>
      <c r="E86" s="33" t="n">
        <v>40</v>
      </c>
      <c r="F86" s="33"/>
      <c r="G86" s="33"/>
      <c r="H86" s="5" t="s">
        <v>166</v>
      </c>
    </row>
    <row r="87" customFormat="false" ht="15" hidden="false" customHeight="false" outlineLevel="0" collapsed="false">
      <c r="B87" s="5" t="s">
        <v>139</v>
      </c>
      <c r="C87" s="5" t="s">
        <v>165</v>
      </c>
      <c r="D87" s="33" t="n">
        <v>15</v>
      </c>
      <c r="E87" s="33" t="n">
        <v>45</v>
      </c>
      <c r="F87" s="33"/>
      <c r="G87" s="33"/>
      <c r="H87" s="5" t="s">
        <v>166</v>
      </c>
    </row>
    <row r="88" customFormat="false" ht="15" hidden="false" customHeight="false" outlineLevel="0" collapsed="false">
      <c r="B88" s="5" t="s">
        <v>143</v>
      </c>
      <c r="C88" s="5" t="s">
        <v>165</v>
      </c>
      <c r="D88" s="33" t="n">
        <v>60</v>
      </c>
      <c r="E88" s="33" t="n">
        <v>180</v>
      </c>
      <c r="F88" s="33"/>
      <c r="G88" s="33"/>
      <c r="H88" s="5" t="s">
        <v>166</v>
      </c>
    </row>
    <row r="89" customFormat="false" ht="15" hidden="false" customHeight="false" outlineLevel="0" collapsed="false">
      <c r="B89" s="5" t="s">
        <v>136</v>
      </c>
      <c r="C89" s="5" t="s">
        <v>165</v>
      </c>
      <c r="D89" s="33" t="n">
        <v>5</v>
      </c>
      <c r="E89" s="33" t="n">
        <v>20</v>
      </c>
      <c r="F89" s="33"/>
      <c r="G89" s="33"/>
      <c r="H89" s="5" t="s">
        <v>164</v>
      </c>
    </row>
    <row r="90" customFormat="false" ht="15" hidden="false" customHeight="false" outlineLevel="0" collapsed="false">
      <c r="B90" s="5" t="s">
        <v>137</v>
      </c>
      <c r="C90" s="5" t="s">
        <v>165</v>
      </c>
      <c r="D90" s="33" t="n">
        <v>5</v>
      </c>
      <c r="E90" s="33" t="n">
        <v>20</v>
      </c>
      <c r="F90" s="33"/>
      <c r="G90" s="33"/>
      <c r="H90" s="5" t="s">
        <v>164</v>
      </c>
    </row>
    <row r="91" customFormat="false" ht="15" hidden="false" customHeight="false" outlineLevel="0" collapsed="false">
      <c r="B91" s="5" t="s">
        <v>134</v>
      </c>
      <c r="C91" s="5" t="s">
        <v>165</v>
      </c>
      <c r="D91" s="33" t="n">
        <v>50</v>
      </c>
      <c r="E91" s="33" t="n">
        <v>50</v>
      </c>
      <c r="F91" s="33"/>
      <c r="G91" s="33"/>
      <c r="H91" s="5" t="s">
        <v>164</v>
      </c>
    </row>
    <row r="92" customFormat="false" ht="15" hidden="false" customHeight="false" outlineLevel="0" collapsed="false">
      <c r="B92" s="5"/>
      <c r="C92" s="5"/>
      <c r="D92" s="5"/>
      <c r="E92" s="5"/>
      <c r="F92" s="5"/>
      <c r="G92" s="5"/>
      <c r="H92" s="5"/>
    </row>
    <row r="93" customFormat="false" ht="15" hidden="false" customHeight="false" outlineLevel="0" collapsed="false">
      <c r="B93" s="5"/>
      <c r="C93" s="5"/>
      <c r="D93" s="5"/>
      <c r="E93" s="5"/>
      <c r="F93" s="5"/>
      <c r="G93" s="5"/>
      <c r="H93" s="5"/>
    </row>
    <row r="94" customFormat="false" ht="15" hidden="false" customHeight="false" outlineLevel="0" collapsed="false">
      <c r="B94" s="5"/>
      <c r="C94" s="5"/>
      <c r="D94" s="5"/>
      <c r="E94" s="5"/>
      <c r="F94" s="5"/>
      <c r="G94" s="5"/>
      <c r="H94" s="5"/>
    </row>
    <row r="95" customFormat="false" ht="15" hidden="false" customHeight="false" outlineLevel="0" collapsed="false">
      <c r="B95" s="5"/>
      <c r="C95" s="5"/>
      <c r="D95" s="5"/>
      <c r="E95" s="5"/>
      <c r="F95" s="5"/>
      <c r="G95" s="5"/>
      <c r="H95" s="5"/>
    </row>
    <row r="96" customFormat="false" ht="15" hidden="false" customHeight="false" outlineLevel="0" collapsed="false">
      <c r="B96" s="5"/>
      <c r="C96" s="5"/>
      <c r="D96" s="5"/>
      <c r="E96" s="5"/>
      <c r="F96" s="5"/>
      <c r="G96" s="5"/>
      <c r="H96" s="5"/>
    </row>
    <row r="97" customFormat="false" ht="15" hidden="false" customHeight="false" outlineLevel="0" collapsed="false">
      <c r="B97" s="32" t="s">
        <v>168</v>
      </c>
    </row>
  </sheetData>
  <dataValidations count="1">
    <dataValidation allowBlank="true" errorStyle="stop" operator="between" showDropDown="false" showErrorMessage="false" showInputMessage="false" sqref="C1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169</v>
      </c>
    </row>
    <row r="3" customFormat="false" ht="15" hidden="false" customHeight="false" outlineLevel="0" collapsed="false">
      <c r="B3" s="15" t="str">
        <f aca="false">"Payroll month: "&amp;TEXT('Rates &amp; Settings'!$C$6,"mmmm yyyy")</f>
        <v>Payroll month: October 2026</v>
      </c>
    </row>
    <row r="4" customFormat="false" ht="30" hidden="false" customHeight="true" outlineLevel="0" collapsed="false">
      <c r="B4" s="18" t="s">
        <v>170</v>
      </c>
      <c r="C4" s="19" t="s">
        <v>171</v>
      </c>
      <c r="D4" s="19" t="s">
        <v>172</v>
      </c>
    </row>
    <row r="5" customFormat="false" ht="15" hidden="false" customHeight="false" outlineLevel="0" collapsed="false">
      <c r="B5" s="24" t="s">
        <v>173</v>
      </c>
      <c r="C5" s="34"/>
      <c r="D5" s="34"/>
    </row>
    <row r="6" customFormat="false" ht="15" hidden="false" customHeight="false" outlineLevel="0" collapsed="false">
      <c r="B6" s="7" t="s">
        <v>174</v>
      </c>
      <c r="C6" s="22" t="n">
        <f aca="false">Payroll!$U$106</f>
        <v>10452</v>
      </c>
      <c r="D6" s="35"/>
    </row>
    <row r="7" customFormat="false" ht="15" hidden="false" customHeight="false" outlineLevel="0" collapsed="false">
      <c r="B7" s="7" t="s">
        <v>175</v>
      </c>
      <c r="C7" s="22" t="n">
        <f aca="false">Payroll!$AF$106</f>
        <v>6703</v>
      </c>
      <c r="D7" s="35"/>
    </row>
    <row r="8" customFormat="false" ht="15" hidden="false" customHeight="false" outlineLevel="0" collapsed="false">
      <c r="B8" s="7" t="s">
        <v>176</v>
      </c>
      <c r="C8" s="22" t="n">
        <f aca="false">Payroll!$AG$106</f>
        <v>3749</v>
      </c>
      <c r="D8" s="35"/>
    </row>
    <row r="9" customFormat="false" ht="15" hidden="false" customHeight="false" outlineLevel="0" collapsed="false">
      <c r="B9" s="7" t="s">
        <v>177</v>
      </c>
      <c r="C9" s="22" t="n">
        <f aca="false">Payroll!$AH$106</f>
        <v>350</v>
      </c>
      <c r="D9" s="35"/>
    </row>
    <row r="10" customFormat="false" ht="15" hidden="false" customHeight="false" outlineLevel="0" collapsed="false">
      <c r="B10" s="7" t="s">
        <v>178</v>
      </c>
      <c r="C10" s="22" t="n">
        <f aca="false">Payroll!$AI$106</f>
        <v>435</v>
      </c>
      <c r="D10" s="35"/>
    </row>
    <row r="11" customFormat="false" ht="15" hidden="false" customHeight="false" outlineLevel="0" collapsed="false">
      <c r="B11" s="25" t="s">
        <v>179</v>
      </c>
      <c r="C11" s="36" t="n">
        <f aca="false">SUM(C6:C10)</f>
        <v>21689</v>
      </c>
      <c r="D11" s="7" t="str">
        <f aca="false">TEXT(DATE(YEAR('Rates &amp; Settings'!$C$6),MONTH('Rates &amp; Settings'!$C$6)+1,15),"dd-mmm-yyyy")</f>
        <v>15-Nov-2026</v>
      </c>
    </row>
    <row r="12" customFormat="false" ht="15" hidden="false" customHeight="false" outlineLevel="0" collapsed="false">
      <c r="B12" s="24" t="s">
        <v>180</v>
      </c>
      <c r="C12" s="34"/>
      <c r="D12" s="34"/>
    </row>
    <row r="13" customFormat="false" ht="15" hidden="false" customHeight="false" outlineLevel="0" collapsed="false">
      <c r="B13" s="7" t="s">
        <v>181</v>
      </c>
      <c r="C13" s="22" t="n">
        <f aca="false">Payroll!$W$106</f>
        <v>285</v>
      </c>
      <c r="D13" s="35"/>
    </row>
    <row r="14" customFormat="false" ht="15" hidden="false" customHeight="false" outlineLevel="0" collapsed="false">
      <c r="B14" s="7" t="s">
        <v>182</v>
      </c>
      <c r="C14" s="22" t="n">
        <f aca="false">Payroll!$AJ$106</f>
        <v>1235</v>
      </c>
      <c r="D14" s="35"/>
    </row>
    <row r="15" customFormat="false" ht="15" hidden="false" customHeight="false" outlineLevel="0" collapsed="false">
      <c r="B15" s="25" t="s">
        <v>183</v>
      </c>
      <c r="C15" s="36" t="n">
        <f aca="false">C13+C14</f>
        <v>1520</v>
      </c>
      <c r="D15" s="7" t="str">
        <f aca="false">TEXT(DATE(YEAR('Rates &amp; Settings'!$C$6),MONTH('Rates &amp; Settings'!$C$6)+1,15),"dd-mmm-yyyy")</f>
        <v>15-Nov-2026</v>
      </c>
    </row>
    <row r="16" customFormat="false" ht="15" hidden="false" customHeight="false" outlineLevel="0" collapsed="false">
      <c r="B16" s="24" t="s">
        <v>184</v>
      </c>
      <c r="C16" s="34"/>
      <c r="D16" s="34"/>
    </row>
    <row r="17" customFormat="false" ht="15" hidden="false" customHeight="false" outlineLevel="0" collapsed="false">
      <c r="B17" s="7" t="s">
        <v>185</v>
      </c>
      <c r="C17" s="22" t="n">
        <f aca="false">SUMIF(Payroll!$B$6:$B$105,"&lt;&gt;",Payroll!$AD$6:$AD$105)-Payroll!$U$106-Payroll!$W$106-Payroll!$X$106-Payroll!$Z$106-SUM(Payroll!$AC$6:$AC$105)</f>
        <v>7345</v>
      </c>
      <c r="D17" s="7" t="str">
        <f aca="false">TEXT(DATE(YEAR('Rates &amp; Settings'!$C$6),MONTH('Rates &amp; Settings'!$C$6)+1,7),"dd-mmm-yyyy")&amp;" (30 April for March)"</f>
        <v>07-Nov-2026 (30 April for March)</v>
      </c>
    </row>
    <row r="18" customFormat="false" ht="15" hidden="false" customHeight="false" outlineLevel="0" collapsed="false">
      <c r="B18" s="24" t="s">
        <v>156</v>
      </c>
      <c r="C18" s="34"/>
      <c r="D18" s="34"/>
    </row>
    <row r="19" customFormat="false" ht="15" hidden="false" customHeight="false" outlineLevel="0" collapsed="false">
      <c r="B19" s="7" t="s">
        <v>181</v>
      </c>
      <c r="C19" s="22" t="n">
        <f aca="false">Payroll!$Z$106</f>
        <v>35</v>
      </c>
      <c r="D19" s="35"/>
    </row>
    <row r="20" customFormat="false" ht="15" hidden="false" customHeight="false" outlineLevel="0" collapsed="false">
      <c r="B20" s="7" t="s">
        <v>182</v>
      </c>
      <c r="C20" s="22" t="n">
        <f aca="false">Payroll!$AK$106</f>
        <v>70</v>
      </c>
      <c r="D20" s="35"/>
    </row>
    <row r="21" customFormat="false" ht="15" hidden="false" customHeight="false" outlineLevel="0" collapsed="false">
      <c r="B21" s="25" t="s">
        <v>186</v>
      </c>
      <c r="C21" s="36" t="n">
        <f aca="false">C19+C20</f>
        <v>105</v>
      </c>
      <c r="D21" s="7" t="s">
        <v>187</v>
      </c>
    </row>
    <row r="22" customFormat="false" ht="15" hidden="false" customHeight="false" outlineLevel="0" collapsed="false">
      <c r="B22" s="7" t="s">
        <v>188</v>
      </c>
      <c r="C22" s="22" t="n">
        <f aca="false">Payroll!$X$106</f>
        <v>530</v>
      </c>
      <c r="D22" s="7" t="s">
        <v>189</v>
      </c>
    </row>
    <row r="23" customFormat="false" ht="15" hidden="false" customHeight="false" outlineLevel="0" collapsed="false">
      <c r="B23" s="25" t="s">
        <v>190</v>
      </c>
      <c r="C23" s="36" t="n">
        <f aca="false">Payroll!$AE$106</f>
        <v>283547</v>
      </c>
      <c r="D23" s="7" t="s">
        <v>191</v>
      </c>
    </row>
    <row r="24" customFormat="false" ht="15" hidden="false" customHeight="false" outlineLevel="0" collapsed="false">
      <c r="B24" s="25" t="s">
        <v>192</v>
      </c>
      <c r="C24" s="36" t="n">
        <f aca="false">Payroll!$AL$106</f>
        <v>314736</v>
      </c>
      <c r="D24" s="35"/>
    </row>
    <row r="27" customFormat="false" ht="15" hidden="false" customHeight="false" outlineLevel="0" collapsed="false">
      <c r="B27" s="3" t="s">
        <v>193</v>
      </c>
    </row>
    <row r="28" customFormat="false" ht="30" hidden="false" customHeight="true" outlineLevel="0" collapsed="false">
      <c r="B28" s="18" t="s">
        <v>42</v>
      </c>
      <c r="C28" s="19" t="s">
        <v>194</v>
      </c>
      <c r="D28" s="19" t="s">
        <v>195</v>
      </c>
    </row>
    <row r="29" customFormat="false" ht="15" hidden="false" customHeight="false" outlineLevel="0" collapsed="false">
      <c r="B29" s="7" t="str">
        <f aca="false">'Rates &amp; Settings'!$K$5</f>
        <v>Haryana</v>
      </c>
      <c r="C29" s="22" t="n">
        <f aca="false">SUMIF(Payroll!$E$6:$E$105,B29,Payroll!$X$6:$X$105)</f>
        <v>0</v>
      </c>
      <c r="D29" s="28" t="n">
        <f aca="false">COUNTIF(Payroll!$E$6:$E$105,B29)</f>
        <v>1</v>
      </c>
    </row>
    <row r="30" customFormat="false" ht="15" hidden="false" customHeight="false" outlineLevel="0" collapsed="false">
      <c r="B30" s="7" t="str">
        <f aca="false">'Rates &amp; Settings'!$K$6</f>
        <v>Delhi</v>
      </c>
      <c r="C30" s="22" t="n">
        <f aca="false">SUMIF(Payroll!$E$6:$E$105,B30,Payroll!$X$6:$X$105)</f>
        <v>0</v>
      </c>
      <c r="D30" s="28" t="n">
        <f aca="false">COUNTIF(Payroll!$E$6:$E$105,B30)</f>
        <v>1</v>
      </c>
    </row>
    <row r="31" customFormat="false" ht="15" hidden="false" customHeight="false" outlineLevel="0" collapsed="false">
      <c r="B31" s="7" t="str">
        <f aca="false">'Rates &amp; Settings'!$K$7</f>
        <v>Uttar Pradesh</v>
      </c>
      <c r="C31" s="22" t="n">
        <f aca="false">SUMIF(Payroll!$E$6:$E$105,B31,Payroll!$X$6:$X$105)</f>
        <v>0</v>
      </c>
      <c r="D31" s="28" t="n">
        <f aca="false">COUNTIF(Payroll!$E$6:$E$105,B31)</f>
        <v>0</v>
      </c>
    </row>
    <row r="32" customFormat="false" ht="15" hidden="false" customHeight="false" outlineLevel="0" collapsed="false">
      <c r="B32" s="7" t="str">
        <f aca="false">'Rates &amp; Settings'!$K$8</f>
        <v>Rajasthan</v>
      </c>
      <c r="C32" s="22" t="n">
        <f aca="false">SUMIF(Payroll!$E$6:$E$105,B32,Payroll!$X$6:$X$105)</f>
        <v>0</v>
      </c>
      <c r="D32" s="28" t="n">
        <f aca="false">COUNTIF(Payroll!$E$6:$E$105,B32)</f>
        <v>0</v>
      </c>
    </row>
    <row r="33" customFormat="false" ht="15" hidden="false" customHeight="false" outlineLevel="0" collapsed="false">
      <c r="B33" s="7" t="str">
        <f aca="false">'Rates &amp; Settings'!$K$9</f>
        <v>Maharashtra (Men)</v>
      </c>
      <c r="C33" s="22" t="n">
        <f aca="false">SUMIF(Payroll!$E$6:$E$105,B33,Payroll!$X$6:$X$105)</f>
        <v>200</v>
      </c>
      <c r="D33" s="28" t="n">
        <f aca="false">COUNTIF(Payroll!$E$6:$E$105,B33)</f>
        <v>1</v>
      </c>
    </row>
    <row r="34" customFormat="false" ht="15" hidden="false" customHeight="false" outlineLevel="0" collapsed="false">
      <c r="B34" s="7" t="str">
        <f aca="false">'Rates &amp; Settings'!$K$10</f>
        <v>Maharashtra (Women)</v>
      </c>
      <c r="C34" s="22" t="n">
        <f aca="false">SUMIF(Payroll!$E$6:$E$105,B34,Payroll!$X$6:$X$105)</f>
        <v>0</v>
      </c>
      <c r="D34" s="28" t="n">
        <f aca="false">COUNTIF(Payroll!$E$6:$E$105,B34)</f>
        <v>0</v>
      </c>
    </row>
    <row r="35" customFormat="false" ht="15" hidden="false" customHeight="false" outlineLevel="0" collapsed="false">
      <c r="B35" s="7" t="str">
        <f aca="false">'Rates &amp; Settings'!$K$11</f>
        <v>Karnataka</v>
      </c>
      <c r="C35" s="22" t="n">
        <f aca="false">SUMIF(Payroll!$E$6:$E$105,B35,Payroll!$X$6:$X$105)</f>
        <v>200</v>
      </c>
      <c r="D35" s="28" t="n">
        <f aca="false">COUNTIF(Payroll!$E$6:$E$105,B35)</f>
        <v>1</v>
      </c>
    </row>
    <row r="36" customFormat="false" ht="15" hidden="false" customHeight="false" outlineLevel="0" collapsed="false">
      <c r="B36" s="7" t="str">
        <f aca="false">'Rates &amp; Settings'!$K$12</f>
        <v>Tamil Nadu</v>
      </c>
      <c r="C36" s="22" t="n">
        <f aca="false">SUMIF(Payroll!$E$6:$E$105,B36,Payroll!$X$6:$X$105)</f>
        <v>0</v>
      </c>
      <c r="D36" s="28" t="n">
        <f aca="false">COUNTIF(Payroll!$E$6:$E$105,B36)</f>
        <v>0</v>
      </c>
    </row>
    <row r="37" customFormat="false" ht="15" hidden="false" customHeight="false" outlineLevel="0" collapsed="false">
      <c r="B37" s="7" t="str">
        <f aca="false">'Rates &amp; Settings'!$K$13</f>
        <v>Telangana</v>
      </c>
      <c r="C37" s="22" t="n">
        <f aca="false">SUMIF(Payroll!$E$6:$E$105,B37,Payroll!$X$6:$X$105)</f>
        <v>0</v>
      </c>
      <c r="D37" s="28" t="n">
        <f aca="false">COUNTIF(Payroll!$E$6:$E$105,B37)</f>
        <v>0</v>
      </c>
    </row>
    <row r="38" customFormat="false" ht="15" hidden="false" customHeight="false" outlineLevel="0" collapsed="false">
      <c r="B38" s="7" t="str">
        <f aca="false">'Rates &amp; Settings'!$K$14</f>
        <v>Andhra Pradesh</v>
      </c>
      <c r="C38" s="22" t="n">
        <f aca="false">SUMIF(Payroll!$E$6:$E$105,B38,Payroll!$X$6:$X$105)</f>
        <v>0</v>
      </c>
      <c r="D38" s="28" t="n">
        <f aca="false">COUNTIF(Payroll!$E$6:$E$105,B38)</f>
        <v>0</v>
      </c>
    </row>
    <row r="39" customFormat="false" ht="15" hidden="false" customHeight="false" outlineLevel="0" collapsed="false">
      <c r="B39" s="7" t="str">
        <f aca="false">'Rates &amp; Settings'!$K$15</f>
        <v>West Bengal</v>
      </c>
      <c r="C39" s="22" t="n">
        <f aca="false">SUMIF(Payroll!$E$6:$E$105,B39,Payroll!$X$6:$X$105)</f>
        <v>130</v>
      </c>
      <c r="D39" s="28" t="n">
        <f aca="false">COUNTIF(Payroll!$E$6:$E$105,B39)</f>
        <v>1</v>
      </c>
    </row>
    <row r="40" customFormat="false" ht="15" hidden="false" customHeight="false" outlineLevel="0" collapsed="false">
      <c r="B40" s="7" t="str">
        <f aca="false">'Rates &amp; Settings'!$K$16</f>
        <v>Gujarat</v>
      </c>
      <c r="C40" s="22" t="n">
        <f aca="false">SUMIF(Payroll!$E$6:$E$105,B40,Payroll!$X$6:$X$105)</f>
        <v>0</v>
      </c>
      <c r="D40" s="28" t="n">
        <f aca="false">COUNTIF(Payroll!$E$6:$E$105,B40)</f>
        <v>0</v>
      </c>
    </row>
    <row r="41" customFormat="false" ht="15" hidden="false" customHeight="false" outlineLevel="0" collapsed="false">
      <c r="B41" s="7" t="str">
        <f aca="false">'Rates &amp; Settings'!$K$17</f>
        <v>Madhya Pradesh</v>
      </c>
      <c r="C41" s="22" t="n">
        <f aca="false">SUMIF(Payroll!$E$6:$E$105,B41,Payroll!$X$6:$X$105)</f>
        <v>0</v>
      </c>
      <c r="D41" s="28" t="n">
        <f aca="false">COUNTIF(Payroll!$E$6:$E$105,B41)</f>
        <v>0</v>
      </c>
    </row>
    <row r="42" customFormat="false" ht="15" hidden="false" customHeight="false" outlineLevel="0" collapsed="false">
      <c r="B42" s="7" t="str">
        <f aca="false">'Rates &amp; Settings'!$K$18</f>
        <v>Odisha</v>
      </c>
      <c r="C42" s="22" t="n">
        <f aca="false">SUMIF(Payroll!$E$6:$E$105,B42,Payroll!$X$6:$X$105)</f>
        <v>0</v>
      </c>
      <c r="D42" s="28" t="n">
        <f aca="false">COUNTIF(Payroll!$E$6:$E$105,B42)</f>
        <v>0</v>
      </c>
    </row>
    <row r="43" customFormat="false" ht="15" hidden="false" customHeight="false" outlineLevel="0" collapsed="false">
      <c r="B43" s="7" t="str">
        <f aca="false">'Rates &amp; Settings'!$K$19</f>
        <v>Kerala</v>
      </c>
      <c r="C43" s="22" t="n">
        <f aca="false">SUMIF(Payroll!$E$6:$E$105,B43,Payroll!$X$6:$X$105)</f>
        <v>0</v>
      </c>
      <c r="D43" s="28" t="n">
        <f aca="false">COUNTIF(Payroll!$E$6:$E$105,B43)</f>
        <v>0</v>
      </c>
    </row>
    <row r="44" customFormat="false" ht="15" hidden="false" customHeight="false" outlineLevel="0" collapsed="false">
      <c r="B44" s="7" t="str">
        <f aca="false">'Rates &amp; Settings'!$K$20</f>
        <v>Punjab</v>
      </c>
      <c r="C44" s="22" t="n">
        <f aca="false">SUMIF(Payroll!$E$6:$E$105,B44,Payroll!$X$6:$X$105)</f>
        <v>0</v>
      </c>
      <c r="D44" s="28" t="n">
        <f aca="false">COUNTIF(Payroll!$E$6:$E$105,B44)</f>
        <v>0</v>
      </c>
    </row>
    <row r="45" customFormat="false" ht="15" hidden="false" customHeight="false" outlineLevel="0" collapsed="false">
      <c r="B45" s="7" t="str">
        <f aca="false">'Rates &amp; Settings'!$K$21</f>
        <v>Chandigarh</v>
      </c>
      <c r="C45" s="22" t="n">
        <f aca="false">SUMIF(Payroll!$E$6:$E$105,B45,Payroll!$X$6:$X$105)</f>
        <v>0</v>
      </c>
      <c r="D45" s="28" t="n">
        <f aca="false">COUNTIF(Payroll!$E$6:$E$105,B45)</f>
        <v>0</v>
      </c>
    </row>
    <row r="46" customFormat="false" ht="15" hidden="false" customHeight="false" outlineLevel="0" collapsed="false">
      <c r="B46" s="7" t="str">
        <f aca="false">'Rates &amp; Settings'!$K$22</f>
        <v>Chhattisgarh</v>
      </c>
      <c r="C46" s="22" t="n">
        <f aca="false">SUMIF(Payroll!$E$6:$E$105,B46,Payroll!$X$6:$X$105)</f>
        <v>0</v>
      </c>
      <c r="D46" s="28" t="n">
        <f aca="false">COUNTIF(Payroll!$E$6:$E$105,B46)</f>
        <v>0</v>
      </c>
    </row>
    <row r="47" customFormat="false" ht="15" hidden="false" customHeight="false" outlineLevel="0" collapsed="false">
      <c r="B47" s="7" t="str">
        <f aca="false">'Rates &amp; Settings'!$K$23</f>
        <v>Goa</v>
      </c>
      <c r="C47" s="22" t="n">
        <f aca="false">SUMIF(Payroll!$E$6:$E$105,B47,Payroll!$X$6:$X$105)</f>
        <v>0</v>
      </c>
      <c r="D47" s="28" t="n">
        <f aca="false">COUNTIF(Payroll!$E$6:$E$105,B47)</f>
        <v>0</v>
      </c>
    </row>
    <row r="49" customFormat="false" ht="15" hidden="false" customHeight="false" outlineLevel="0" collapsed="false">
      <c r="B49" s="32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4"/>
  </cols>
  <sheetData>
    <row r="2" customFormat="false" ht="19.7" hidden="false" customHeight="false" outlineLevel="0" collapsed="false">
      <c r="B2" s="1" t="str">
        <f aca="false">'Rates &amp; Settings'!$C$5</f>
        <v>Sample Technologies Pvt Ltd</v>
      </c>
    </row>
    <row r="3" customFormat="false" ht="15" hidden="false" customHeight="false" outlineLevel="0" collapsed="false">
      <c r="B3" s="37" t="str">
        <f aca="false">"Payslip for "&amp;TEXT('Rates &amp; Settings'!$C$6,"mmmm yyyy")</f>
        <v>Payslip for October 2026</v>
      </c>
    </row>
    <row r="5" customFormat="false" ht="15" hidden="false" customHeight="false" outlineLevel="0" collapsed="false">
      <c r="B5" s="9" t="s">
        <v>197</v>
      </c>
      <c r="C5" s="5" t="s">
        <v>83</v>
      </c>
    </row>
    <row r="7" customFormat="false" ht="15" hidden="false" customHeight="false" outlineLevel="0" collapsed="false">
      <c r="B7" s="38" t="s">
        <v>40</v>
      </c>
      <c r="C7" s="7" t="str">
        <f aca="false">IFERROR(INDEX(Payroll!$C$6:$C$105,MATCH($C$5,Payroll!$B$6:$B$105,0)),"")</f>
        <v>Priya Nair</v>
      </c>
      <c r="E7" s="38" t="s">
        <v>57</v>
      </c>
      <c r="F7" s="22" t="n">
        <f aca="false">IFERROR(INDEX(Payroll!$T$6:$T$105,MATCH($C$5,Payroll!$B$6:$B$105,0)),"")</f>
        <v>25000</v>
      </c>
    </row>
    <row r="8" customFormat="false" ht="15" hidden="false" customHeight="false" outlineLevel="0" collapsed="false">
      <c r="B8" s="38" t="s">
        <v>41</v>
      </c>
      <c r="C8" s="7" t="str">
        <f aca="false">IFERROR(INDEX(Payroll!$D$6:$D$105,MATCH($C$5,Payroll!$B$6:$B$105,0)),"")</f>
        <v>HR Manager</v>
      </c>
      <c r="E8" s="38" t="s">
        <v>198</v>
      </c>
      <c r="F8" s="28" t="n">
        <f aca="false">'Rates &amp; Settings'!$C$7</f>
        <v>31</v>
      </c>
    </row>
    <row r="9" customFormat="false" ht="15" hidden="false" customHeight="false" outlineLevel="0" collapsed="false">
      <c r="B9" s="38" t="s">
        <v>42</v>
      </c>
      <c r="C9" s="7" t="str">
        <f aca="false">IFERROR(INDEX(Payroll!$E$6:$E$105,MATCH($C$5,Payroll!$B$6:$B$105,0)),"")</f>
        <v>Karnataka</v>
      </c>
    </row>
    <row r="10" customFormat="false" ht="15" hidden="false" customHeight="false" outlineLevel="0" collapsed="false">
      <c r="B10" s="38" t="s">
        <v>46</v>
      </c>
      <c r="C10" s="28" t="n">
        <f aca="false">IFERROR(INDEX(Payroll!$I$6:$I$105,MATCH($C$5,Payroll!$B$6:$B$105,0)),"")</f>
        <v>31</v>
      </c>
    </row>
    <row r="12" customFormat="false" ht="30" hidden="false" customHeight="true" outlineLevel="0" collapsed="false">
      <c r="B12" s="18" t="s">
        <v>199</v>
      </c>
      <c r="C12" s="19" t="s">
        <v>171</v>
      </c>
      <c r="E12" s="18" t="s">
        <v>200</v>
      </c>
      <c r="F12" s="19" t="s">
        <v>171</v>
      </c>
    </row>
    <row r="13" customFormat="false" ht="15" hidden="false" customHeight="false" outlineLevel="0" collapsed="false">
      <c r="B13" s="7" t="s">
        <v>47</v>
      </c>
      <c r="C13" s="22" t="n">
        <f aca="false">IFERROR(ROUND(INDEX(Payroll!$J$6:$J$105,MATCH($C$5,Payroll!$B$6:$B$105,0))*INDEX(Payroll!$I$6:$I$105,MATCH($C$5,Payroll!$B$6:$B$105,0))/'Rates &amp; Settings'!$C$7,0),0)</f>
        <v>30000</v>
      </c>
      <c r="E13" s="7" t="s">
        <v>201</v>
      </c>
      <c r="F13" s="22" t="n">
        <f aca="false">IFERROR(INDEX(Payroll!$U$6:$U$105,MATCH($C$5,Payroll!$B$6:$B$105,0)),"")</f>
        <v>3000</v>
      </c>
    </row>
    <row r="14" customFormat="false" ht="15" hidden="false" customHeight="false" outlineLevel="0" collapsed="false">
      <c r="B14" s="7" t="s">
        <v>48</v>
      </c>
      <c r="C14" s="22" t="n">
        <f aca="false">IFERROR(ROUND(INDEX(Payroll!$K$6:$K$105,MATCH($C$5,Payroll!$B$6:$B$105,0))*INDEX(Payroll!$I$6:$I$105,MATCH($C$5,Payroll!$B$6:$B$105,0))/'Rates &amp; Settings'!$C$7,0),0)</f>
        <v>0</v>
      </c>
      <c r="E14" s="7" t="s">
        <v>202</v>
      </c>
      <c r="F14" s="22" t="n">
        <f aca="false">IFERROR(INDEX(Payroll!$W$6:$W$105,MATCH($C$5,Payroll!$B$6:$B$105,0)),"")</f>
        <v>0</v>
      </c>
    </row>
    <row r="15" customFormat="false" ht="15" hidden="false" customHeight="false" outlineLevel="0" collapsed="false">
      <c r="B15" s="7" t="s">
        <v>49</v>
      </c>
      <c r="C15" s="22" t="n">
        <f aca="false">IFERROR(ROUND(INDEX(Payroll!$L$6:$L$105,MATCH($C$5,Payroll!$B$6:$B$105,0))*INDEX(Payroll!$I$6:$I$105,MATCH($C$5,Payroll!$B$6:$B$105,0))/'Rates &amp; Settings'!$C$7,0),0)</f>
        <v>15000</v>
      </c>
      <c r="E15" s="7" t="s">
        <v>203</v>
      </c>
      <c r="F15" s="22" t="n">
        <f aca="false">IFERROR(INDEX(Payroll!$X$6:$X$105,MATCH($C$5,Payroll!$B$6:$B$105,0)),"")</f>
        <v>200</v>
      </c>
    </row>
    <row r="16" customFormat="false" ht="15" hidden="false" customHeight="false" outlineLevel="0" collapsed="false">
      <c r="B16" s="7" t="s">
        <v>50</v>
      </c>
      <c r="C16" s="22" t="n">
        <f aca="false">IFERROR(ROUND(INDEX(Payroll!$M$6:$M$105,MATCH($C$5,Payroll!$B$6:$B$105,0))*INDEX(Payroll!$I$6:$I$105,MATCH($C$5,Payroll!$B$6:$B$105,0))/'Rates &amp; Settings'!$C$7,0),0)</f>
        <v>1600</v>
      </c>
      <c r="E16" s="7" t="s">
        <v>156</v>
      </c>
      <c r="F16" s="22" t="n">
        <f aca="false">IFERROR(INDEX(Payroll!$Z$6:$Z$105,MATCH($C$5,Payroll!$B$6:$B$105,0)),"")</f>
        <v>0</v>
      </c>
    </row>
    <row r="17" customFormat="false" ht="15" hidden="false" customHeight="false" outlineLevel="0" collapsed="false">
      <c r="B17" s="7" t="s">
        <v>51</v>
      </c>
      <c r="C17" s="22" t="n">
        <f aca="false">IFERROR(ROUND(INDEX(Payroll!$N$6:$N$105,MATCH($C$5,Payroll!$B$6:$B$105,0))*INDEX(Payroll!$I$6:$I$105,MATCH($C$5,Payroll!$B$6:$B$105,0))/'Rates &amp; Settings'!$C$7,0),0)</f>
        <v>8400</v>
      </c>
      <c r="E17" s="7" t="s">
        <v>204</v>
      </c>
      <c r="F17" s="22" t="n">
        <f aca="false">IFERROR(IF(INDEX(Payroll!$AB$6:$AB$105,MATCH($C$5,Payroll!$B$6:$B$105,0))&lt;&gt;"",INDEX(Payroll!$AB$6:$AB$105,MATCH($C$5,Payroll!$B$6:$B$105,0)),INDEX(Payroll!$AA$6:$AA$105,MATCH($C$5,Payroll!$B$6:$B$105,0))),0)</f>
        <v>0</v>
      </c>
    </row>
    <row r="18" customFormat="false" ht="15" hidden="false" customHeight="false" outlineLevel="0" collapsed="false">
      <c r="B18" s="7" t="s">
        <v>52</v>
      </c>
      <c r="C18" s="22" t="n">
        <f aca="false">IFERROR(ROUND(INDEX(Payroll!$O$6:$O$105,MATCH($C$5,Payroll!$B$6:$B$105,0))*INDEX(Payroll!$I$6:$I$105,MATCH($C$5,Payroll!$B$6:$B$105,0))/'Rates &amp; Settings'!$C$7,0),0)</f>
        <v>5000</v>
      </c>
      <c r="E18" s="7" t="s">
        <v>66</v>
      </c>
      <c r="F18" s="22" t="n">
        <f aca="false">N(+IFERROR(INDEX(Payroll!$AC$6:$AC$105,MATCH($C$5,Payroll!$B$6:$B$105,0)),""))</f>
        <v>0</v>
      </c>
    </row>
    <row r="19" customFormat="false" ht="15" hidden="false" customHeight="false" outlineLevel="0" collapsed="false">
      <c r="B19" s="7" t="s">
        <v>205</v>
      </c>
      <c r="C19" s="22" t="n">
        <f aca="false">IFERROR(INDEX(Payroll!$Q$6:$Q$105,MATCH($C$5,Payroll!$B$6:$B$105,0))-SUM(C13:C18),0)</f>
        <v>0</v>
      </c>
      <c r="E19" s="35"/>
      <c r="F19" s="35"/>
    </row>
    <row r="20" customFormat="false" ht="15" hidden="false" customHeight="false" outlineLevel="0" collapsed="false">
      <c r="B20" s="24" t="s">
        <v>206</v>
      </c>
      <c r="C20" s="23" t="n">
        <f aca="false">SUM(C13:C19)</f>
        <v>60000</v>
      </c>
      <c r="E20" s="24" t="s">
        <v>67</v>
      </c>
      <c r="F20" s="23" t="n">
        <f aca="false">SUM(F13:F18)</f>
        <v>3200</v>
      </c>
    </row>
    <row r="22" customFormat="false" ht="15" hidden="false" customHeight="false" outlineLevel="0" collapsed="false">
      <c r="B22" s="39" t="s">
        <v>68</v>
      </c>
      <c r="C22" s="39"/>
      <c r="D22" s="39"/>
      <c r="E22" s="39"/>
      <c r="F22" s="40" t="n">
        <f aca="false">C20-F20</f>
        <v>56800</v>
      </c>
    </row>
    <row r="24" customFormat="false" ht="15" hidden="false" customHeight="false" outlineLevel="0" collapsed="false">
      <c r="B24" s="41" t="s">
        <v>207</v>
      </c>
    </row>
    <row r="25" customFormat="false" ht="15" hidden="false" customHeight="false" outlineLevel="0" collapsed="false">
      <c r="B25" s="7" t="s">
        <v>69</v>
      </c>
      <c r="C25" s="22" t="n">
        <f aca="false">IFERROR(INDEX(Payroll!$AF$6:$AF$105,MATCH($C$5,Payroll!$B$6:$B$105,0)),"")</f>
        <v>917</v>
      </c>
    </row>
    <row r="26" customFormat="false" ht="15" hidden="false" customHeight="false" outlineLevel="0" collapsed="false">
      <c r="B26" s="7" t="s">
        <v>70</v>
      </c>
      <c r="C26" s="22" t="n">
        <f aca="false">IFERROR(INDEX(Payroll!$AG$6:$AG$105,MATCH($C$5,Payroll!$B$6:$B$105,0)),"")</f>
        <v>2083</v>
      </c>
    </row>
    <row r="27" customFormat="false" ht="15" hidden="false" customHeight="false" outlineLevel="0" collapsed="false">
      <c r="B27" s="7" t="s">
        <v>71</v>
      </c>
      <c r="C27" s="22" t="n">
        <f aca="false">IFERROR(INDEX(Payroll!$AH$6:$AH$105,MATCH($C$5,Payroll!$B$6:$B$105,0)),"")</f>
        <v>125</v>
      </c>
    </row>
    <row r="28" customFormat="false" ht="15" hidden="false" customHeight="false" outlineLevel="0" collapsed="false">
      <c r="B28" s="7" t="s">
        <v>73</v>
      </c>
      <c r="C28" s="22" t="n">
        <f aca="false">IFERROR(INDEX(Payroll!$AJ$6:$AJ$105,MATCH($C$5,Payroll!$B$6:$B$105,0)),"")</f>
        <v>0</v>
      </c>
    </row>
    <row r="29" customFormat="false" ht="15" hidden="false" customHeight="false" outlineLevel="0" collapsed="false">
      <c r="B29" s="7" t="s">
        <v>74</v>
      </c>
      <c r="C29" s="22" t="n">
        <f aca="false">IFERROR(INDEX(Payroll!$AK$6:$AK$105,MATCH($C$5,Payroll!$B$6:$B$105,0)),"")</f>
        <v>0</v>
      </c>
    </row>
    <row r="31" customFormat="false" ht="15" hidden="false" customHeight="false" outlineLevel="0" collapsed="false">
      <c r="B31" s="32" t="s">
        <v>208</v>
      </c>
    </row>
  </sheetData>
  <mergeCells count="1">
    <mergeCell ref="B22:E22"/>
  </mergeCells>
  <dataValidations count="1">
    <dataValidation allowBlank="true" errorStyle="stop" operator="between" showDropDown="false" showErrorMessage="false" showInputMessage="false" sqref="C5" type="list">
      <formula1>Payroll!$B$6:$B$105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2026-10-26T18:06:13Z</dcterms:created>
  <dc:creator>openpyxl</dc:creator>
  <dc:description/>
  <dc:language>en-US</dc:language>
  <cp:lastModifiedBy/>
  <dcterms:modified xsi:type="dcterms:W3CDTF">2026-10-26T18:06:13Z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