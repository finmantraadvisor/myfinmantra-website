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ank Reco" sheetId="2" state="visible" r:id="rId4"/>
    <sheet name="Party Ledger Reco" sheetId="3" state="visible" r:id="rId5"/>
    <sheet name="GSTR-2B vs Books" sheetId="4" state="visible" r:id="rId6"/>
    <sheet name="TDS 26AS Rec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<sst xmlns="http://schemas.openxmlformats.org/spreadsheetml/2006/main" count="205" uniqueCount="160">
  <si>
    <t xml:space="preserve">MyFinMantra — Reconciliations</t>
  </si>
  <si>
    <t xml:space="preserve">Client service format · Clear books. Confident business.</t>
  </si>
  <si>
    <t xml:space="preserve">Purpose</t>
  </si>
  <si>
    <t xml:space="preserve">Four standard reconciliations for monthly bookkeeping clients: bank, party ledger (vendor / customer), GST input tax credit (books vs GSTR-2B) and TDS (books vs Form 26AS / AIS).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</si>
  <si>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</si>
  <si>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</si>
  <si>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</si>
  <si>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</si>
  <si>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</si>
  <si>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</si>
  <si>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</si>
  <si>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</si>
  <si>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</si>
  <si>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Bank Reco: enter the book balance and bank statement balance, then list each unreconciled item and pick its type from the dropdown. The difference must reach zero.</t>
  </si>
  <si>
    <t xml:space="preserve">Step 2</t>
  </si>
  <si>
    <t xml:space="preserve">Party Ledger Reco: paste our ledger on the left and the party's statement on the right. Status shows matched, amount differs or missing, by document number.</t>
  </si>
  <si>
    <t xml:space="preserve">Step 3</t>
  </si>
  <si>
    <t xml:space="preserve">GSTR-2B vs Books: paste the purchase register (books) and the GSTR-2B download. Matching uses GSTIN + invoice number; the summary shows ITC at risk.</t>
  </si>
  <si>
    <t xml:space="preserve">Step 4</t>
  </si>
  <si>
    <t xml:space="preserve">TDS 26AS Reco: enter TDS per books and per Form 26AS / AIS for each deductor; differences and follow-ups are flagged.</t>
  </si>
  <si>
    <t xml:space="preserve">Step 5</t>
  </si>
  <si>
    <t xml:space="preserve">Keep one copy per client per month (e.g. ClientName_Recon_Sep-26.xlsx).</t>
  </si>
  <si>
    <t xml:space="preserve">Notes</t>
  </si>
  <si>
    <t xml:space="preserve">Invoice numbers are matched after removing extra spaces and ignoring upper/lower case. Different formats (e.g. INV/001 vs INV-001) will show as unmatched — correct them in the source data.</t>
  </si>
  <si>
    <t xml:space="preserve">Amounts within ₹1 are treated as matched to allow for rounding.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</si>
  <si>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</si>
  <si>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</si>
  <si>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</si>
  <si>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</si>
  <si>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Cheque issued, not yet presented</t>
  </si>
  <si>
    <t xml:space="preserve">Bank Reconciliation Statement</t>
  </si>
  <si>
    <t xml:space="preserve">Interest credited by bank, not in books</t>
  </si>
  <si>
    <t xml:space="preserve">Direct credit by customer, not in books</t>
  </si>
  <si>
    <t xml:space="preserve">Client name</t>
  </si>
  <si>
    <t xml:space="preserve">Sample Traders Pvt Ltd</t>
  </si>
  <si>
    <t xml:space="preserve">Deposit made, not yet credited by bank</t>
  </si>
  <si>
    <t xml:space="preserve">Bank &amp; account</t>
  </si>
  <si>
    <t xml:space="preserve">HDFC Bank — Current A/c xx4417</t>
  </si>
  <si>
    <t xml:space="preserve">Bank charges, not in books</t>
  </si>
  <si>
    <t xml:space="preserve">As on date</t>
  </si>
  <si>
    <t xml:space="preserve">Direct debit (EMI / ECS), not in books</t>
  </si>
  <si>
    <t xml:space="preserve">Balance as per books (₹)</t>
  </si>
  <si>
    <t xml:space="preserve">Balance as per bank statement (₹)</t>
  </si>
  <si>
    <t xml:space="preserve">Date</t>
  </si>
  <si>
    <t xml:space="preserve">Particulars</t>
  </si>
  <si>
    <t xml:space="preserve">Cheque / ref no.</t>
  </si>
  <si>
    <t xml:space="preserve">Amount (₹)</t>
  </si>
  <si>
    <t xml:space="preserve">Type of item</t>
  </si>
  <si>
    <t xml:space="preserve">Paid to Sharma Suppliers</t>
  </si>
  <si>
    <t xml:space="preserve">CHQ 004512</t>
  </si>
  <si>
    <t xml:space="preserve">Paid to Office rent — Sep</t>
  </si>
  <si>
    <t xml:space="preserve">CHQ 004513</t>
  </si>
  <si>
    <t xml:space="preserve">Cash deposited</t>
  </si>
  <si>
    <t xml:space="preserve">DEP-SLIP 2231</t>
  </si>
  <si>
    <t xml:space="preserve">SMS / service charges</t>
  </si>
  <si>
    <t xml:space="preserve">BANK</t>
  </si>
  <si>
    <t xml:space="preserve">Customer NEFT — Mehta Retail</t>
  </si>
  <si>
    <t xml:space="preserve">NEFT N26800</t>
  </si>
  <si>
    <t xml:space="preserve">Reconciliation</t>
  </si>
  <si>
    <t xml:space="preserve">Balance as per books</t>
  </si>
  <si>
    <t xml:space="preserve">Add: cheques issued, not yet presented</t>
  </si>
  <si>
    <t xml:space="preserve">Add: credits in bank, not in books</t>
  </si>
  <si>
    <t xml:space="preserve">Less: deposits not yet credited</t>
  </si>
  <si>
    <t xml:space="preserve">Less: debits in bank, not in books</t>
  </si>
  <si>
    <t xml:space="preserve">Balance as per bank (computed)</t>
  </si>
  <si>
    <t xml:space="preserve">Balance as per bank statement</t>
  </si>
  <si>
    <t xml:space="preserve">Difference (should be zero)</t>
  </si>
  <si>
    <t xml:space="preserve">Party Ledger Reconciliation</t>
  </si>
  <si>
    <t xml:space="preserve">Summary</t>
  </si>
  <si>
    <t xml:space="preserve">Vendor or customer — our books vs the party's statement</t>
  </si>
  <si>
    <t xml:space="preserve">Closing balance — our books (Dr − Cr)</t>
  </si>
  <si>
    <t xml:space="preserve">Our books: Debit = they owe us / we paid them; Credit = we owe them. The party's statement is the mirror image.</t>
  </si>
  <si>
    <t xml:space="preserve">Closing balance — party, mirrored (Cr − Dr)</t>
  </si>
  <si>
    <t xml:space="preserve">Party name</t>
  </si>
  <si>
    <t xml:space="preserve">Sharma Suppliers</t>
  </si>
  <si>
    <t xml:space="preserve">Difference</t>
  </si>
  <si>
    <t xml:space="preserve">Period</t>
  </si>
  <si>
    <t xml:space="preserve">Apr-26 to Sep-26</t>
  </si>
  <si>
    <t xml:space="preserve">Entries matched (our side)</t>
  </si>
  <si>
    <t xml:space="preserve">As per our books</t>
  </si>
  <si>
    <t xml:space="preserve">As per party's statement</t>
  </si>
  <si>
    <t xml:space="preserve">Amount differs</t>
  </si>
  <si>
    <t xml:space="preserve">Doc / invoice no.</t>
  </si>
  <si>
    <t xml:space="preserve">Debit (₹)</t>
  </si>
  <si>
    <t xml:space="preserve">Credit (₹)</t>
  </si>
  <si>
    <t xml:space="preserve">Status</t>
  </si>
  <si>
    <t xml:space="preserve">Missing in party books</t>
  </si>
  <si>
    <t xml:space="preserve">SS/101</t>
  </si>
  <si>
    <t xml:space="preserve">Missing in our books</t>
  </si>
  <si>
    <t xml:space="preserve">PMT-0420</t>
  </si>
  <si>
    <t xml:space="preserve">SS/145</t>
  </si>
  <si>
    <t xml:space="preserve">PMT-0702</t>
  </si>
  <si>
    <t xml:space="preserve">SS/188</t>
  </si>
  <si>
    <t xml:space="preserve">PMT-0927</t>
  </si>
  <si>
    <t xml:space="preserve">SS/203</t>
  </si>
  <si>
    <t xml:space="preserve">GST Input Tax Credit — Books vs GSTR-2B</t>
  </si>
  <si>
    <t xml:space="preserve">ITC summary (₹)</t>
  </si>
  <si>
    <t xml:space="preserve">ITC as per books</t>
  </si>
  <si>
    <t xml:space="preserve">ITC as per GSTR-2B</t>
  </si>
  <si>
    <t xml:space="preserve">GSTIN</t>
  </si>
  <si>
    <t xml:space="preserve">06ABCDE1234F1Z5</t>
  </si>
  <si>
    <t xml:space="preserve">ITC matched</t>
  </si>
  <si>
    <t xml:space="preserve">Return period</t>
  </si>
  <si>
    <t xml:space="preserve">Sep-26</t>
  </si>
  <si>
    <t xml:space="preserve">ITC at risk — not in 2B</t>
  </si>
  <si>
    <t xml:space="preserve">Books ITC where amount differs</t>
  </si>
  <si>
    <t xml:space="preserve">Purchase register — as per books</t>
  </si>
  <si>
    <t xml:space="preserve">GSTR-2B — as downloaded from the GST portal</t>
  </si>
  <si>
    <t xml:space="preserve">2B ITC where amount differs</t>
  </si>
  <si>
    <t xml:space="preserve">Supplier GSTIN</t>
  </si>
  <si>
    <t xml:space="preserve">Supplier name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</si>
  <si>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</si>
  <si>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</si>
  <si>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</si>
  <si>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</si>
  <si>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</si>
  <si>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</si>
  <si>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Total tax</t>
  </si>
  <si>
    <t xml:space="preserve">Match key</t>
  </si>
  <si>
    <t xml:space="preserve">ITC in 2B, not yet booked</t>
  </si>
  <si>
    <t xml:space="preserve">06AAACS1111A1Z1</t>
  </si>
  <si>
    <t xml:space="preserve">Check: books − 2B</t>
  </si>
  <si>
    <t xml:space="preserve">07AAACK2222B1Z2</t>
  </si>
  <si>
    <t xml:space="preserve">Kapoor Logistics</t>
  </si>
  <si>
    <t xml:space="preserve">KL-889</t>
  </si>
  <si>
    <t xml:space="preserve">Explained difference</t>
  </si>
  <si>
    <t xml:space="preserve">06AAACR3333C1Z3</t>
  </si>
  <si>
    <t xml:space="preserve">Rao IT Services</t>
  </si>
  <si>
    <t xml:space="preserve">RIT/45</t>
  </si>
  <si>
    <t xml:space="preserve">Unexplained (should be zero)</t>
  </si>
  <si>
    <t xml:space="preserve">29AAACM4444D1Z4</t>
  </si>
  <si>
    <t xml:space="preserve">Metro Packaging</t>
  </si>
  <si>
    <t xml:space="preserve">MP2026-77</t>
  </si>
  <si>
    <t xml:space="preserve">27AAACB5555E1Z5</t>
  </si>
  <si>
    <t xml:space="preserve">BW/1180</t>
  </si>
  <si>
    <t xml:space="preserve">TDS Reconciliation — Books vs Form 26AS / AIS</t>
  </si>
  <si>
    <t xml:space="preserve">TDS deducted by customers on payments to the client</t>
  </si>
  <si>
    <t xml:space="preserve">PAN</t>
  </si>
  <si>
    <t xml:space="preserve">ABCDE1234F</t>
  </si>
  <si>
    <t xml:space="preserve">Q2 (Jul–Sep) 2026-27</t>
  </si>
  <si>
    <t xml:space="preserve">Deductor (customer) name</t>
  </si>
  <si>
    <t xml:space="preserve">TAN</t>
  </si>
  <si>
    <t xml:space="preserve">Section</t>
  </si>
  <si>
    <t xml:space="preserve">Amount credited — books</t>
  </si>
  <si>
    <t xml:space="preserve">TDS — books</t>
  </si>
  <si>
    <t xml:space="preserve">Amount — 26AS</t>
  </si>
  <si>
    <t xml:space="preserve">TDS — 26AS</t>
  </si>
  <si>
    <t xml:space="preserve">TDS difference</t>
  </si>
  <si>
    <t xml:space="preserve">Status / action</t>
  </si>
  <si>
    <t xml:space="preserve">Mehta Retail Pvt Ltd</t>
  </si>
  <si>
    <t xml:space="preserve">DELM12345A</t>
  </si>
  <si>
    <t xml:space="preserve">194J</t>
  </si>
  <si>
    <t xml:space="preserve">Gupta Exports</t>
  </si>
  <si>
    <t xml:space="preserve">MUMG23456B</t>
  </si>
  <si>
    <t xml:space="preserve">194C</t>
  </si>
  <si>
    <t xml:space="preserve">Bright Software LLP</t>
  </si>
  <si>
    <t xml:space="preserve">BLRB34567C</t>
  </si>
  <si>
    <t xml:space="preserve">Nova Healthcare</t>
  </si>
  <si>
    <t xml:space="preserve">HYDN45678D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</si>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</sst>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[&gt;=10000000]##\,##\,##\,##0;[&gt;=100000]##\,##\,##0;##,##0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D7A59"/>
      </font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color rgb="FF2D7A5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2D7A59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7" customFormat="false" ht="15.75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15.75" hidden="false" customHeight="true" outlineLevel="0" collapsed="false">
      <c r="C21" s="11" t="s">
        <v>24</v>
      </c>
    </row>
    <row r="23" customFormat="false" ht="15" hidden="false" customHeight="false" outlineLevel="0" collapsed="false">
      <c r="B23" s="12" t="s">
        <v>25</v>
      </c>
    </row>
    <row r="25" customFormat="false" ht="15" hidden="false" customHeight="false" outlineLevel="0" collapsed="false">
      <c r="B25" s="3" t="s">
        <v>26</v>
      </c>
    </row>
    <row r="26" customFormat="false" ht="15" hidden="false" customHeight="false" outlineLevel="0" collapsed="false">
      <c r="B26" s="13" t="s">
        <v>27</v>
      </c>
    </row>
    <row r="27" customFormat="false" ht="15" hidden="false" customHeight="false" outlineLevel="0" collapsed="false">
      <c r="B27" s="14" t="s">
        <v>28</v>
      </c>
    </row>
  </sheetData>
  <hyperlinks>
    <hyperlink ref="B26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36"/>
    <col collapsed="false" customWidth="true" hidden="true" outlineLevel="0" max="30" min="30" style="0" width="13"/>
  </cols>
  <sheetData>
    <row r="1" customFormat="false" ht="15" hidden="false" customHeight="false" outlineLevel="0" collapsed="false">
      <c r="AD1" s="0" t="s">
        <v>29</v>
      </c>
    </row>
    <row r="2" customFormat="false" ht="19.7" hidden="false" customHeight="false" outlineLevel="0" collapsed="false">
      <c r="B2" s="1" t="s">
        <v>30</v>
      </c>
      <c r="AD2" s="15" t="s">
        <v>31</v>
      </c>
    </row>
    <row r="3" customFormat="false" ht="15" hidden="false" customHeight="false" outlineLevel="0" collapsed="false">
      <c r="B3" s="2"/>
      <c r="AD3" s="15" t="s">
        <v>32</v>
      </c>
    </row>
    <row r="4" customFormat="false" ht="15" hidden="false" customHeight="false" outlineLevel="0" collapsed="false">
      <c r="B4" s="9" t="s">
        <v>33</v>
      </c>
      <c r="C4" s="5" t="s">
        <v>34</v>
      </c>
      <c r="AD4" s="15" t="s">
        <v>35</v>
      </c>
    </row>
    <row r="5" customFormat="false" ht="15" hidden="false" customHeight="false" outlineLevel="0" collapsed="false">
      <c r="B5" s="9" t="s">
        <v>36</v>
      </c>
      <c r="C5" s="5" t="s">
        <v>37</v>
      </c>
      <c r="AD5" s="15" t="s">
        <v>38</v>
      </c>
    </row>
    <row r="6" customFormat="false" ht="15" hidden="false" customHeight="false" outlineLevel="0" collapsed="false">
      <c r="B6" s="9" t="s">
        <v>39</v>
      </c>
      <c r="C6" s="16" t="n">
        <v>46295</v>
      </c>
      <c r="AD6" s="15" t="s">
        <v>40</v>
      </c>
    </row>
    <row r="7" customFormat="false" ht="15" hidden="false" customHeight="false" outlineLevel="0" collapsed="false">
      <c r="B7" s="9" t="s">
        <v>41</v>
      </c>
      <c r="C7" s="17" t="n">
        <v>1585400</v>
      </c>
    </row>
    <row r="8" customFormat="false" ht="15" hidden="false" customHeight="false" outlineLevel="0" collapsed="false">
      <c r="B8" s="9" t="s">
        <v>42</v>
      </c>
      <c r="C8" s="17" t="n">
        <v>1610640</v>
      </c>
    </row>
    <row r="11" customFormat="false" ht="30" hidden="false" customHeight="true" outlineLevel="0" collapsed="false">
      <c r="B11" s="18" t="s">
        <v>43</v>
      </c>
      <c r="C11" s="19" t="s">
        <v>44</v>
      </c>
      <c r="D11" s="19" t="s">
        <v>45</v>
      </c>
      <c r="E11" s="19" t="s">
        <v>46</v>
      </c>
      <c r="F11" s="19" t="s">
        <v>47</v>
      </c>
    </row>
    <row r="12" customFormat="false" ht="15" hidden="false" customHeight="false" outlineLevel="0" collapsed="false">
      <c r="B12" s="16" t="n">
        <v>46292</v>
      </c>
      <c r="C12" s="5" t="s">
        <v>48</v>
      </c>
      <c r="D12" s="5" t="s">
        <v>49</v>
      </c>
      <c r="E12" s="17" t="n">
        <v>48000</v>
      </c>
      <c r="F12" s="5" t="s">
        <v>29</v>
      </c>
    </row>
    <row r="13" customFormat="false" ht="15" hidden="false" customHeight="false" outlineLevel="0" collapsed="false">
      <c r="B13" s="16" t="n">
        <v>46294</v>
      </c>
      <c r="C13" s="5" t="s">
        <v>50</v>
      </c>
      <c r="D13" s="5" t="s">
        <v>51</v>
      </c>
      <c r="E13" s="17" t="n">
        <v>85000</v>
      </c>
      <c r="F13" s="5" t="s">
        <v>29</v>
      </c>
    </row>
    <row r="14" customFormat="false" ht="15" hidden="false" customHeight="false" outlineLevel="0" collapsed="false">
      <c r="B14" s="16" t="n">
        <v>46295</v>
      </c>
      <c r="C14" s="5" t="s">
        <v>52</v>
      </c>
      <c r="D14" s="5" t="s">
        <v>53</v>
      </c>
      <c r="E14" s="17" t="n">
        <v>112000</v>
      </c>
      <c r="F14" s="5" t="s">
        <v>35</v>
      </c>
    </row>
    <row r="15" customFormat="false" ht="15" hidden="false" customHeight="false" outlineLevel="0" collapsed="false">
      <c r="B15" s="16" t="n">
        <v>46295</v>
      </c>
      <c r="C15" s="5" t="s">
        <v>54</v>
      </c>
      <c r="D15" s="5" t="s">
        <v>55</v>
      </c>
      <c r="E15" s="17" t="n">
        <v>1180</v>
      </c>
      <c r="F15" s="5" t="s">
        <v>38</v>
      </c>
    </row>
    <row r="16" customFormat="false" ht="15" hidden="false" customHeight="false" outlineLevel="0" collapsed="false">
      <c r="B16" s="16" t="n">
        <v>46290</v>
      </c>
      <c r="C16" s="5" t="s">
        <v>56</v>
      </c>
      <c r="D16" s="5" t="s">
        <v>57</v>
      </c>
      <c r="E16" s="17" t="n">
        <v>5420</v>
      </c>
      <c r="F16" s="5" t="s">
        <v>32</v>
      </c>
    </row>
    <row r="17" customFormat="false" ht="15" hidden="false" customHeight="false" outlineLevel="0" collapsed="false">
      <c r="B17" s="16"/>
      <c r="C17" s="5"/>
      <c r="D17" s="5"/>
      <c r="E17" s="17"/>
      <c r="F17" s="5"/>
    </row>
    <row r="18" customFormat="false" ht="15" hidden="false" customHeight="false" outlineLevel="0" collapsed="false">
      <c r="B18" s="16"/>
      <c r="C18" s="5"/>
      <c r="D18" s="5"/>
      <c r="E18" s="17"/>
      <c r="F18" s="5"/>
    </row>
    <row r="19" customFormat="false" ht="15" hidden="false" customHeight="false" outlineLevel="0" collapsed="false">
      <c r="B19" s="16"/>
      <c r="C19" s="5"/>
      <c r="D19" s="5"/>
      <c r="E19" s="17"/>
      <c r="F19" s="5"/>
    </row>
    <row r="20" customFormat="false" ht="15" hidden="false" customHeight="false" outlineLevel="0" collapsed="false">
      <c r="B20" s="16"/>
      <c r="C20" s="5"/>
      <c r="D20" s="5"/>
      <c r="E20" s="17"/>
      <c r="F20" s="5"/>
    </row>
    <row r="21" customFormat="false" ht="15" hidden="false" customHeight="false" outlineLevel="0" collapsed="false">
      <c r="B21" s="16"/>
      <c r="C21" s="5"/>
      <c r="D21" s="5"/>
      <c r="E21" s="17"/>
      <c r="F21" s="5"/>
    </row>
    <row r="22" customFormat="false" ht="15" hidden="false" customHeight="false" outlineLevel="0" collapsed="false">
      <c r="B22" s="16"/>
      <c r="C22" s="5"/>
      <c r="D22" s="5"/>
      <c r="E22" s="17"/>
      <c r="F22" s="5"/>
    </row>
    <row r="23" customFormat="false" ht="15" hidden="false" customHeight="false" outlineLevel="0" collapsed="false">
      <c r="B23" s="16"/>
      <c r="C23" s="5"/>
      <c r="D23" s="5"/>
      <c r="E23" s="17"/>
      <c r="F23" s="5"/>
    </row>
    <row r="24" customFormat="false" ht="15" hidden="false" customHeight="false" outlineLevel="0" collapsed="false">
      <c r="B24" s="16"/>
      <c r="C24" s="5"/>
      <c r="D24" s="5"/>
      <c r="E24" s="17"/>
      <c r="F24" s="5"/>
    </row>
    <row r="25" customFormat="false" ht="15" hidden="false" customHeight="false" outlineLevel="0" collapsed="false">
      <c r="B25" s="16"/>
      <c r="C25" s="5"/>
      <c r="D25" s="5"/>
      <c r="E25" s="17"/>
      <c r="F25" s="5"/>
    </row>
    <row r="26" customFormat="false" ht="15" hidden="false" customHeight="false" outlineLevel="0" collapsed="false">
      <c r="B26" s="16"/>
      <c r="C26" s="5"/>
      <c r="D26" s="5"/>
      <c r="E26" s="17"/>
      <c r="F26" s="5"/>
    </row>
    <row r="27" customFormat="false" ht="15" hidden="false" customHeight="false" outlineLevel="0" collapsed="false">
      <c r="B27" s="16"/>
      <c r="C27" s="5"/>
      <c r="D27" s="5"/>
      <c r="E27" s="17"/>
      <c r="F27" s="5"/>
    </row>
    <row r="28" customFormat="false" ht="15" hidden="false" customHeight="false" outlineLevel="0" collapsed="false">
      <c r="B28" s="16"/>
      <c r="C28" s="5"/>
      <c r="D28" s="5"/>
      <c r="E28" s="17"/>
      <c r="F28" s="5"/>
    </row>
    <row r="29" customFormat="false" ht="15" hidden="false" customHeight="false" outlineLevel="0" collapsed="false">
      <c r="B29" s="16"/>
      <c r="C29" s="5"/>
      <c r="D29" s="5"/>
      <c r="E29" s="17"/>
      <c r="F29" s="5"/>
    </row>
    <row r="30" customFormat="false" ht="15" hidden="false" customHeight="false" outlineLevel="0" collapsed="false">
      <c r="B30" s="16"/>
      <c r="C30" s="5"/>
      <c r="D30" s="5"/>
      <c r="E30" s="17"/>
      <c r="F30" s="5"/>
    </row>
    <row r="31" customFormat="false" ht="15" hidden="false" customHeight="false" outlineLevel="0" collapsed="false">
      <c r="B31" s="16"/>
      <c r="C31" s="5"/>
      <c r="D31" s="5"/>
      <c r="E31" s="17"/>
      <c r="F31" s="5"/>
    </row>
    <row r="32" customFormat="false" ht="15" hidden="false" customHeight="false" outlineLevel="0" collapsed="false">
      <c r="B32" s="16"/>
      <c r="C32" s="5"/>
      <c r="D32" s="5"/>
      <c r="E32" s="17"/>
      <c r="F32" s="5"/>
    </row>
    <row r="33" customFormat="false" ht="15" hidden="false" customHeight="false" outlineLevel="0" collapsed="false">
      <c r="B33" s="16"/>
      <c r="C33" s="5"/>
      <c r="D33" s="5"/>
      <c r="E33" s="17"/>
      <c r="F33" s="5"/>
    </row>
    <row r="34" customFormat="false" ht="15" hidden="false" customHeight="false" outlineLevel="0" collapsed="false">
      <c r="B34" s="16"/>
      <c r="C34" s="5"/>
      <c r="D34" s="5"/>
      <c r="E34" s="17"/>
      <c r="F34" s="5"/>
    </row>
    <row r="35" customFormat="false" ht="15" hidden="false" customHeight="false" outlineLevel="0" collapsed="false">
      <c r="B35" s="16"/>
      <c r="C35" s="5"/>
      <c r="D35" s="5"/>
      <c r="E35" s="17"/>
      <c r="F35" s="5"/>
    </row>
    <row r="36" customFormat="false" ht="15" hidden="false" customHeight="false" outlineLevel="0" collapsed="false">
      <c r="B36" s="16"/>
      <c r="C36" s="5"/>
      <c r="D36" s="5"/>
      <c r="E36" s="17"/>
      <c r="F36" s="5"/>
    </row>
    <row r="37" customFormat="false" ht="15" hidden="false" customHeight="false" outlineLevel="0" collapsed="false">
      <c r="B37" s="16"/>
      <c r="C37" s="5"/>
      <c r="D37" s="5"/>
      <c r="E37" s="17"/>
      <c r="F37" s="5"/>
    </row>
    <row r="38" customFormat="false" ht="15" hidden="false" customHeight="false" outlineLevel="0" collapsed="false">
      <c r="B38" s="16"/>
      <c r="C38" s="5"/>
      <c r="D38" s="5"/>
      <c r="E38" s="17"/>
      <c r="F38" s="5"/>
    </row>
    <row r="39" customFormat="false" ht="15" hidden="false" customHeight="false" outlineLevel="0" collapsed="false">
      <c r="B39" s="16"/>
      <c r="C39" s="5"/>
      <c r="D39" s="5"/>
      <c r="E39" s="17"/>
      <c r="F39" s="5"/>
    </row>
    <row r="40" customFormat="false" ht="15" hidden="false" customHeight="false" outlineLevel="0" collapsed="false">
      <c r="B40" s="16"/>
      <c r="C40" s="5"/>
      <c r="D40" s="5"/>
      <c r="E40" s="17"/>
      <c r="F40" s="5"/>
    </row>
    <row r="41" customFormat="false" ht="15" hidden="false" customHeight="false" outlineLevel="0" collapsed="false">
      <c r="B41" s="16"/>
      <c r="C41" s="5"/>
      <c r="D41" s="5"/>
      <c r="E41" s="17"/>
      <c r="F41" s="5"/>
    </row>
    <row r="43" customFormat="false" ht="30" hidden="false" customHeight="true" outlineLevel="0" collapsed="false">
      <c r="B43" s="18" t="s">
        <v>58</v>
      </c>
      <c r="C43" s="19"/>
      <c r="D43" s="19"/>
      <c r="E43" s="19" t="s">
        <v>46</v>
      </c>
      <c r="F43" s="19"/>
    </row>
    <row r="44" customFormat="false" ht="15" hidden="false" customHeight="false" outlineLevel="0" collapsed="false">
      <c r="B44" s="7" t="s">
        <v>59</v>
      </c>
      <c r="C44" s="20"/>
      <c r="D44" s="20"/>
      <c r="E44" s="21" t="n">
        <f aca="false">$C$7</f>
        <v>1585400</v>
      </c>
    </row>
    <row r="45" customFormat="false" ht="15" hidden="false" customHeight="false" outlineLevel="0" collapsed="false">
      <c r="B45" s="7" t="s">
        <v>60</v>
      </c>
      <c r="C45" s="20"/>
      <c r="D45" s="20"/>
      <c r="E45" s="21" t="n">
        <f aca="false">SUMIF($F$12:$F$41,"Cheque issued, not yet presented",$E$12:$E$41)</f>
        <v>133000</v>
      </c>
    </row>
    <row r="46" customFormat="false" ht="15" hidden="false" customHeight="false" outlineLevel="0" collapsed="false">
      <c r="B46" s="7" t="s">
        <v>61</v>
      </c>
      <c r="C46" s="20"/>
      <c r="D46" s="20"/>
      <c r="E46" s="21" t="n">
        <f aca="false">SUMIF($F$12:$F$41,"Interest credited by bank, not in books",$E$12:$E$41)+SUMIF($F$12:$F$41,"Direct credit by customer, not in books",$E$12:$E$41)</f>
        <v>5420</v>
      </c>
    </row>
    <row r="47" customFormat="false" ht="15" hidden="false" customHeight="false" outlineLevel="0" collapsed="false">
      <c r="B47" s="7" t="s">
        <v>62</v>
      </c>
      <c r="C47" s="20"/>
      <c r="D47" s="20"/>
      <c r="E47" s="21" t="n">
        <f aca="false">SUMIF($F$12:$F$41,"Deposit made, not yet credited by bank",$E$12:$E$41)</f>
        <v>112000</v>
      </c>
    </row>
    <row r="48" customFormat="false" ht="15" hidden="false" customHeight="false" outlineLevel="0" collapsed="false">
      <c r="B48" s="7" t="s">
        <v>63</v>
      </c>
      <c r="C48" s="20"/>
      <c r="D48" s="20"/>
      <c r="E48" s="21" t="n">
        <f aca="false">SUMIF($F$12:$F$41,"Bank charges, not in books",$E$12:$E$41)+SUMIF($F$12:$F$41,"Direct debit (EMI / ECS), not in books",$E$12:$E$41)</f>
        <v>1180</v>
      </c>
    </row>
    <row r="49" customFormat="false" ht="15" hidden="false" customHeight="false" outlineLevel="0" collapsed="false">
      <c r="B49" s="22" t="s">
        <v>64</v>
      </c>
      <c r="C49" s="20"/>
      <c r="D49" s="20"/>
      <c r="E49" s="23" t="n">
        <f aca="false">E44+E45+E46-E47-E48</f>
        <v>1610640</v>
      </c>
    </row>
    <row r="50" customFormat="false" ht="15" hidden="false" customHeight="false" outlineLevel="0" collapsed="false">
      <c r="B50" s="7" t="s">
        <v>65</v>
      </c>
      <c r="C50" s="20"/>
      <c r="D50" s="20"/>
      <c r="E50" s="21" t="n">
        <f aca="false">$C$8</f>
        <v>1610640</v>
      </c>
    </row>
    <row r="51" customFormat="false" ht="15" hidden="false" customHeight="false" outlineLevel="0" collapsed="false">
      <c r="B51" s="22" t="s">
        <v>66</v>
      </c>
      <c r="C51" s="20"/>
      <c r="D51" s="20"/>
      <c r="E51" s="23" t="n">
        <f aca="false">E49-E50</f>
        <v>0</v>
      </c>
      <c r="F51" s="9" t="str">
        <f aca="false">IF(ABS(E51)&lt;1,"✓ Reconciled","✗ Not reconciled — check items")</f>
        <v>✓ Reconciled</v>
      </c>
    </row>
  </sheetData>
  <conditionalFormatting sqref="F51">
    <cfRule type="expression" priority="2" aboveAverage="0" equalAverage="0" bottom="0" percent="0" rank="0" text="" dxfId="0">
      <formula>ABS($E$51)&lt;1</formula>
    </cfRule>
    <cfRule type="expression" priority="3" aboveAverage="0" equalAverage="0" bottom="0" percent="0" rank="0" text="" dxfId="1">
      <formula>ABS($E$51)&gt;=1</formula>
    </cfRule>
  </conditionalFormatting>
  <dataValidations count="1">
    <dataValidation allowBlank="true" errorStyle="stop" operator="between" showDropDown="false" showErrorMessage="false" showInputMessage="false" sqref="F12:F41" type="list">
      <formula1>$AD$1:$AD$6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3"/>
    <col collapsed="false" customWidth="true" hidden="false" outlineLevel="0" max="12" min="12" style="0" width="22"/>
    <col collapsed="false" customWidth="true" hidden="false" outlineLevel="0" max="14" min="13" style="0" width="3"/>
    <col collapsed="false" customWidth="true" hidden="false" outlineLevel="0" max="15" min="15" style="0" width="40"/>
    <col collapsed="false" customWidth="true" hidden="false" outlineLevel="0" max="16" min="16" style="0" width="14"/>
  </cols>
  <sheetData>
    <row r="2" customFormat="false" ht="19.7" hidden="false" customHeight="false" outlineLevel="0" collapsed="false">
      <c r="B2" s="1" t="s">
        <v>67</v>
      </c>
      <c r="O2" s="3" t="s">
        <v>68</v>
      </c>
    </row>
    <row r="3" customFormat="false" ht="15" hidden="false" customHeight="false" outlineLevel="0" collapsed="false">
      <c r="B3" s="2" t="s">
        <v>69</v>
      </c>
      <c r="O3" s="7" t="s">
        <v>70</v>
      </c>
      <c r="P3" s="21" t="n">
        <f aca="false">SUM(D9:D108)-SUM(E9:E108)</f>
        <v>-67200</v>
      </c>
    </row>
    <row r="4" customFormat="false" ht="15" hidden="false" customHeight="false" outlineLevel="0" collapsed="false">
      <c r="B4" s="9" t="s">
        <v>33</v>
      </c>
      <c r="C4" s="5" t="s">
        <v>34</v>
      </c>
      <c r="E4" s="2" t="s">
        <v>71</v>
      </c>
      <c r="O4" s="7" t="s">
        <v>72</v>
      </c>
      <c r="P4" s="21" t="n">
        <f aca="false">SUM(K9:K108)-SUM(J9:J108)</f>
        <v>-151800</v>
      </c>
    </row>
    <row r="5" customFormat="false" ht="15" hidden="false" customHeight="false" outlineLevel="0" collapsed="false">
      <c r="B5" s="9" t="s">
        <v>73</v>
      </c>
      <c r="C5" s="5" t="s">
        <v>74</v>
      </c>
      <c r="O5" s="7" t="s">
        <v>75</v>
      </c>
      <c r="P5" s="24" t="n">
        <f aca="false">P3-P4</f>
        <v>84600</v>
      </c>
    </row>
    <row r="6" customFormat="false" ht="15" hidden="false" customHeight="false" outlineLevel="0" collapsed="false">
      <c r="B6" s="9" t="s">
        <v>76</v>
      </c>
      <c r="C6" s="5" t="s">
        <v>77</v>
      </c>
      <c r="O6" s="7" t="s">
        <v>78</v>
      </c>
      <c r="P6" s="25" t="n">
        <f aca="false">COUNTIF(F9:F108,"Matched")</f>
        <v>4</v>
      </c>
    </row>
    <row r="7" customFormat="false" ht="15" hidden="false" customHeight="false" outlineLevel="0" collapsed="false">
      <c r="B7" s="3" t="s">
        <v>79</v>
      </c>
      <c r="H7" s="3" t="s">
        <v>80</v>
      </c>
      <c r="O7" s="7" t="s">
        <v>81</v>
      </c>
      <c r="P7" s="25" t="n">
        <f aca="false">COUNTIF(F9:F108,"Amount differs")</f>
        <v>1</v>
      </c>
    </row>
    <row r="8" customFormat="false" ht="30" hidden="false" customHeight="true" outlineLevel="0" collapsed="false">
      <c r="B8" s="18" t="s">
        <v>43</v>
      </c>
      <c r="C8" s="19" t="s">
        <v>82</v>
      </c>
      <c r="D8" s="19" t="s">
        <v>83</v>
      </c>
      <c r="E8" s="19" t="s">
        <v>84</v>
      </c>
      <c r="F8" s="19" t="s">
        <v>85</v>
      </c>
      <c r="H8" s="18" t="s">
        <v>43</v>
      </c>
      <c r="I8" s="19" t="s">
        <v>82</v>
      </c>
      <c r="J8" s="19" t="s">
        <v>83</v>
      </c>
      <c r="K8" s="19" t="s">
        <v>84</v>
      </c>
      <c r="L8" s="19" t="s">
        <v>85</v>
      </c>
      <c r="O8" s="7" t="s">
        <v>86</v>
      </c>
      <c r="P8" s="25" t="n">
        <f aca="false">COUNTIF(F9:F108,"Missing in party books")</f>
        <v>1</v>
      </c>
    </row>
    <row r="9" customFormat="false" ht="15" hidden="false" customHeight="false" outlineLevel="0" collapsed="false">
      <c r="B9" s="16" t="n">
        <v>46117</v>
      </c>
      <c r="C9" s="5" t="s">
        <v>87</v>
      </c>
      <c r="D9" s="17"/>
      <c r="E9" s="17" t="n">
        <v>118000</v>
      </c>
      <c r="F9" s="7" t="str">
        <f aca="false">IF(C9="","",IF(COUNTIF($I$9:$I$108,C9)=0,"Missing in party books",IF(ABS((N(D9)-N(E9))-(SUMIF($I$9:$I$108,C9,$K$9:$K$108)-SUMIF($I$9:$I$108,C9,$J$9:$J$108)))&lt;1,"Matched","Amount differs")))</f>
        <v>Matched</v>
      </c>
      <c r="H9" s="16" t="n">
        <v>46117</v>
      </c>
      <c r="I9" s="5" t="s">
        <v>87</v>
      </c>
      <c r="J9" s="17" t="n">
        <v>118000</v>
      </c>
      <c r="K9" s="17"/>
      <c r="L9" s="7" t="str">
        <f aca="false">IF(I9="","",IF(COUNTIF($C$9:$C$108,I9)=0,"Missing in our books",IF(ABS((N(K9)-N(J9))-(SUMIF($C$9:$C$108,I9,$D$9:$D$108)-SUMIF($C$9:$C$108,I9,$E$9:$E$108)))&lt;1,"Matched","Amount differs")))</f>
        <v>Matched</v>
      </c>
      <c r="O9" s="7" t="s">
        <v>88</v>
      </c>
      <c r="P9" s="25" t="n">
        <f aca="false">COUNTIF(L9:L108,"Missing in our books")</f>
        <v>1</v>
      </c>
    </row>
    <row r="10" customFormat="false" ht="15" hidden="false" customHeight="false" outlineLevel="0" collapsed="false">
      <c r="B10" s="16" t="n">
        <v>46132</v>
      </c>
      <c r="C10" s="5" t="s">
        <v>89</v>
      </c>
      <c r="D10" s="17" t="n">
        <v>118000</v>
      </c>
      <c r="E10" s="17"/>
      <c r="F10" s="7" t="str">
        <f aca="false">IF(C10="","",IF(COUNTIF($I$9:$I$108,C10)=0,"Missing in party books",IF(ABS((N(D10)-N(E10))-(SUMIF($I$9:$I$108,C10,$K$9:$K$108)-SUMIF($I$9:$I$108,C10,$J$9:$J$108)))&lt;1,"Matched","Amount differs")))</f>
        <v>Matched</v>
      </c>
      <c r="H10" s="16" t="n">
        <v>46133</v>
      </c>
      <c r="I10" s="5" t="s">
        <v>89</v>
      </c>
      <c r="J10" s="17"/>
      <c r="K10" s="17" t="n">
        <v>118000</v>
      </c>
      <c r="L10" s="7" t="str">
        <f aca="false">IF(I10="","",IF(COUNTIF($C$9:$C$108,I10)=0,"Missing in our books",IF(ABS((N(K10)-N(J10))-(SUMIF($C$9:$C$108,I10,$D$9:$D$108)-SUMIF($C$9:$C$108,I10,$E$9:$E$108)))&lt;1,"Matched","Amount differs")))</f>
        <v>Matched</v>
      </c>
    </row>
    <row r="11" customFormat="false" ht="15" hidden="false" customHeight="false" outlineLevel="0" collapsed="false">
      <c r="B11" s="16" t="n">
        <v>46185</v>
      </c>
      <c r="C11" s="5" t="s">
        <v>90</v>
      </c>
      <c r="D11" s="17"/>
      <c r="E11" s="17" t="n">
        <v>94400</v>
      </c>
      <c r="F11" s="7" t="str">
        <f aca="false">IF(C11="","",IF(COUNTIF($I$9:$I$108,C11)=0,"Missing in party books",IF(ABS((N(D11)-N(E11))-(SUMIF($I$9:$I$108,C11,$K$9:$K$108)-SUMIF($I$9:$I$108,C11,$J$9:$J$108)))&lt;1,"Matched","Amount differs")))</f>
        <v>Matched</v>
      </c>
      <c r="H11" s="16" t="n">
        <v>46185</v>
      </c>
      <c r="I11" s="5" t="s">
        <v>90</v>
      </c>
      <c r="J11" s="17" t="n">
        <v>94400</v>
      </c>
      <c r="K11" s="17"/>
      <c r="L11" s="7" t="str">
        <f aca="false">IF(I11="","",IF(COUNTIF($C$9:$C$108,I11)=0,"Missing in our books",IF(ABS((N(K11)-N(J11))-(SUMIF($C$9:$C$108,I11,$D$9:$D$108)-SUMIF($C$9:$C$108,I11,$E$9:$E$108)))&lt;1,"Matched","Amount differs")))</f>
        <v>Matched</v>
      </c>
    </row>
    <row r="12" customFormat="false" ht="15" hidden="false" customHeight="false" outlineLevel="0" collapsed="false">
      <c r="B12" s="16" t="n">
        <v>46205</v>
      </c>
      <c r="C12" s="5" t="s">
        <v>91</v>
      </c>
      <c r="D12" s="17" t="n">
        <v>50000</v>
      </c>
      <c r="E12" s="17"/>
      <c r="F12" s="7" t="str">
        <f aca="false">IF(C12="","",IF(COUNTIF($I$9:$I$108,C12)=0,"Missing in party books",IF(ABS((N(D12)-N(E12))-(SUMIF($I$9:$I$108,C12,$K$9:$K$108)-SUMIF($I$9:$I$108,C12,$J$9:$J$108)))&lt;1,"Matched","Amount differs")))</f>
        <v>Matched</v>
      </c>
      <c r="H12" s="16" t="n">
        <v>46206</v>
      </c>
      <c r="I12" s="5" t="s">
        <v>91</v>
      </c>
      <c r="J12" s="17"/>
      <c r="K12" s="17" t="n">
        <v>50000</v>
      </c>
      <c r="L12" s="7" t="str">
        <f aca="false">IF(I12="","",IF(COUNTIF($C$9:$C$108,I12)=0,"Missing in our books",IF(ABS((N(K12)-N(J12))-(SUMIF($C$9:$C$108,I12,$D$9:$D$108)-SUMIF($C$9:$C$108,I12,$E$9:$E$108)))&lt;1,"Matched","Amount differs")))</f>
        <v>Matched</v>
      </c>
    </row>
    <row r="13" customFormat="false" ht="15" hidden="false" customHeight="false" outlineLevel="0" collapsed="false">
      <c r="B13" s="16" t="n">
        <v>46252</v>
      </c>
      <c r="C13" s="5" t="s">
        <v>92</v>
      </c>
      <c r="D13" s="17"/>
      <c r="E13" s="17" t="n">
        <v>70800</v>
      </c>
      <c r="F13" s="7" t="str">
        <f aca="false">IF(C13="","",IF(COUNTIF($I$9:$I$108,C13)=0,"Missing in party books",IF(ABS((N(D13)-N(E13))-(SUMIF($I$9:$I$108,C13,$K$9:$K$108)-SUMIF($I$9:$I$108,C13,$J$9:$J$108)))&lt;1,"Matched","Amount differs")))</f>
        <v>Amount differs</v>
      </c>
      <c r="H13" s="16" t="n">
        <v>46252</v>
      </c>
      <c r="I13" s="5" t="s">
        <v>92</v>
      </c>
      <c r="J13" s="17" t="n">
        <v>72000</v>
      </c>
      <c r="K13" s="17"/>
      <c r="L13" s="7" t="str">
        <f aca="false">IF(I13="","",IF(COUNTIF($C$9:$C$108,I13)=0,"Missing in our books",IF(ABS((N(K13)-N(J13))-(SUMIF($C$9:$C$108,I13,$D$9:$D$108)-SUMIF($C$9:$C$108,I13,$E$9:$E$108)))&lt;1,"Matched","Amount differs")))</f>
        <v>Amount differs</v>
      </c>
    </row>
    <row r="14" customFormat="false" ht="15" hidden="false" customHeight="false" outlineLevel="0" collapsed="false">
      <c r="B14" s="16" t="n">
        <v>46292</v>
      </c>
      <c r="C14" s="5" t="s">
        <v>93</v>
      </c>
      <c r="D14" s="17" t="n">
        <v>48000</v>
      </c>
      <c r="E14" s="17"/>
      <c r="F14" s="7" t="str">
        <f aca="false">IF(C14="","",IF(COUNTIF($I$9:$I$108,C14)=0,"Missing in party books",IF(ABS((N(D14)-N(E14))-(SUMIF($I$9:$I$108,C14,$K$9:$K$108)-SUMIF($I$9:$I$108,C14,$J$9:$J$108)))&lt;1,"Matched","Amount differs")))</f>
        <v>Missing in party books</v>
      </c>
      <c r="H14" s="16" t="n">
        <v>46285</v>
      </c>
      <c r="I14" s="5" t="s">
        <v>94</v>
      </c>
      <c r="J14" s="17" t="n">
        <v>35400</v>
      </c>
      <c r="K14" s="17"/>
      <c r="L14" s="7" t="str">
        <f aca="false">IF(I14="","",IF(COUNTIF($C$9:$C$108,I14)=0,"Missing in our books",IF(ABS((N(K14)-N(J14))-(SUMIF($C$9:$C$108,I14,$D$9:$D$108)-SUMIF($C$9:$C$108,I14,$E$9:$E$108)))&lt;1,"Matched","Amount differs")))</f>
        <v>Missing in our books</v>
      </c>
    </row>
    <row r="15" customFormat="false" ht="15" hidden="false" customHeight="false" outlineLevel="0" collapsed="false">
      <c r="B15" s="16"/>
      <c r="C15" s="5"/>
      <c r="D15" s="17"/>
      <c r="E15" s="17"/>
      <c r="F15" s="7" t="str">
        <f aca="false">IF(C15="","",IF(COUNTIF($I$9:$I$108,C15)=0,"Missing in party books",IF(ABS((N(D15)-N(E15))-(SUMIF($I$9:$I$108,C15,$K$9:$K$108)-SUMIF($I$9:$I$108,C15,$J$9:$J$108)))&lt;1,"Matched","Amount differs")))</f>
        <v/>
      </c>
      <c r="H15" s="16"/>
      <c r="I15" s="5"/>
      <c r="J15" s="17"/>
      <c r="K15" s="17"/>
      <c r="L15" s="7" t="str">
        <f aca="false">IF(I15="","",IF(COUNTIF($C$9:$C$108,I15)=0,"Missing in our books",IF(ABS((N(K15)-N(J15))-(SUMIF($C$9:$C$108,I15,$D$9:$D$108)-SUMIF($C$9:$C$108,I15,$E$9:$E$108)))&lt;1,"Matched","Amount differs")))</f>
        <v/>
      </c>
    </row>
    <row r="16" customFormat="false" ht="15" hidden="false" customHeight="false" outlineLevel="0" collapsed="false">
      <c r="B16" s="16"/>
      <c r="C16" s="5"/>
      <c r="D16" s="17"/>
      <c r="E16" s="17"/>
      <c r="F16" s="7" t="str">
        <f aca="false">IF(C16="","",IF(COUNTIF($I$9:$I$108,C16)=0,"Missing in party books",IF(ABS((N(D16)-N(E16))-(SUMIF($I$9:$I$108,C16,$K$9:$K$108)-SUMIF($I$9:$I$108,C16,$J$9:$J$108)))&lt;1,"Matched","Amount differs")))</f>
        <v/>
      </c>
      <c r="H16" s="16"/>
      <c r="I16" s="5"/>
      <c r="J16" s="17"/>
      <c r="K16" s="17"/>
      <c r="L16" s="7" t="str">
        <f aca="false">IF(I16="","",IF(COUNTIF($C$9:$C$108,I16)=0,"Missing in our books",IF(ABS((N(K16)-N(J16))-(SUMIF($C$9:$C$108,I16,$D$9:$D$108)-SUMIF($C$9:$C$108,I16,$E$9:$E$108)))&lt;1,"Matched","Amount differs")))</f>
        <v/>
      </c>
    </row>
    <row r="17" customFormat="false" ht="15" hidden="false" customHeight="false" outlineLevel="0" collapsed="false">
      <c r="B17" s="16"/>
      <c r="C17" s="5"/>
      <c r="D17" s="17"/>
      <c r="E17" s="17"/>
      <c r="F17" s="7" t="str">
        <f aca="false">IF(C17="","",IF(COUNTIF($I$9:$I$108,C17)=0,"Missing in party books",IF(ABS((N(D17)-N(E17))-(SUMIF($I$9:$I$108,C17,$K$9:$K$108)-SUMIF($I$9:$I$108,C17,$J$9:$J$108)))&lt;1,"Matched","Amount differs")))</f>
        <v/>
      </c>
      <c r="H17" s="16"/>
      <c r="I17" s="5"/>
      <c r="J17" s="17"/>
      <c r="K17" s="17"/>
      <c r="L17" s="7" t="str">
        <f aca="false">IF(I17="","",IF(COUNTIF($C$9:$C$108,I17)=0,"Missing in our books",IF(ABS((N(K17)-N(J17))-(SUMIF($C$9:$C$108,I17,$D$9:$D$108)-SUMIF($C$9:$C$108,I17,$E$9:$E$108)))&lt;1,"Matched","Amount differs")))</f>
        <v/>
      </c>
    </row>
    <row r="18" customFormat="false" ht="15" hidden="false" customHeight="false" outlineLevel="0" collapsed="false">
      <c r="B18" s="16"/>
      <c r="C18" s="5"/>
      <c r="D18" s="17"/>
      <c r="E18" s="17"/>
      <c r="F18" s="7" t="str">
        <f aca="false">IF(C18="","",IF(COUNTIF($I$9:$I$108,C18)=0,"Missing in party books",IF(ABS((N(D18)-N(E18))-(SUMIF($I$9:$I$108,C18,$K$9:$K$108)-SUMIF($I$9:$I$108,C18,$J$9:$J$108)))&lt;1,"Matched","Amount differs")))</f>
        <v/>
      </c>
      <c r="H18" s="16"/>
      <c r="I18" s="5"/>
      <c r="J18" s="17"/>
      <c r="K18" s="17"/>
      <c r="L18" s="7" t="str">
        <f aca="false">IF(I18="","",IF(COUNTIF($C$9:$C$108,I18)=0,"Missing in our books",IF(ABS((N(K18)-N(J18))-(SUMIF($C$9:$C$108,I18,$D$9:$D$108)-SUMIF($C$9:$C$108,I18,$E$9:$E$108)))&lt;1,"Matched","Amount differs")))</f>
        <v/>
      </c>
    </row>
    <row r="19" customFormat="false" ht="15" hidden="false" customHeight="false" outlineLevel="0" collapsed="false">
      <c r="B19" s="16"/>
      <c r="C19" s="5"/>
      <c r="D19" s="17"/>
      <c r="E19" s="17"/>
      <c r="F19" s="7" t="str">
        <f aca="false">IF(C19="","",IF(COUNTIF($I$9:$I$108,C19)=0,"Missing in party books",IF(ABS((N(D19)-N(E19))-(SUMIF($I$9:$I$108,C19,$K$9:$K$108)-SUMIF($I$9:$I$108,C19,$J$9:$J$108)))&lt;1,"Matched","Amount differs")))</f>
        <v/>
      </c>
      <c r="H19" s="16"/>
      <c r="I19" s="5"/>
      <c r="J19" s="17"/>
      <c r="K19" s="17"/>
      <c r="L19" s="7" t="str">
        <f aca="false">IF(I19="","",IF(COUNTIF($C$9:$C$108,I19)=0,"Missing in our books",IF(ABS((N(K19)-N(J19))-(SUMIF($C$9:$C$108,I19,$D$9:$D$108)-SUMIF($C$9:$C$108,I19,$E$9:$E$108)))&lt;1,"Matched","Amount differs")))</f>
        <v/>
      </c>
    </row>
    <row r="20" customFormat="false" ht="15" hidden="false" customHeight="false" outlineLevel="0" collapsed="false">
      <c r="B20" s="16"/>
      <c r="C20" s="5"/>
      <c r="D20" s="17"/>
      <c r="E20" s="17"/>
      <c r="F20" s="7" t="str">
        <f aca="false">IF(C20="","",IF(COUNTIF($I$9:$I$108,C20)=0,"Missing in party books",IF(ABS((N(D20)-N(E20))-(SUMIF($I$9:$I$108,C20,$K$9:$K$108)-SUMIF($I$9:$I$108,C20,$J$9:$J$108)))&lt;1,"Matched","Amount differs")))</f>
        <v/>
      </c>
      <c r="H20" s="16"/>
      <c r="I20" s="5"/>
      <c r="J20" s="17"/>
      <c r="K20" s="17"/>
      <c r="L20" s="7" t="str">
        <f aca="false">IF(I20="","",IF(COUNTIF($C$9:$C$108,I20)=0,"Missing in our books",IF(ABS((N(K20)-N(J20))-(SUMIF($C$9:$C$108,I20,$D$9:$D$108)-SUMIF($C$9:$C$108,I20,$E$9:$E$108)))&lt;1,"Matched","Amount differs")))</f>
        <v/>
      </c>
    </row>
    <row r="21" customFormat="false" ht="15" hidden="false" customHeight="false" outlineLevel="0" collapsed="false">
      <c r="B21" s="16"/>
      <c r="C21" s="5"/>
      <c r="D21" s="17"/>
      <c r="E21" s="17"/>
      <c r="F21" s="7" t="str">
        <f aca="false">IF(C21="","",IF(COUNTIF($I$9:$I$108,C21)=0,"Missing in party books",IF(ABS((N(D21)-N(E21))-(SUMIF($I$9:$I$108,C21,$K$9:$K$108)-SUMIF($I$9:$I$108,C21,$J$9:$J$108)))&lt;1,"Matched","Amount differs")))</f>
        <v/>
      </c>
      <c r="H21" s="16"/>
      <c r="I21" s="5"/>
      <c r="J21" s="17"/>
      <c r="K21" s="17"/>
      <c r="L21" s="7" t="str">
        <f aca="false">IF(I21="","",IF(COUNTIF($C$9:$C$108,I21)=0,"Missing in our books",IF(ABS((N(K21)-N(J21))-(SUMIF($C$9:$C$108,I21,$D$9:$D$108)-SUMIF($C$9:$C$108,I21,$E$9:$E$108)))&lt;1,"Matched","Amount differs")))</f>
        <v/>
      </c>
    </row>
    <row r="22" customFormat="false" ht="15" hidden="false" customHeight="false" outlineLevel="0" collapsed="false">
      <c r="B22" s="16"/>
      <c r="C22" s="5"/>
      <c r="D22" s="17"/>
      <c r="E22" s="17"/>
      <c r="F22" s="7" t="str">
        <f aca="false">IF(C22="","",IF(COUNTIF($I$9:$I$108,C22)=0,"Missing in party books",IF(ABS((N(D22)-N(E22))-(SUMIF($I$9:$I$108,C22,$K$9:$K$108)-SUMIF($I$9:$I$108,C22,$J$9:$J$108)))&lt;1,"Matched","Amount differs")))</f>
        <v/>
      </c>
      <c r="H22" s="16"/>
      <c r="I22" s="5"/>
      <c r="J22" s="17"/>
      <c r="K22" s="17"/>
      <c r="L22" s="7" t="str">
        <f aca="false">IF(I22="","",IF(COUNTIF($C$9:$C$108,I22)=0,"Missing in our books",IF(ABS((N(K22)-N(J22))-(SUMIF($C$9:$C$108,I22,$D$9:$D$108)-SUMIF($C$9:$C$108,I22,$E$9:$E$108)))&lt;1,"Matched","Amount differs")))</f>
        <v/>
      </c>
    </row>
    <row r="23" customFormat="false" ht="15" hidden="false" customHeight="false" outlineLevel="0" collapsed="false">
      <c r="B23" s="16"/>
      <c r="C23" s="5"/>
      <c r="D23" s="17"/>
      <c r="E23" s="17"/>
      <c r="F23" s="7" t="str">
        <f aca="false">IF(C23="","",IF(COUNTIF($I$9:$I$108,C23)=0,"Missing in party books",IF(ABS((N(D23)-N(E23))-(SUMIF($I$9:$I$108,C23,$K$9:$K$108)-SUMIF($I$9:$I$108,C23,$J$9:$J$108)))&lt;1,"Matched","Amount differs")))</f>
        <v/>
      </c>
      <c r="H23" s="16"/>
      <c r="I23" s="5"/>
      <c r="J23" s="17"/>
      <c r="K23" s="17"/>
      <c r="L23" s="7" t="str">
        <f aca="false">IF(I23="","",IF(COUNTIF($C$9:$C$108,I23)=0,"Missing in our books",IF(ABS((N(K23)-N(J23))-(SUMIF($C$9:$C$108,I23,$D$9:$D$108)-SUMIF($C$9:$C$108,I23,$E$9:$E$108)))&lt;1,"Matched","Amount differs")))</f>
        <v/>
      </c>
    </row>
    <row r="24" customFormat="false" ht="15" hidden="false" customHeight="false" outlineLevel="0" collapsed="false">
      <c r="B24" s="16"/>
      <c r="C24" s="5"/>
      <c r="D24" s="17"/>
      <c r="E24" s="17"/>
      <c r="F24" s="7" t="str">
        <f aca="false">IF(C24="","",IF(COUNTIF($I$9:$I$108,C24)=0,"Missing in party books",IF(ABS((N(D24)-N(E24))-(SUMIF($I$9:$I$108,C24,$K$9:$K$108)-SUMIF($I$9:$I$108,C24,$J$9:$J$108)))&lt;1,"Matched","Amount differs")))</f>
        <v/>
      </c>
      <c r="H24" s="16"/>
      <c r="I24" s="5"/>
      <c r="J24" s="17"/>
      <c r="K24" s="17"/>
      <c r="L24" s="7" t="str">
        <f aca="false">IF(I24="","",IF(COUNTIF($C$9:$C$108,I24)=0,"Missing in our books",IF(ABS((N(K24)-N(J24))-(SUMIF($C$9:$C$108,I24,$D$9:$D$108)-SUMIF($C$9:$C$108,I24,$E$9:$E$108)))&lt;1,"Matched","Amount differs")))</f>
        <v/>
      </c>
    </row>
    <row r="25" customFormat="false" ht="15" hidden="false" customHeight="false" outlineLevel="0" collapsed="false">
      <c r="B25" s="16"/>
      <c r="C25" s="5"/>
      <c r="D25" s="17"/>
      <c r="E25" s="17"/>
      <c r="F25" s="7" t="str">
        <f aca="false">IF(C25="","",IF(COUNTIF($I$9:$I$108,C25)=0,"Missing in party books",IF(ABS((N(D25)-N(E25))-(SUMIF($I$9:$I$108,C25,$K$9:$K$108)-SUMIF($I$9:$I$108,C25,$J$9:$J$108)))&lt;1,"Matched","Amount differs")))</f>
        <v/>
      </c>
      <c r="H25" s="16"/>
      <c r="I25" s="5"/>
      <c r="J25" s="17"/>
      <c r="K25" s="17"/>
      <c r="L25" s="7" t="str">
        <f aca="false">IF(I25="","",IF(COUNTIF($C$9:$C$108,I25)=0,"Missing in our books",IF(ABS((N(K25)-N(J25))-(SUMIF($C$9:$C$108,I25,$D$9:$D$108)-SUMIF($C$9:$C$108,I25,$E$9:$E$108)))&lt;1,"Matched","Amount differs")))</f>
        <v/>
      </c>
    </row>
    <row r="26" customFormat="false" ht="15" hidden="false" customHeight="false" outlineLevel="0" collapsed="false">
      <c r="B26" s="16"/>
      <c r="C26" s="5"/>
      <c r="D26" s="17"/>
      <c r="E26" s="17"/>
      <c r="F26" s="7" t="str">
        <f aca="false">IF(C26="","",IF(COUNTIF($I$9:$I$108,C26)=0,"Missing in party books",IF(ABS((N(D26)-N(E26))-(SUMIF($I$9:$I$108,C26,$K$9:$K$108)-SUMIF($I$9:$I$108,C26,$J$9:$J$108)))&lt;1,"Matched","Amount differs")))</f>
        <v/>
      </c>
      <c r="H26" s="16"/>
      <c r="I26" s="5"/>
      <c r="J26" s="17"/>
      <c r="K26" s="17"/>
      <c r="L26" s="7" t="str">
        <f aca="false">IF(I26="","",IF(COUNTIF($C$9:$C$108,I26)=0,"Missing in our books",IF(ABS((N(K26)-N(J26))-(SUMIF($C$9:$C$108,I26,$D$9:$D$108)-SUMIF($C$9:$C$108,I26,$E$9:$E$108)))&lt;1,"Matched","Amount differs")))</f>
        <v/>
      </c>
    </row>
    <row r="27" customFormat="false" ht="15" hidden="false" customHeight="false" outlineLevel="0" collapsed="false">
      <c r="B27" s="16"/>
      <c r="C27" s="5"/>
      <c r="D27" s="17"/>
      <c r="E27" s="17"/>
      <c r="F27" s="7" t="str">
        <f aca="false">IF(C27="","",IF(COUNTIF($I$9:$I$108,C27)=0,"Missing in party books",IF(ABS((N(D27)-N(E27))-(SUMIF($I$9:$I$108,C27,$K$9:$K$108)-SUMIF($I$9:$I$108,C27,$J$9:$J$108)))&lt;1,"Matched","Amount differs")))</f>
        <v/>
      </c>
      <c r="H27" s="16"/>
      <c r="I27" s="5"/>
      <c r="J27" s="17"/>
      <c r="K27" s="17"/>
      <c r="L27" s="7" t="str">
        <f aca="false">IF(I27="","",IF(COUNTIF($C$9:$C$108,I27)=0,"Missing in our books",IF(ABS((N(K27)-N(J27))-(SUMIF($C$9:$C$108,I27,$D$9:$D$108)-SUMIF($C$9:$C$108,I27,$E$9:$E$108)))&lt;1,"Matched","Amount differs")))</f>
        <v/>
      </c>
    </row>
    <row r="28" customFormat="false" ht="15" hidden="false" customHeight="false" outlineLevel="0" collapsed="false">
      <c r="B28" s="16"/>
      <c r="C28" s="5"/>
      <c r="D28" s="17"/>
      <c r="E28" s="17"/>
      <c r="F28" s="7" t="str">
        <f aca="false">IF(C28="","",IF(COUNTIF($I$9:$I$108,C28)=0,"Missing in party books",IF(ABS((N(D28)-N(E28))-(SUMIF($I$9:$I$108,C28,$K$9:$K$108)-SUMIF($I$9:$I$108,C28,$J$9:$J$108)))&lt;1,"Matched","Amount differs")))</f>
        <v/>
      </c>
      <c r="H28" s="16"/>
      <c r="I28" s="5"/>
      <c r="J28" s="17"/>
      <c r="K28" s="17"/>
      <c r="L28" s="7" t="str">
        <f aca="false">IF(I28="","",IF(COUNTIF($C$9:$C$108,I28)=0,"Missing in our books",IF(ABS((N(K28)-N(J28))-(SUMIF($C$9:$C$108,I28,$D$9:$D$108)-SUMIF($C$9:$C$108,I28,$E$9:$E$108)))&lt;1,"Matched","Amount differs")))</f>
        <v/>
      </c>
    </row>
    <row r="29" customFormat="false" ht="15" hidden="false" customHeight="false" outlineLevel="0" collapsed="false">
      <c r="B29" s="16"/>
      <c r="C29" s="5"/>
      <c r="D29" s="17"/>
      <c r="E29" s="17"/>
      <c r="F29" s="7" t="str">
        <f aca="false">IF(C29="","",IF(COUNTIF($I$9:$I$108,C29)=0,"Missing in party books",IF(ABS((N(D29)-N(E29))-(SUMIF($I$9:$I$108,C29,$K$9:$K$108)-SUMIF($I$9:$I$108,C29,$J$9:$J$108)))&lt;1,"Matched","Amount differs")))</f>
        <v/>
      </c>
      <c r="H29" s="16"/>
      <c r="I29" s="5"/>
      <c r="J29" s="17"/>
      <c r="K29" s="17"/>
      <c r="L29" s="7" t="str">
        <f aca="false">IF(I29="","",IF(COUNTIF($C$9:$C$108,I29)=0,"Missing in our books",IF(ABS((N(K29)-N(J29))-(SUMIF($C$9:$C$108,I29,$D$9:$D$108)-SUMIF($C$9:$C$108,I29,$E$9:$E$108)))&lt;1,"Matched","Amount differs")))</f>
        <v/>
      </c>
    </row>
    <row r="30" customFormat="false" ht="15" hidden="false" customHeight="false" outlineLevel="0" collapsed="false">
      <c r="B30" s="16"/>
      <c r="C30" s="5"/>
      <c r="D30" s="17"/>
      <c r="E30" s="17"/>
      <c r="F30" s="7" t="str">
        <f aca="false">IF(C30="","",IF(COUNTIF($I$9:$I$108,C30)=0,"Missing in party books",IF(ABS((N(D30)-N(E30))-(SUMIF($I$9:$I$108,C30,$K$9:$K$108)-SUMIF($I$9:$I$108,C30,$J$9:$J$108)))&lt;1,"Matched","Amount differs")))</f>
        <v/>
      </c>
      <c r="H30" s="16"/>
      <c r="I30" s="5"/>
      <c r="J30" s="17"/>
      <c r="K30" s="17"/>
      <c r="L30" s="7" t="str">
        <f aca="false">IF(I30="","",IF(COUNTIF($C$9:$C$108,I30)=0,"Missing in our books",IF(ABS((N(K30)-N(J30))-(SUMIF($C$9:$C$108,I30,$D$9:$D$108)-SUMIF($C$9:$C$108,I30,$E$9:$E$108)))&lt;1,"Matched","Amount differs")))</f>
        <v/>
      </c>
    </row>
    <row r="31" customFormat="false" ht="15" hidden="false" customHeight="false" outlineLevel="0" collapsed="false">
      <c r="B31" s="16"/>
      <c r="C31" s="5"/>
      <c r="D31" s="17"/>
      <c r="E31" s="17"/>
      <c r="F31" s="7" t="str">
        <f aca="false">IF(C31="","",IF(COUNTIF($I$9:$I$108,C31)=0,"Missing in party books",IF(ABS((N(D31)-N(E31))-(SUMIF($I$9:$I$108,C31,$K$9:$K$108)-SUMIF($I$9:$I$108,C31,$J$9:$J$108)))&lt;1,"Matched","Amount differs")))</f>
        <v/>
      </c>
      <c r="H31" s="16"/>
      <c r="I31" s="5"/>
      <c r="J31" s="17"/>
      <c r="K31" s="17"/>
      <c r="L31" s="7" t="str">
        <f aca="false">IF(I31="","",IF(COUNTIF($C$9:$C$108,I31)=0,"Missing in our books",IF(ABS((N(K31)-N(J31))-(SUMIF($C$9:$C$108,I31,$D$9:$D$108)-SUMIF($C$9:$C$108,I31,$E$9:$E$108)))&lt;1,"Matched","Amount differs")))</f>
        <v/>
      </c>
    </row>
    <row r="32" customFormat="false" ht="15" hidden="false" customHeight="false" outlineLevel="0" collapsed="false">
      <c r="B32" s="16"/>
      <c r="C32" s="5"/>
      <c r="D32" s="17"/>
      <c r="E32" s="17"/>
      <c r="F32" s="7" t="str">
        <f aca="false">IF(C32="","",IF(COUNTIF($I$9:$I$108,C32)=0,"Missing in party books",IF(ABS((N(D32)-N(E32))-(SUMIF($I$9:$I$108,C32,$K$9:$K$108)-SUMIF($I$9:$I$108,C32,$J$9:$J$108)))&lt;1,"Matched","Amount differs")))</f>
        <v/>
      </c>
      <c r="H32" s="16"/>
      <c r="I32" s="5"/>
      <c r="J32" s="17"/>
      <c r="K32" s="17"/>
      <c r="L32" s="7" t="str">
        <f aca="false">IF(I32="","",IF(COUNTIF($C$9:$C$108,I32)=0,"Missing in our books",IF(ABS((N(K32)-N(J32))-(SUMIF($C$9:$C$108,I32,$D$9:$D$108)-SUMIF($C$9:$C$108,I32,$E$9:$E$108)))&lt;1,"Matched","Amount differs")))</f>
        <v/>
      </c>
    </row>
    <row r="33" customFormat="false" ht="15" hidden="false" customHeight="false" outlineLevel="0" collapsed="false">
      <c r="B33" s="16"/>
      <c r="C33" s="5"/>
      <c r="D33" s="17"/>
      <c r="E33" s="17"/>
      <c r="F33" s="7" t="str">
        <f aca="false">IF(C33="","",IF(COUNTIF($I$9:$I$108,C33)=0,"Missing in party books",IF(ABS((N(D33)-N(E33))-(SUMIF($I$9:$I$108,C33,$K$9:$K$108)-SUMIF($I$9:$I$108,C33,$J$9:$J$108)))&lt;1,"Matched","Amount differs")))</f>
        <v/>
      </c>
      <c r="H33" s="16"/>
      <c r="I33" s="5"/>
      <c r="J33" s="17"/>
      <c r="K33" s="17"/>
      <c r="L33" s="7" t="str">
        <f aca="false">IF(I33="","",IF(COUNTIF($C$9:$C$108,I33)=0,"Missing in our books",IF(ABS((N(K33)-N(J33))-(SUMIF($C$9:$C$108,I33,$D$9:$D$108)-SUMIF($C$9:$C$108,I33,$E$9:$E$108)))&lt;1,"Matched","Amount differs")))</f>
        <v/>
      </c>
    </row>
    <row r="34" customFormat="false" ht="15" hidden="false" customHeight="false" outlineLevel="0" collapsed="false">
      <c r="B34" s="16"/>
      <c r="C34" s="5"/>
      <c r="D34" s="17"/>
      <c r="E34" s="17"/>
      <c r="F34" s="7" t="str">
        <f aca="false">IF(C34="","",IF(COUNTIF($I$9:$I$108,C34)=0,"Missing in party books",IF(ABS((N(D34)-N(E34))-(SUMIF($I$9:$I$108,C34,$K$9:$K$108)-SUMIF($I$9:$I$108,C34,$J$9:$J$108)))&lt;1,"Matched","Amount differs")))</f>
        <v/>
      </c>
      <c r="H34" s="16"/>
      <c r="I34" s="5"/>
      <c r="J34" s="17"/>
      <c r="K34" s="17"/>
      <c r="L34" s="7" t="str">
        <f aca="false">IF(I34="","",IF(COUNTIF($C$9:$C$108,I34)=0,"Missing in our books",IF(ABS((N(K34)-N(J34))-(SUMIF($C$9:$C$108,I34,$D$9:$D$108)-SUMIF($C$9:$C$108,I34,$E$9:$E$108)))&lt;1,"Matched","Amount differs")))</f>
        <v/>
      </c>
    </row>
    <row r="35" customFormat="false" ht="15" hidden="false" customHeight="false" outlineLevel="0" collapsed="false">
      <c r="B35" s="16"/>
      <c r="C35" s="5"/>
      <c r="D35" s="17"/>
      <c r="E35" s="17"/>
      <c r="F35" s="7" t="str">
        <f aca="false">IF(C35="","",IF(COUNTIF($I$9:$I$108,C35)=0,"Missing in party books",IF(ABS((N(D35)-N(E35))-(SUMIF($I$9:$I$108,C35,$K$9:$K$108)-SUMIF($I$9:$I$108,C35,$J$9:$J$108)))&lt;1,"Matched","Amount differs")))</f>
        <v/>
      </c>
      <c r="H35" s="16"/>
      <c r="I35" s="5"/>
      <c r="J35" s="17"/>
      <c r="K35" s="17"/>
      <c r="L35" s="7" t="str">
        <f aca="false">IF(I35="","",IF(COUNTIF($C$9:$C$108,I35)=0,"Missing in our books",IF(ABS((N(K35)-N(J35))-(SUMIF($C$9:$C$108,I35,$D$9:$D$108)-SUMIF($C$9:$C$108,I35,$E$9:$E$108)))&lt;1,"Matched","Amount differs")))</f>
        <v/>
      </c>
    </row>
    <row r="36" customFormat="false" ht="15" hidden="false" customHeight="false" outlineLevel="0" collapsed="false">
      <c r="B36" s="16"/>
      <c r="C36" s="5"/>
      <c r="D36" s="17"/>
      <c r="E36" s="17"/>
      <c r="F36" s="7" t="str">
        <f aca="false">IF(C36="","",IF(COUNTIF($I$9:$I$108,C36)=0,"Missing in party books",IF(ABS((N(D36)-N(E36))-(SUMIF($I$9:$I$108,C36,$K$9:$K$108)-SUMIF($I$9:$I$108,C36,$J$9:$J$108)))&lt;1,"Matched","Amount differs")))</f>
        <v/>
      </c>
      <c r="H36" s="16"/>
      <c r="I36" s="5"/>
      <c r="J36" s="17"/>
      <c r="K36" s="17"/>
      <c r="L36" s="7" t="str">
        <f aca="false">IF(I36="","",IF(COUNTIF($C$9:$C$108,I36)=0,"Missing in our books",IF(ABS((N(K36)-N(J36))-(SUMIF($C$9:$C$108,I36,$D$9:$D$108)-SUMIF($C$9:$C$108,I36,$E$9:$E$108)))&lt;1,"Matched","Amount differs")))</f>
        <v/>
      </c>
    </row>
    <row r="37" customFormat="false" ht="15" hidden="false" customHeight="false" outlineLevel="0" collapsed="false">
      <c r="B37" s="16"/>
      <c r="C37" s="5"/>
      <c r="D37" s="17"/>
      <c r="E37" s="17"/>
      <c r="F37" s="7" t="str">
        <f aca="false">IF(C37="","",IF(COUNTIF($I$9:$I$108,C37)=0,"Missing in party books",IF(ABS((N(D37)-N(E37))-(SUMIF($I$9:$I$108,C37,$K$9:$K$108)-SUMIF($I$9:$I$108,C37,$J$9:$J$108)))&lt;1,"Matched","Amount differs")))</f>
        <v/>
      </c>
      <c r="H37" s="16"/>
      <c r="I37" s="5"/>
      <c r="J37" s="17"/>
      <c r="K37" s="17"/>
      <c r="L37" s="7" t="str">
        <f aca="false">IF(I37="","",IF(COUNTIF($C$9:$C$108,I37)=0,"Missing in our books",IF(ABS((N(K37)-N(J37))-(SUMIF($C$9:$C$108,I37,$D$9:$D$108)-SUMIF($C$9:$C$108,I37,$E$9:$E$108)))&lt;1,"Matched","Amount differs")))</f>
        <v/>
      </c>
    </row>
    <row r="38" customFormat="false" ht="15" hidden="false" customHeight="false" outlineLevel="0" collapsed="false">
      <c r="B38" s="16"/>
      <c r="C38" s="5"/>
      <c r="D38" s="17"/>
      <c r="E38" s="17"/>
      <c r="F38" s="7" t="str">
        <f aca="false">IF(C38="","",IF(COUNTIF($I$9:$I$108,C38)=0,"Missing in party books",IF(ABS((N(D38)-N(E38))-(SUMIF($I$9:$I$108,C38,$K$9:$K$108)-SUMIF($I$9:$I$108,C38,$J$9:$J$108)))&lt;1,"Matched","Amount differs")))</f>
        <v/>
      </c>
      <c r="H38" s="16"/>
      <c r="I38" s="5"/>
      <c r="J38" s="17"/>
      <c r="K38" s="17"/>
      <c r="L38" s="7" t="str">
        <f aca="false">IF(I38="","",IF(COUNTIF($C$9:$C$108,I38)=0,"Missing in our books",IF(ABS((N(K38)-N(J38))-(SUMIF($C$9:$C$108,I38,$D$9:$D$108)-SUMIF($C$9:$C$108,I38,$E$9:$E$108)))&lt;1,"Matched","Amount differs")))</f>
        <v/>
      </c>
    </row>
    <row r="39" customFormat="false" ht="15" hidden="false" customHeight="false" outlineLevel="0" collapsed="false">
      <c r="B39" s="16"/>
      <c r="C39" s="5"/>
      <c r="D39" s="17"/>
      <c r="E39" s="17"/>
      <c r="F39" s="7" t="str">
        <f aca="false">IF(C39="","",IF(COUNTIF($I$9:$I$108,C39)=0,"Missing in party books",IF(ABS((N(D39)-N(E39))-(SUMIF($I$9:$I$108,C39,$K$9:$K$108)-SUMIF($I$9:$I$108,C39,$J$9:$J$108)))&lt;1,"Matched","Amount differs")))</f>
        <v/>
      </c>
      <c r="H39" s="16"/>
      <c r="I39" s="5"/>
      <c r="J39" s="17"/>
      <c r="K39" s="17"/>
      <c r="L39" s="7" t="str">
        <f aca="false">IF(I39="","",IF(COUNTIF($C$9:$C$108,I39)=0,"Missing in our books",IF(ABS((N(K39)-N(J39))-(SUMIF($C$9:$C$108,I39,$D$9:$D$108)-SUMIF($C$9:$C$108,I39,$E$9:$E$108)))&lt;1,"Matched","Amount differs")))</f>
        <v/>
      </c>
    </row>
    <row r="40" customFormat="false" ht="15" hidden="false" customHeight="false" outlineLevel="0" collapsed="false">
      <c r="B40" s="16"/>
      <c r="C40" s="5"/>
      <c r="D40" s="17"/>
      <c r="E40" s="17"/>
      <c r="F40" s="7" t="str">
        <f aca="false">IF(C40="","",IF(COUNTIF($I$9:$I$108,C40)=0,"Missing in party books",IF(ABS((N(D40)-N(E40))-(SUMIF($I$9:$I$108,C40,$K$9:$K$108)-SUMIF($I$9:$I$108,C40,$J$9:$J$108)))&lt;1,"Matched","Amount differs")))</f>
        <v/>
      </c>
      <c r="H40" s="16"/>
      <c r="I40" s="5"/>
      <c r="J40" s="17"/>
      <c r="K40" s="17"/>
      <c r="L40" s="7" t="str">
        <f aca="false">IF(I40="","",IF(COUNTIF($C$9:$C$108,I40)=0,"Missing in our books",IF(ABS((N(K40)-N(J40))-(SUMIF($C$9:$C$108,I40,$D$9:$D$108)-SUMIF($C$9:$C$108,I40,$E$9:$E$108)))&lt;1,"Matched","Amount differs")))</f>
        <v/>
      </c>
    </row>
    <row r="41" customFormat="false" ht="15" hidden="false" customHeight="false" outlineLevel="0" collapsed="false">
      <c r="B41" s="16"/>
      <c r="C41" s="5"/>
      <c r="D41" s="17"/>
      <c r="E41" s="17"/>
      <c r="F41" s="7" t="str">
        <f aca="false">IF(C41="","",IF(COUNTIF($I$9:$I$108,C41)=0,"Missing in party books",IF(ABS((N(D41)-N(E41))-(SUMIF($I$9:$I$108,C41,$K$9:$K$108)-SUMIF($I$9:$I$108,C41,$J$9:$J$108)))&lt;1,"Matched","Amount differs")))</f>
        <v/>
      </c>
      <c r="H41" s="16"/>
      <c r="I41" s="5"/>
      <c r="J41" s="17"/>
      <c r="K41" s="17"/>
      <c r="L41" s="7" t="str">
        <f aca="false">IF(I41="","",IF(COUNTIF($C$9:$C$108,I41)=0,"Missing in our books",IF(ABS((N(K41)-N(J41))-(SUMIF($C$9:$C$108,I41,$D$9:$D$108)-SUMIF($C$9:$C$108,I41,$E$9:$E$108)))&lt;1,"Matched","Amount differs")))</f>
        <v/>
      </c>
    </row>
    <row r="42" customFormat="false" ht="15" hidden="false" customHeight="false" outlineLevel="0" collapsed="false">
      <c r="B42" s="16"/>
      <c r="C42" s="5"/>
      <c r="D42" s="17"/>
      <c r="E42" s="17"/>
      <c r="F42" s="7" t="str">
        <f aca="false">IF(C42="","",IF(COUNTIF($I$9:$I$108,C42)=0,"Missing in party books",IF(ABS((N(D42)-N(E42))-(SUMIF($I$9:$I$108,C42,$K$9:$K$108)-SUMIF($I$9:$I$108,C42,$J$9:$J$108)))&lt;1,"Matched","Amount differs")))</f>
        <v/>
      </c>
      <c r="H42" s="16"/>
      <c r="I42" s="5"/>
      <c r="J42" s="17"/>
      <c r="K42" s="17"/>
      <c r="L42" s="7" t="str">
        <f aca="false">IF(I42="","",IF(COUNTIF($C$9:$C$108,I42)=0,"Missing in our books",IF(ABS((N(K42)-N(J42))-(SUMIF($C$9:$C$108,I42,$D$9:$D$108)-SUMIF($C$9:$C$108,I42,$E$9:$E$108)))&lt;1,"Matched","Amount differs")))</f>
        <v/>
      </c>
    </row>
    <row r="43" customFormat="false" ht="15" hidden="false" customHeight="false" outlineLevel="0" collapsed="false">
      <c r="B43" s="16"/>
      <c r="C43" s="5"/>
      <c r="D43" s="17"/>
      <c r="E43" s="17"/>
      <c r="F43" s="7" t="str">
        <f aca="false">IF(C43="","",IF(COUNTIF($I$9:$I$108,C43)=0,"Missing in party books",IF(ABS((N(D43)-N(E43))-(SUMIF($I$9:$I$108,C43,$K$9:$K$108)-SUMIF($I$9:$I$108,C43,$J$9:$J$108)))&lt;1,"Matched","Amount differs")))</f>
        <v/>
      </c>
      <c r="H43" s="16"/>
      <c r="I43" s="5"/>
      <c r="J43" s="17"/>
      <c r="K43" s="17"/>
      <c r="L43" s="7" t="str">
        <f aca="false">IF(I43="","",IF(COUNTIF($C$9:$C$108,I43)=0,"Missing in our books",IF(ABS((N(K43)-N(J43))-(SUMIF($C$9:$C$108,I43,$D$9:$D$108)-SUMIF($C$9:$C$108,I43,$E$9:$E$108)))&lt;1,"Matched","Amount differs")))</f>
        <v/>
      </c>
    </row>
    <row r="44" customFormat="false" ht="15" hidden="false" customHeight="false" outlineLevel="0" collapsed="false">
      <c r="B44" s="16"/>
      <c r="C44" s="5"/>
      <c r="D44" s="17"/>
      <c r="E44" s="17"/>
      <c r="F44" s="7" t="str">
        <f aca="false">IF(C44="","",IF(COUNTIF($I$9:$I$108,C44)=0,"Missing in party books",IF(ABS((N(D44)-N(E44))-(SUMIF($I$9:$I$108,C44,$K$9:$K$108)-SUMIF($I$9:$I$108,C44,$J$9:$J$108)))&lt;1,"Matched","Amount differs")))</f>
        <v/>
      </c>
      <c r="H44" s="16"/>
      <c r="I44" s="5"/>
      <c r="J44" s="17"/>
      <c r="K44" s="17"/>
      <c r="L44" s="7" t="str">
        <f aca="false">IF(I44="","",IF(COUNTIF($C$9:$C$108,I44)=0,"Missing in our books",IF(ABS((N(K44)-N(J44))-(SUMIF($C$9:$C$108,I44,$D$9:$D$108)-SUMIF($C$9:$C$108,I44,$E$9:$E$108)))&lt;1,"Matched","Amount differs")))</f>
        <v/>
      </c>
    </row>
    <row r="45" customFormat="false" ht="15" hidden="false" customHeight="false" outlineLevel="0" collapsed="false">
      <c r="B45" s="16"/>
      <c r="C45" s="5"/>
      <c r="D45" s="17"/>
      <c r="E45" s="17"/>
      <c r="F45" s="7" t="str">
        <f aca="false">IF(C45="","",IF(COUNTIF($I$9:$I$108,C45)=0,"Missing in party books",IF(ABS((N(D45)-N(E45))-(SUMIF($I$9:$I$108,C45,$K$9:$K$108)-SUMIF($I$9:$I$108,C45,$J$9:$J$108)))&lt;1,"Matched","Amount differs")))</f>
        <v/>
      </c>
      <c r="H45" s="16"/>
      <c r="I45" s="5"/>
      <c r="J45" s="17"/>
      <c r="K45" s="17"/>
      <c r="L45" s="7" t="str">
        <f aca="false">IF(I45="","",IF(COUNTIF($C$9:$C$108,I45)=0,"Missing in our books",IF(ABS((N(K45)-N(J45))-(SUMIF($C$9:$C$108,I45,$D$9:$D$108)-SUMIF($C$9:$C$108,I45,$E$9:$E$108)))&lt;1,"Matched","Amount differs")))</f>
        <v/>
      </c>
    </row>
    <row r="46" customFormat="false" ht="15" hidden="false" customHeight="false" outlineLevel="0" collapsed="false">
      <c r="B46" s="16"/>
      <c r="C46" s="5"/>
      <c r="D46" s="17"/>
      <c r="E46" s="17"/>
      <c r="F46" s="7" t="str">
        <f aca="false">IF(C46="","",IF(COUNTIF($I$9:$I$108,C46)=0,"Missing in party books",IF(ABS((N(D46)-N(E46))-(SUMIF($I$9:$I$108,C46,$K$9:$K$108)-SUMIF($I$9:$I$108,C46,$J$9:$J$108)))&lt;1,"Matched","Amount differs")))</f>
        <v/>
      </c>
      <c r="H46" s="16"/>
      <c r="I46" s="5"/>
      <c r="J46" s="17"/>
      <c r="K46" s="17"/>
      <c r="L46" s="7" t="str">
        <f aca="false">IF(I46="","",IF(COUNTIF($C$9:$C$108,I46)=0,"Missing in our books",IF(ABS((N(K46)-N(J46))-(SUMIF($C$9:$C$108,I46,$D$9:$D$108)-SUMIF($C$9:$C$108,I46,$E$9:$E$108)))&lt;1,"Matched","Amount differs")))</f>
        <v/>
      </c>
    </row>
    <row r="47" customFormat="false" ht="15" hidden="false" customHeight="false" outlineLevel="0" collapsed="false">
      <c r="B47" s="16"/>
      <c r="C47" s="5"/>
      <c r="D47" s="17"/>
      <c r="E47" s="17"/>
      <c r="F47" s="7" t="str">
        <f aca="false">IF(C47="","",IF(COUNTIF($I$9:$I$108,C47)=0,"Missing in party books",IF(ABS((N(D47)-N(E47))-(SUMIF($I$9:$I$108,C47,$K$9:$K$108)-SUMIF($I$9:$I$108,C47,$J$9:$J$108)))&lt;1,"Matched","Amount differs")))</f>
        <v/>
      </c>
      <c r="H47" s="16"/>
      <c r="I47" s="5"/>
      <c r="J47" s="17"/>
      <c r="K47" s="17"/>
      <c r="L47" s="7" t="str">
        <f aca="false">IF(I47="","",IF(COUNTIF($C$9:$C$108,I47)=0,"Missing in our books",IF(ABS((N(K47)-N(J47))-(SUMIF($C$9:$C$108,I47,$D$9:$D$108)-SUMIF($C$9:$C$108,I47,$E$9:$E$108)))&lt;1,"Matched","Amount differs")))</f>
        <v/>
      </c>
    </row>
    <row r="48" customFormat="false" ht="15" hidden="false" customHeight="false" outlineLevel="0" collapsed="false">
      <c r="B48" s="16"/>
      <c r="C48" s="5"/>
      <c r="D48" s="17"/>
      <c r="E48" s="17"/>
      <c r="F48" s="7" t="str">
        <f aca="false">IF(C48="","",IF(COUNTIF($I$9:$I$108,C48)=0,"Missing in party books",IF(ABS((N(D48)-N(E48))-(SUMIF($I$9:$I$108,C48,$K$9:$K$108)-SUMIF($I$9:$I$108,C48,$J$9:$J$108)))&lt;1,"Matched","Amount differs")))</f>
        <v/>
      </c>
      <c r="H48" s="16"/>
      <c r="I48" s="5"/>
      <c r="J48" s="17"/>
      <c r="K48" s="17"/>
      <c r="L48" s="7" t="str">
        <f aca="false">IF(I48="","",IF(COUNTIF($C$9:$C$108,I48)=0,"Missing in our books",IF(ABS((N(K48)-N(J48))-(SUMIF($C$9:$C$108,I48,$D$9:$D$108)-SUMIF($C$9:$C$108,I48,$E$9:$E$108)))&lt;1,"Matched","Amount differs")))</f>
        <v/>
      </c>
    </row>
    <row r="49" customFormat="false" ht="15" hidden="false" customHeight="false" outlineLevel="0" collapsed="false">
      <c r="B49" s="16"/>
      <c r="C49" s="5"/>
      <c r="D49" s="17"/>
      <c r="E49" s="17"/>
      <c r="F49" s="7" t="str">
        <f aca="false">IF(C49="","",IF(COUNTIF($I$9:$I$108,C49)=0,"Missing in party books",IF(ABS((N(D49)-N(E49))-(SUMIF($I$9:$I$108,C49,$K$9:$K$108)-SUMIF($I$9:$I$108,C49,$J$9:$J$108)))&lt;1,"Matched","Amount differs")))</f>
        <v/>
      </c>
      <c r="H49" s="16"/>
      <c r="I49" s="5"/>
      <c r="J49" s="17"/>
      <c r="K49" s="17"/>
      <c r="L49" s="7" t="str">
        <f aca="false">IF(I49="","",IF(COUNTIF($C$9:$C$108,I49)=0,"Missing in our books",IF(ABS((N(K49)-N(J49))-(SUMIF($C$9:$C$108,I49,$D$9:$D$108)-SUMIF($C$9:$C$108,I49,$E$9:$E$108)))&lt;1,"Matched","Amount differs")))</f>
        <v/>
      </c>
    </row>
    <row r="50" customFormat="false" ht="15" hidden="false" customHeight="false" outlineLevel="0" collapsed="false">
      <c r="B50" s="16"/>
      <c r="C50" s="5"/>
      <c r="D50" s="17"/>
      <c r="E50" s="17"/>
      <c r="F50" s="7" t="str">
        <f aca="false">IF(C50="","",IF(COUNTIF($I$9:$I$108,C50)=0,"Missing in party books",IF(ABS((N(D50)-N(E50))-(SUMIF($I$9:$I$108,C50,$K$9:$K$108)-SUMIF($I$9:$I$108,C50,$J$9:$J$108)))&lt;1,"Matched","Amount differs")))</f>
        <v/>
      </c>
      <c r="H50" s="16"/>
      <c r="I50" s="5"/>
      <c r="J50" s="17"/>
      <c r="K50" s="17"/>
      <c r="L50" s="7" t="str">
        <f aca="false">IF(I50="","",IF(COUNTIF($C$9:$C$108,I50)=0,"Missing in our books",IF(ABS((N(K50)-N(J50))-(SUMIF($C$9:$C$108,I50,$D$9:$D$108)-SUMIF($C$9:$C$108,I50,$E$9:$E$108)))&lt;1,"Matched","Amount differs")))</f>
        <v/>
      </c>
    </row>
    <row r="51" customFormat="false" ht="15" hidden="false" customHeight="false" outlineLevel="0" collapsed="false">
      <c r="B51" s="16"/>
      <c r="C51" s="5"/>
      <c r="D51" s="17"/>
      <c r="E51" s="17"/>
      <c r="F51" s="7" t="str">
        <f aca="false">IF(C51="","",IF(COUNTIF($I$9:$I$108,C51)=0,"Missing in party books",IF(ABS((N(D51)-N(E51))-(SUMIF($I$9:$I$108,C51,$K$9:$K$108)-SUMIF($I$9:$I$108,C51,$J$9:$J$108)))&lt;1,"Matched","Amount differs")))</f>
        <v/>
      </c>
      <c r="H51" s="16"/>
      <c r="I51" s="5"/>
      <c r="J51" s="17"/>
      <c r="K51" s="17"/>
      <c r="L51" s="7" t="str">
        <f aca="false">IF(I51="","",IF(COUNTIF($C$9:$C$108,I51)=0,"Missing in our books",IF(ABS((N(K51)-N(J51))-(SUMIF($C$9:$C$108,I51,$D$9:$D$108)-SUMIF($C$9:$C$108,I51,$E$9:$E$108)))&lt;1,"Matched","Amount differs")))</f>
        <v/>
      </c>
    </row>
    <row r="52" customFormat="false" ht="15" hidden="false" customHeight="false" outlineLevel="0" collapsed="false">
      <c r="B52" s="16"/>
      <c r="C52" s="5"/>
      <c r="D52" s="17"/>
      <c r="E52" s="17"/>
      <c r="F52" s="7" t="str">
        <f aca="false">IF(C52="","",IF(COUNTIF($I$9:$I$108,C52)=0,"Missing in party books",IF(ABS((N(D52)-N(E52))-(SUMIF($I$9:$I$108,C52,$K$9:$K$108)-SUMIF($I$9:$I$108,C52,$J$9:$J$108)))&lt;1,"Matched","Amount differs")))</f>
        <v/>
      </c>
      <c r="H52" s="16"/>
      <c r="I52" s="5"/>
      <c r="J52" s="17"/>
      <c r="K52" s="17"/>
      <c r="L52" s="7" t="str">
        <f aca="false">IF(I52="","",IF(COUNTIF($C$9:$C$108,I52)=0,"Missing in our books",IF(ABS((N(K52)-N(J52))-(SUMIF($C$9:$C$108,I52,$D$9:$D$108)-SUMIF($C$9:$C$108,I52,$E$9:$E$108)))&lt;1,"Matched","Amount differs")))</f>
        <v/>
      </c>
    </row>
    <row r="53" customFormat="false" ht="15" hidden="false" customHeight="false" outlineLevel="0" collapsed="false">
      <c r="B53" s="16"/>
      <c r="C53" s="5"/>
      <c r="D53" s="17"/>
      <c r="E53" s="17"/>
      <c r="F53" s="7" t="str">
        <f aca="false">IF(C53="","",IF(COUNTIF($I$9:$I$108,C53)=0,"Missing in party books",IF(ABS((N(D53)-N(E53))-(SUMIF($I$9:$I$108,C53,$K$9:$K$108)-SUMIF($I$9:$I$108,C53,$J$9:$J$108)))&lt;1,"Matched","Amount differs")))</f>
        <v/>
      </c>
      <c r="H53" s="16"/>
      <c r="I53" s="5"/>
      <c r="J53" s="17"/>
      <c r="K53" s="17"/>
      <c r="L53" s="7" t="str">
        <f aca="false">IF(I53="","",IF(COUNTIF($C$9:$C$108,I53)=0,"Missing in our books",IF(ABS((N(K53)-N(J53))-(SUMIF($C$9:$C$108,I53,$D$9:$D$108)-SUMIF($C$9:$C$108,I53,$E$9:$E$108)))&lt;1,"Matched","Amount differs")))</f>
        <v/>
      </c>
    </row>
    <row r="54" customFormat="false" ht="15" hidden="false" customHeight="false" outlineLevel="0" collapsed="false">
      <c r="B54" s="16"/>
      <c r="C54" s="5"/>
      <c r="D54" s="17"/>
      <c r="E54" s="17"/>
      <c r="F54" s="7" t="str">
        <f aca="false">IF(C54="","",IF(COUNTIF($I$9:$I$108,C54)=0,"Missing in party books",IF(ABS((N(D54)-N(E54))-(SUMIF($I$9:$I$108,C54,$K$9:$K$108)-SUMIF($I$9:$I$108,C54,$J$9:$J$108)))&lt;1,"Matched","Amount differs")))</f>
        <v/>
      </c>
      <c r="H54" s="16"/>
      <c r="I54" s="5"/>
      <c r="J54" s="17"/>
      <c r="K54" s="17"/>
      <c r="L54" s="7" t="str">
        <f aca="false">IF(I54="","",IF(COUNTIF($C$9:$C$108,I54)=0,"Missing in our books",IF(ABS((N(K54)-N(J54))-(SUMIF($C$9:$C$108,I54,$D$9:$D$108)-SUMIF($C$9:$C$108,I54,$E$9:$E$108)))&lt;1,"Matched","Amount differs")))</f>
        <v/>
      </c>
    </row>
    <row r="55" customFormat="false" ht="15" hidden="false" customHeight="false" outlineLevel="0" collapsed="false">
      <c r="B55" s="16"/>
      <c r="C55" s="5"/>
      <c r="D55" s="17"/>
      <c r="E55" s="17"/>
      <c r="F55" s="7" t="str">
        <f aca="false">IF(C55="","",IF(COUNTIF($I$9:$I$108,C55)=0,"Missing in party books",IF(ABS((N(D55)-N(E55))-(SUMIF($I$9:$I$108,C55,$K$9:$K$108)-SUMIF($I$9:$I$108,C55,$J$9:$J$108)))&lt;1,"Matched","Amount differs")))</f>
        <v/>
      </c>
      <c r="H55" s="16"/>
      <c r="I55" s="5"/>
      <c r="J55" s="17"/>
      <c r="K55" s="17"/>
      <c r="L55" s="7" t="str">
        <f aca="false">IF(I55="","",IF(COUNTIF($C$9:$C$108,I55)=0,"Missing in our books",IF(ABS((N(K55)-N(J55))-(SUMIF($C$9:$C$108,I55,$D$9:$D$108)-SUMIF($C$9:$C$108,I55,$E$9:$E$108)))&lt;1,"Matched","Amount differs")))</f>
        <v/>
      </c>
    </row>
    <row r="56" customFormat="false" ht="15" hidden="false" customHeight="false" outlineLevel="0" collapsed="false">
      <c r="B56" s="16"/>
      <c r="C56" s="5"/>
      <c r="D56" s="17"/>
      <c r="E56" s="17"/>
      <c r="F56" s="7" t="str">
        <f aca="false">IF(C56="","",IF(COUNTIF($I$9:$I$108,C56)=0,"Missing in party books",IF(ABS((N(D56)-N(E56))-(SUMIF($I$9:$I$108,C56,$K$9:$K$108)-SUMIF($I$9:$I$108,C56,$J$9:$J$108)))&lt;1,"Matched","Amount differs")))</f>
        <v/>
      </c>
      <c r="H56" s="16"/>
      <c r="I56" s="5"/>
      <c r="J56" s="17"/>
      <c r="K56" s="17"/>
      <c r="L56" s="7" t="str">
        <f aca="false">IF(I56="","",IF(COUNTIF($C$9:$C$108,I56)=0,"Missing in our books",IF(ABS((N(K56)-N(J56))-(SUMIF($C$9:$C$108,I56,$D$9:$D$108)-SUMIF($C$9:$C$108,I56,$E$9:$E$108)))&lt;1,"Matched","Amount differs")))</f>
        <v/>
      </c>
    </row>
    <row r="57" customFormat="false" ht="15" hidden="false" customHeight="false" outlineLevel="0" collapsed="false">
      <c r="B57" s="16"/>
      <c r="C57" s="5"/>
      <c r="D57" s="17"/>
      <c r="E57" s="17"/>
      <c r="F57" s="7" t="str">
        <f aca="false">IF(C57="","",IF(COUNTIF($I$9:$I$108,C57)=0,"Missing in party books",IF(ABS((N(D57)-N(E57))-(SUMIF($I$9:$I$108,C57,$K$9:$K$108)-SUMIF($I$9:$I$108,C57,$J$9:$J$108)))&lt;1,"Matched","Amount differs")))</f>
        <v/>
      </c>
      <c r="H57" s="16"/>
      <c r="I57" s="5"/>
      <c r="J57" s="17"/>
      <c r="K57" s="17"/>
      <c r="L57" s="7" t="str">
        <f aca="false">IF(I57="","",IF(COUNTIF($C$9:$C$108,I57)=0,"Missing in our books",IF(ABS((N(K57)-N(J57))-(SUMIF($C$9:$C$108,I57,$D$9:$D$108)-SUMIF($C$9:$C$108,I57,$E$9:$E$108)))&lt;1,"Matched","Amount differs")))</f>
        <v/>
      </c>
    </row>
    <row r="58" customFormat="false" ht="15" hidden="false" customHeight="false" outlineLevel="0" collapsed="false">
      <c r="B58" s="16"/>
      <c r="C58" s="5"/>
      <c r="D58" s="17"/>
      <c r="E58" s="17"/>
      <c r="F58" s="7" t="str">
        <f aca="false">IF(C58="","",IF(COUNTIF($I$9:$I$108,C58)=0,"Missing in party books",IF(ABS((N(D58)-N(E58))-(SUMIF($I$9:$I$108,C58,$K$9:$K$108)-SUMIF($I$9:$I$108,C58,$J$9:$J$108)))&lt;1,"Matched","Amount differs")))</f>
        <v/>
      </c>
      <c r="H58" s="16"/>
      <c r="I58" s="5"/>
      <c r="J58" s="17"/>
      <c r="K58" s="17"/>
      <c r="L58" s="7" t="str">
        <f aca="false">IF(I58="","",IF(COUNTIF($C$9:$C$108,I58)=0,"Missing in our books",IF(ABS((N(K58)-N(J58))-(SUMIF($C$9:$C$108,I58,$D$9:$D$108)-SUMIF($C$9:$C$108,I58,$E$9:$E$108)))&lt;1,"Matched","Amount differs")))</f>
        <v/>
      </c>
    </row>
    <row r="59" customFormat="false" ht="15" hidden="false" customHeight="false" outlineLevel="0" collapsed="false">
      <c r="B59" s="16"/>
      <c r="C59" s="5"/>
      <c r="D59" s="17"/>
      <c r="E59" s="17"/>
      <c r="F59" s="7" t="str">
        <f aca="false">IF(C59="","",IF(COUNTIF($I$9:$I$108,C59)=0,"Missing in party books",IF(ABS((N(D59)-N(E59))-(SUMIF($I$9:$I$108,C59,$K$9:$K$108)-SUMIF($I$9:$I$108,C59,$J$9:$J$108)))&lt;1,"Matched","Amount differs")))</f>
        <v/>
      </c>
      <c r="H59" s="16"/>
      <c r="I59" s="5"/>
      <c r="J59" s="17"/>
      <c r="K59" s="17"/>
      <c r="L59" s="7" t="str">
        <f aca="false">IF(I59="","",IF(COUNTIF($C$9:$C$108,I59)=0,"Missing in our books",IF(ABS((N(K59)-N(J59))-(SUMIF($C$9:$C$108,I59,$D$9:$D$108)-SUMIF($C$9:$C$108,I59,$E$9:$E$108)))&lt;1,"Matched","Amount differs")))</f>
        <v/>
      </c>
    </row>
    <row r="60" customFormat="false" ht="15" hidden="false" customHeight="false" outlineLevel="0" collapsed="false">
      <c r="B60" s="16"/>
      <c r="C60" s="5"/>
      <c r="D60" s="17"/>
      <c r="E60" s="17"/>
      <c r="F60" s="7" t="str">
        <f aca="false">IF(C60="","",IF(COUNTIF($I$9:$I$108,C60)=0,"Missing in party books",IF(ABS((N(D60)-N(E60))-(SUMIF($I$9:$I$108,C60,$K$9:$K$108)-SUMIF($I$9:$I$108,C60,$J$9:$J$108)))&lt;1,"Matched","Amount differs")))</f>
        <v/>
      </c>
      <c r="H60" s="16"/>
      <c r="I60" s="5"/>
      <c r="J60" s="17"/>
      <c r="K60" s="17"/>
      <c r="L60" s="7" t="str">
        <f aca="false">IF(I60="","",IF(COUNTIF($C$9:$C$108,I60)=0,"Missing in our books",IF(ABS((N(K60)-N(J60))-(SUMIF($C$9:$C$108,I60,$D$9:$D$108)-SUMIF($C$9:$C$108,I60,$E$9:$E$108)))&lt;1,"Matched","Amount differs")))</f>
        <v/>
      </c>
    </row>
    <row r="61" customFormat="false" ht="15" hidden="false" customHeight="false" outlineLevel="0" collapsed="false">
      <c r="B61" s="16"/>
      <c r="C61" s="5"/>
      <c r="D61" s="17"/>
      <c r="E61" s="17"/>
      <c r="F61" s="7" t="str">
        <f aca="false">IF(C61="","",IF(COUNTIF($I$9:$I$108,C61)=0,"Missing in party books",IF(ABS((N(D61)-N(E61))-(SUMIF($I$9:$I$108,C61,$K$9:$K$108)-SUMIF($I$9:$I$108,C61,$J$9:$J$108)))&lt;1,"Matched","Amount differs")))</f>
        <v/>
      </c>
      <c r="H61" s="16"/>
      <c r="I61" s="5"/>
      <c r="J61" s="17"/>
      <c r="K61" s="17"/>
      <c r="L61" s="7" t="str">
        <f aca="false">IF(I61="","",IF(COUNTIF($C$9:$C$108,I61)=0,"Missing in our books",IF(ABS((N(K61)-N(J61))-(SUMIF($C$9:$C$108,I61,$D$9:$D$108)-SUMIF($C$9:$C$108,I61,$E$9:$E$108)))&lt;1,"Matched","Amount differs")))</f>
        <v/>
      </c>
    </row>
    <row r="62" customFormat="false" ht="15" hidden="false" customHeight="false" outlineLevel="0" collapsed="false">
      <c r="B62" s="16"/>
      <c r="C62" s="5"/>
      <c r="D62" s="17"/>
      <c r="E62" s="17"/>
      <c r="F62" s="7" t="str">
        <f aca="false">IF(C62="","",IF(COUNTIF($I$9:$I$108,C62)=0,"Missing in party books",IF(ABS((N(D62)-N(E62))-(SUMIF($I$9:$I$108,C62,$K$9:$K$108)-SUMIF($I$9:$I$108,C62,$J$9:$J$108)))&lt;1,"Matched","Amount differs")))</f>
        <v/>
      </c>
      <c r="H62" s="16"/>
      <c r="I62" s="5"/>
      <c r="J62" s="17"/>
      <c r="K62" s="17"/>
      <c r="L62" s="7" t="str">
        <f aca="false">IF(I62="","",IF(COUNTIF($C$9:$C$108,I62)=0,"Missing in our books",IF(ABS((N(K62)-N(J62))-(SUMIF($C$9:$C$108,I62,$D$9:$D$108)-SUMIF($C$9:$C$108,I62,$E$9:$E$108)))&lt;1,"Matched","Amount differs")))</f>
        <v/>
      </c>
    </row>
    <row r="63" customFormat="false" ht="15" hidden="false" customHeight="false" outlineLevel="0" collapsed="false">
      <c r="B63" s="16"/>
      <c r="C63" s="5"/>
      <c r="D63" s="17"/>
      <c r="E63" s="17"/>
      <c r="F63" s="7" t="str">
        <f aca="false">IF(C63="","",IF(COUNTIF($I$9:$I$108,C63)=0,"Missing in party books",IF(ABS((N(D63)-N(E63))-(SUMIF($I$9:$I$108,C63,$K$9:$K$108)-SUMIF($I$9:$I$108,C63,$J$9:$J$108)))&lt;1,"Matched","Amount differs")))</f>
        <v/>
      </c>
      <c r="H63" s="16"/>
      <c r="I63" s="5"/>
      <c r="J63" s="17"/>
      <c r="K63" s="17"/>
      <c r="L63" s="7" t="str">
        <f aca="false">IF(I63="","",IF(COUNTIF($C$9:$C$108,I63)=0,"Missing in our books",IF(ABS((N(K63)-N(J63))-(SUMIF($C$9:$C$108,I63,$D$9:$D$108)-SUMIF($C$9:$C$108,I63,$E$9:$E$108)))&lt;1,"Matched","Amount differs")))</f>
        <v/>
      </c>
    </row>
    <row r="64" customFormat="false" ht="15" hidden="false" customHeight="false" outlineLevel="0" collapsed="false">
      <c r="B64" s="16"/>
      <c r="C64" s="5"/>
      <c r="D64" s="17"/>
      <c r="E64" s="17"/>
      <c r="F64" s="7" t="str">
        <f aca="false">IF(C64="","",IF(COUNTIF($I$9:$I$108,C64)=0,"Missing in party books",IF(ABS((N(D64)-N(E64))-(SUMIF($I$9:$I$108,C64,$K$9:$K$108)-SUMIF($I$9:$I$108,C64,$J$9:$J$108)))&lt;1,"Matched","Amount differs")))</f>
        <v/>
      </c>
      <c r="H64" s="16"/>
      <c r="I64" s="5"/>
      <c r="J64" s="17"/>
      <c r="K64" s="17"/>
      <c r="L64" s="7" t="str">
        <f aca="false">IF(I64="","",IF(COUNTIF($C$9:$C$108,I64)=0,"Missing in our books",IF(ABS((N(K64)-N(J64))-(SUMIF($C$9:$C$108,I64,$D$9:$D$108)-SUMIF($C$9:$C$108,I64,$E$9:$E$108)))&lt;1,"Matched","Amount differs")))</f>
        <v/>
      </c>
    </row>
    <row r="65" customFormat="false" ht="15" hidden="false" customHeight="false" outlineLevel="0" collapsed="false">
      <c r="B65" s="16"/>
      <c r="C65" s="5"/>
      <c r="D65" s="17"/>
      <c r="E65" s="17"/>
      <c r="F65" s="7" t="str">
        <f aca="false">IF(C65="","",IF(COUNTIF($I$9:$I$108,C65)=0,"Missing in party books",IF(ABS((N(D65)-N(E65))-(SUMIF($I$9:$I$108,C65,$K$9:$K$108)-SUMIF($I$9:$I$108,C65,$J$9:$J$108)))&lt;1,"Matched","Amount differs")))</f>
        <v/>
      </c>
      <c r="H65" s="16"/>
      <c r="I65" s="5"/>
      <c r="J65" s="17"/>
      <c r="K65" s="17"/>
      <c r="L65" s="7" t="str">
        <f aca="false">IF(I65="","",IF(COUNTIF($C$9:$C$108,I65)=0,"Missing in our books",IF(ABS((N(K65)-N(J65))-(SUMIF($C$9:$C$108,I65,$D$9:$D$108)-SUMIF($C$9:$C$108,I65,$E$9:$E$108)))&lt;1,"Matched","Amount differs")))</f>
        <v/>
      </c>
    </row>
    <row r="66" customFormat="false" ht="15" hidden="false" customHeight="false" outlineLevel="0" collapsed="false">
      <c r="B66" s="16"/>
      <c r="C66" s="5"/>
      <c r="D66" s="17"/>
      <c r="E66" s="17"/>
      <c r="F66" s="7" t="str">
        <f aca="false">IF(C66="","",IF(COUNTIF($I$9:$I$108,C66)=0,"Missing in party books",IF(ABS((N(D66)-N(E66))-(SUMIF($I$9:$I$108,C66,$K$9:$K$108)-SUMIF($I$9:$I$108,C66,$J$9:$J$108)))&lt;1,"Matched","Amount differs")))</f>
        <v/>
      </c>
      <c r="H66" s="16"/>
      <c r="I66" s="5"/>
      <c r="J66" s="17"/>
      <c r="K66" s="17"/>
      <c r="L66" s="7" t="str">
        <f aca="false">IF(I66="","",IF(COUNTIF($C$9:$C$108,I66)=0,"Missing in our books",IF(ABS((N(K66)-N(J66))-(SUMIF($C$9:$C$108,I66,$D$9:$D$108)-SUMIF($C$9:$C$108,I66,$E$9:$E$108)))&lt;1,"Matched","Amount differs")))</f>
        <v/>
      </c>
    </row>
    <row r="67" customFormat="false" ht="15" hidden="false" customHeight="false" outlineLevel="0" collapsed="false">
      <c r="B67" s="16"/>
      <c r="C67" s="5"/>
      <c r="D67" s="17"/>
      <c r="E67" s="17"/>
      <c r="F67" s="7" t="str">
        <f aca="false">IF(C67="","",IF(COUNTIF($I$9:$I$108,C67)=0,"Missing in party books",IF(ABS((N(D67)-N(E67))-(SUMIF($I$9:$I$108,C67,$K$9:$K$108)-SUMIF($I$9:$I$108,C67,$J$9:$J$108)))&lt;1,"Matched","Amount differs")))</f>
        <v/>
      </c>
      <c r="H67" s="16"/>
      <c r="I67" s="5"/>
      <c r="J67" s="17"/>
      <c r="K67" s="17"/>
      <c r="L67" s="7" t="str">
        <f aca="false">IF(I67="","",IF(COUNTIF($C$9:$C$108,I67)=0,"Missing in our books",IF(ABS((N(K67)-N(J67))-(SUMIF($C$9:$C$108,I67,$D$9:$D$108)-SUMIF($C$9:$C$108,I67,$E$9:$E$108)))&lt;1,"Matched","Amount differs")))</f>
        <v/>
      </c>
    </row>
    <row r="68" customFormat="false" ht="15" hidden="false" customHeight="false" outlineLevel="0" collapsed="false">
      <c r="B68" s="16"/>
      <c r="C68" s="5"/>
      <c r="D68" s="17"/>
      <c r="E68" s="17"/>
      <c r="F68" s="7" t="str">
        <f aca="false">IF(C68="","",IF(COUNTIF($I$9:$I$108,C68)=0,"Missing in party books",IF(ABS((N(D68)-N(E68))-(SUMIF($I$9:$I$108,C68,$K$9:$K$108)-SUMIF($I$9:$I$108,C68,$J$9:$J$108)))&lt;1,"Matched","Amount differs")))</f>
        <v/>
      </c>
      <c r="H68" s="16"/>
      <c r="I68" s="5"/>
      <c r="J68" s="17"/>
      <c r="K68" s="17"/>
      <c r="L68" s="7" t="str">
        <f aca="false">IF(I68="","",IF(COUNTIF($C$9:$C$108,I68)=0,"Missing in our books",IF(ABS((N(K68)-N(J68))-(SUMIF($C$9:$C$108,I68,$D$9:$D$108)-SUMIF($C$9:$C$108,I68,$E$9:$E$108)))&lt;1,"Matched","Amount differs")))</f>
        <v/>
      </c>
    </row>
    <row r="69" customFormat="false" ht="15" hidden="false" customHeight="false" outlineLevel="0" collapsed="false">
      <c r="B69" s="16"/>
      <c r="C69" s="5"/>
      <c r="D69" s="17"/>
      <c r="E69" s="17"/>
      <c r="F69" s="7" t="str">
        <f aca="false">IF(C69="","",IF(COUNTIF($I$9:$I$108,C69)=0,"Missing in party books",IF(ABS((N(D69)-N(E69))-(SUMIF($I$9:$I$108,C69,$K$9:$K$108)-SUMIF($I$9:$I$108,C69,$J$9:$J$108)))&lt;1,"Matched","Amount differs")))</f>
        <v/>
      </c>
      <c r="H69" s="16"/>
      <c r="I69" s="5"/>
      <c r="J69" s="17"/>
      <c r="K69" s="17"/>
      <c r="L69" s="7" t="str">
        <f aca="false">IF(I69="","",IF(COUNTIF($C$9:$C$108,I69)=0,"Missing in our books",IF(ABS((N(K69)-N(J69))-(SUMIF($C$9:$C$108,I69,$D$9:$D$108)-SUMIF($C$9:$C$108,I69,$E$9:$E$108)))&lt;1,"Matched","Amount differs")))</f>
        <v/>
      </c>
    </row>
    <row r="70" customFormat="false" ht="15" hidden="false" customHeight="false" outlineLevel="0" collapsed="false">
      <c r="B70" s="16"/>
      <c r="C70" s="5"/>
      <c r="D70" s="17"/>
      <c r="E70" s="17"/>
      <c r="F70" s="7" t="str">
        <f aca="false">IF(C70="","",IF(COUNTIF($I$9:$I$108,C70)=0,"Missing in party books",IF(ABS((N(D70)-N(E70))-(SUMIF($I$9:$I$108,C70,$K$9:$K$108)-SUMIF($I$9:$I$108,C70,$J$9:$J$108)))&lt;1,"Matched","Amount differs")))</f>
        <v/>
      </c>
      <c r="H70" s="16"/>
      <c r="I70" s="5"/>
      <c r="J70" s="17"/>
      <c r="K70" s="17"/>
      <c r="L70" s="7" t="str">
        <f aca="false">IF(I70="","",IF(COUNTIF($C$9:$C$108,I70)=0,"Missing in our books",IF(ABS((N(K70)-N(J70))-(SUMIF($C$9:$C$108,I70,$D$9:$D$108)-SUMIF($C$9:$C$108,I70,$E$9:$E$108)))&lt;1,"Matched","Amount differs")))</f>
        <v/>
      </c>
    </row>
    <row r="71" customFormat="false" ht="15" hidden="false" customHeight="false" outlineLevel="0" collapsed="false">
      <c r="B71" s="16"/>
      <c r="C71" s="5"/>
      <c r="D71" s="17"/>
      <c r="E71" s="17"/>
      <c r="F71" s="7" t="str">
        <f aca="false">IF(C71="","",IF(COUNTIF($I$9:$I$108,C71)=0,"Missing in party books",IF(ABS((N(D71)-N(E71))-(SUMIF($I$9:$I$108,C71,$K$9:$K$108)-SUMIF($I$9:$I$108,C71,$J$9:$J$108)))&lt;1,"Matched","Amount differs")))</f>
        <v/>
      </c>
      <c r="H71" s="16"/>
      <c r="I71" s="5"/>
      <c r="J71" s="17"/>
      <c r="K71" s="17"/>
      <c r="L71" s="7" t="str">
        <f aca="false">IF(I71="","",IF(COUNTIF($C$9:$C$108,I71)=0,"Missing in our books",IF(ABS((N(K71)-N(J71))-(SUMIF($C$9:$C$108,I71,$D$9:$D$108)-SUMIF($C$9:$C$108,I71,$E$9:$E$108)))&lt;1,"Matched","Amount differs")))</f>
        <v/>
      </c>
    </row>
    <row r="72" customFormat="false" ht="15" hidden="false" customHeight="false" outlineLevel="0" collapsed="false">
      <c r="B72" s="16"/>
      <c r="C72" s="5"/>
      <c r="D72" s="17"/>
      <c r="E72" s="17"/>
      <c r="F72" s="7" t="str">
        <f aca="false">IF(C72="","",IF(COUNTIF($I$9:$I$108,C72)=0,"Missing in party books",IF(ABS((N(D72)-N(E72))-(SUMIF($I$9:$I$108,C72,$K$9:$K$108)-SUMIF($I$9:$I$108,C72,$J$9:$J$108)))&lt;1,"Matched","Amount differs")))</f>
        <v/>
      </c>
      <c r="H72" s="16"/>
      <c r="I72" s="5"/>
      <c r="J72" s="17"/>
      <c r="K72" s="17"/>
      <c r="L72" s="7" t="str">
        <f aca="false">IF(I72="","",IF(COUNTIF($C$9:$C$108,I72)=0,"Missing in our books",IF(ABS((N(K72)-N(J72))-(SUMIF($C$9:$C$108,I72,$D$9:$D$108)-SUMIF($C$9:$C$108,I72,$E$9:$E$108)))&lt;1,"Matched","Amount differs")))</f>
        <v/>
      </c>
    </row>
    <row r="73" customFormat="false" ht="15" hidden="false" customHeight="false" outlineLevel="0" collapsed="false">
      <c r="B73" s="16"/>
      <c r="C73" s="5"/>
      <c r="D73" s="17"/>
      <c r="E73" s="17"/>
      <c r="F73" s="7" t="str">
        <f aca="false">IF(C73="","",IF(COUNTIF($I$9:$I$108,C73)=0,"Missing in party books",IF(ABS((N(D73)-N(E73))-(SUMIF($I$9:$I$108,C73,$K$9:$K$108)-SUMIF($I$9:$I$108,C73,$J$9:$J$108)))&lt;1,"Matched","Amount differs")))</f>
        <v/>
      </c>
      <c r="H73" s="16"/>
      <c r="I73" s="5"/>
      <c r="J73" s="17"/>
      <c r="K73" s="17"/>
      <c r="L73" s="7" t="str">
        <f aca="false">IF(I73="","",IF(COUNTIF($C$9:$C$108,I73)=0,"Missing in our books",IF(ABS((N(K73)-N(J73))-(SUMIF($C$9:$C$108,I73,$D$9:$D$108)-SUMIF($C$9:$C$108,I73,$E$9:$E$108)))&lt;1,"Matched","Amount differs")))</f>
        <v/>
      </c>
    </row>
    <row r="74" customFormat="false" ht="15" hidden="false" customHeight="false" outlineLevel="0" collapsed="false">
      <c r="B74" s="16"/>
      <c r="C74" s="5"/>
      <c r="D74" s="17"/>
      <c r="E74" s="17"/>
      <c r="F74" s="7" t="str">
        <f aca="false">IF(C74="","",IF(COUNTIF($I$9:$I$108,C74)=0,"Missing in party books",IF(ABS((N(D74)-N(E74))-(SUMIF($I$9:$I$108,C74,$K$9:$K$108)-SUMIF($I$9:$I$108,C74,$J$9:$J$108)))&lt;1,"Matched","Amount differs")))</f>
        <v/>
      </c>
      <c r="H74" s="16"/>
      <c r="I74" s="5"/>
      <c r="J74" s="17"/>
      <c r="K74" s="17"/>
      <c r="L74" s="7" t="str">
        <f aca="false">IF(I74="","",IF(COUNTIF($C$9:$C$108,I74)=0,"Missing in our books",IF(ABS((N(K74)-N(J74))-(SUMIF($C$9:$C$108,I74,$D$9:$D$108)-SUMIF($C$9:$C$108,I74,$E$9:$E$108)))&lt;1,"Matched","Amount differs")))</f>
        <v/>
      </c>
    </row>
    <row r="75" customFormat="false" ht="15" hidden="false" customHeight="false" outlineLevel="0" collapsed="false">
      <c r="B75" s="16"/>
      <c r="C75" s="5"/>
      <c r="D75" s="17"/>
      <c r="E75" s="17"/>
      <c r="F75" s="7" t="str">
        <f aca="false">IF(C75="","",IF(COUNTIF($I$9:$I$108,C75)=0,"Missing in party books",IF(ABS((N(D75)-N(E75))-(SUMIF($I$9:$I$108,C75,$K$9:$K$108)-SUMIF($I$9:$I$108,C75,$J$9:$J$108)))&lt;1,"Matched","Amount differs")))</f>
        <v/>
      </c>
      <c r="H75" s="16"/>
      <c r="I75" s="5"/>
      <c r="J75" s="17"/>
      <c r="K75" s="17"/>
      <c r="L75" s="7" t="str">
        <f aca="false">IF(I75="","",IF(COUNTIF($C$9:$C$108,I75)=0,"Missing in our books",IF(ABS((N(K75)-N(J75))-(SUMIF($C$9:$C$108,I75,$D$9:$D$108)-SUMIF($C$9:$C$108,I75,$E$9:$E$108)))&lt;1,"Matched","Amount differs")))</f>
        <v/>
      </c>
    </row>
    <row r="76" customFormat="false" ht="15" hidden="false" customHeight="false" outlineLevel="0" collapsed="false">
      <c r="B76" s="16"/>
      <c r="C76" s="5"/>
      <c r="D76" s="17"/>
      <c r="E76" s="17"/>
      <c r="F76" s="7" t="str">
        <f aca="false">IF(C76="","",IF(COUNTIF($I$9:$I$108,C76)=0,"Missing in party books",IF(ABS((N(D76)-N(E76))-(SUMIF($I$9:$I$108,C76,$K$9:$K$108)-SUMIF($I$9:$I$108,C76,$J$9:$J$108)))&lt;1,"Matched","Amount differs")))</f>
        <v/>
      </c>
      <c r="H76" s="16"/>
      <c r="I76" s="5"/>
      <c r="J76" s="17"/>
      <c r="K76" s="17"/>
      <c r="L76" s="7" t="str">
        <f aca="false">IF(I76="","",IF(COUNTIF($C$9:$C$108,I76)=0,"Missing in our books",IF(ABS((N(K76)-N(J76))-(SUMIF($C$9:$C$108,I76,$D$9:$D$108)-SUMIF($C$9:$C$108,I76,$E$9:$E$108)))&lt;1,"Matched","Amount differs")))</f>
        <v/>
      </c>
    </row>
    <row r="77" customFormat="false" ht="15" hidden="false" customHeight="false" outlineLevel="0" collapsed="false">
      <c r="B77" s="16"/>
      <c r="C77" s="5"/>
      <c r="D77" s="17"/>
      <c r="E77" s="17"/>
      <c r="F77" s="7" t="str">
        <f aca="false">IF(C77="","",IF(COUNTIF($I$9:$I$108,C77)=0,"Missing in party books",IF(ABS((N(D77)-N(E77))-(SUMIF($I$9:$I$108,C77,$K$9:$K$108)-SUMIF($I$9:$I$108,C77,$J$9:$J$108)))&lt;1,"Matched","Amount differs")))</f>
        <v/>
      </c>
      <c r="H77" s="16"/>
      <c r="I77" s="5"/>
      <c r="J77" s="17"/>
      <c r="K77" s="17"/>
      <c r="L77" s="7" t="str">
        <f aca="false">IF(I77="","",IF(COUNTIF($C$9:$C$108,I77)=0,"Missing in our books",IF(ABS((N(K77)-N(J77))-(SUMIF($C$9:$C$108,I77,$D$9:$D$108)-SUMIF($C$9:$C$108,I77,$E$9:$E$108)))&lt;1,"Matched","Amount differs")))</f>
        <v/>
      </c>
    </row>
    <row r="78" customFormat="false" ht="15" hidden="false" customHeight="false" outlineLevel="0" collapsed="false">
      <c r="B78" s="16"/>
      <c r="C78" s="5"/>
      <c r="D78" s="17"/>
      <c r="E78" s="17"/>
      <c r="F78" s="7" t="str">
        <f aca="false">IF(C78="","",IF(COUNTIF($I$9:$I$108,C78)=0,"Missing in party books",IF(ABS((N(D78)-N(E78))-(SUMIF($I$9:$I$108,C78,$K$9:$K$108)-SUMIF($I$9:$I$108,C78,$J$9:$J$108)))&lt;1,"Matched","Amount differs")))</f>
        <v/>
      </c>
      <c r="H78" s="16"/>
      <c r="I78" s="5"/>
      <c r="J78" s="17"/>
      <c r="K78" s="17"/>
      <c r="L78" s="7" t="str">
        <f aca="false">IF(I78="","",IF(COUNTIF($C$9:$C$108,I78)=0,"Missing in our books",IF(ABS((N(K78)-N(J78))-(SUMIF($C$9:$C$108,I78,$D$9:$D$108)-SUMIF($C$9:$C$108,I78,$E$9:$E$108)))&lt;1,"Matched","Amount differs")))</f>
        <v/>
      </c>
    </row>
    <row r="79" customFormat="false" ht="15" hidden="false" customHeight="false" outlineLevel="0" collapsed="false">
      <c r="B79" s="16"/>
      <c r="C79" s="5"/>
      <c r="D79" s="17"/>
      <c r="E79" s="17"/>
      <c r="F79" s="7" t="str">
        <f aca="false">IF(C79="","",IF(COUNTIF($I$9:$I$108,C79)=0,"Missing in party books",IF(ABS((N(D79)-N(E79))-(SUMIF($I$9:$I$108,C79,$K$9:$K$108)-SUMIF($I$9:$I$108,C79,$J$9:$J$108)))&lt;1,"Matched","Amount differs")))</f>
        <v/>
      </c>
      <c r="H79" s="16"/>
      <c r="I79" s="5"/>
      <c r="J79" s="17"/>
      <c r="K79" s="17"/>
      <c r="L79" s="7" t="str">
        <f aca="false">IF(I79="","",IF(COUNTIF($C$9:$C$108,I79)=0,"Missing in our books",IF(ABS((N(K79)-N(J79))-(SUMIF($C$9:$C$108,I79,$D$9:$D$108)-SUMIF($C$9:$C$108,I79,$E$9:$E$108)))&lt;1,"Matched","Amount differs")))</f>
        <v/>
      </c>
    </row>
    <row r="80" customFormat="false" ht="15" hidden="false" customHeight="false" outlineLevel="0" collapsed="false">
      <c r="B80" s="16"/>
      <c r="C80" s="5"/>
      <c r="D80" s="17"/>
      <c r="E80" s="17"/>
      <c r="F80" s="7" t="str">
        <f aca="false">IF(C80="","",IF(COUNTIF($I$9:$I$108,C80)=0,"Missing in party books",IF(ABS((N(D80)-N(E80))-(SUMIF($I$9:$I$108,C80,$K$9:$K$108)-SUMIF($I$9:$I$108,C80,$J$9:$J$108)))&lt;1,"Matched","Amount differs")))</f>
        <v/>
      </c>
      <c r="H80" s="16"/>
      <c r="I80" s="5"/>
      <c r="J80" s="17"/>
      <c r="K80" s="17"/>
      <c r="L80" s="7" t="str">
        <f aca="false">IF(I80="","",IF(COUNTIF($C$9:$C$108,I80)=0,"Missing in our books",IF(ABS((N(K80)-N(J80))-(SUMIF($C$9:$C$108,I80,$D$9:$D$108)-SUMIF($C$9:$C$108,I80,$E$9:$E$108)))&lt;1,"Matched","Amount differs")))</f>
        <v/>
      </c>
    </row>
    <row r="81" customFormat="false" ht="15" hidden="false" customHeight="false" outlineLevel="0" collapsed="false">
      <c r="B81" s="16"/>
      <c r="C81" s="5"/>
      <c r="D81" s="17"/>
      <c r="E81" s="17"/>
      <c r="F81" s="7" t="str">
        <f aca="false">IF(C81="","",IF(COUNTIF($I$9:$I$108,C81)=0,"Missing in party books",IF(ABS((N(D81)-N(E81))-(SUMIF($I$9:$I$108,C81,$K$9:$K$108)-SUMIF($I$9:$I$108,C81,$J$9:$J$108)))&lt;1,"Matched","Amount differs")))</f>
        <v/>
      </c>
      <c r="H81" s="16"/>
      <c r="I81" s="5"/>
      <c r="J81" s="17"/>
      <c r="K81" s="17"/>
      <c r="L81" s="7" t="str">
        <f aca="false">IF(I81="","",IF(COUNTIF($C$9:$C$108,I81)=0,"Missing in our books",IF(ABS((N(K81)-N(J81))-(SUMIF($C$9:$C$108,I81,$D$9:$D$108)-SUMIF($C$9:$C$108,I81,$E$9:$E$108)))&lt;1,"Matched","Amount differs")))</f>
        <v/>
      </c>
    </row>
    <row r="82" customFormat="false" ht="15" hidden="false" customHeight="false" outlineLevel="0" collapsed="false">
      <c r="B82" s="16"/>
      <c r="C82" s="5"/>
      <c r="D82" s="17"/>
      <c r="E82" s="17"/>
      <c r="F82" s="7" t="str">
        <f aca="false">IF(C82="","",IF(COUNTIF($I$9:$I$108,C82)=0,"Missing in party books",IF(ABS((N(D82)-N(E82))-(SUMIF($I$9:$I$108,C82,$K$9:$K$108)-SUMIF($I$9:$I$108,C82,$J$9:$J$108)))&lt;1,"Matched","Amount differs")))</f>
        <v/>
      </c>
      <c r="H82" s="16"/>
      <c r="I82" s="5"/>
      <c r="J82" s="17"/>
      <c r="K82" s="17"/>
      <c r="L82" s="7" t="str">
        <f aca="false">IF(I82="","",IF(COUNTIF($C$9:$C$108,I82)=0,"Missing in our books",IF(ABS((N(K82)-N(J82))-(SUMIF($C$9:$C$108,I82,$D$9:$D$108)-SUMIF($C$9:$C$108,I82,$E$9:$E$108)))&lt;1,"Matched","Amount differs")))</f>
        <v/>
      </c>
    </row>
    <row r="83" customFormat="false" ht="15" hidden="false" customHeight="false" outlineLevel="0" collapsed="false">
      <c r="B83" s="16"/>
      <c r="C83" s="5"/>
      <c r="D83" s="17"/>
      <c r="E83" s="17"/>
      <c r="F83" s="7" t="str">
        <f aca="false">IF(C83="","",IF(COUNTIF($I$9:$I$108,C83)=0,"Missing in party books",IF(ABS((N(D83)-N(E83))-(SUMIF($I$9:$I$108,C83,$K$9:$K$108)-SUMIF($I$9:$I$108,C83,$J$9:$J$108)))&lt;1,"Matched","Amount differs")))</f>
        <v/>
      </c>
      <c r="H83" s="16"/>
      <c r="I83" s="5"/>
      <c r="J83" s="17"/>
      <c r="K83" s="17"/>
      <c r="L83" s="7" t="str">
        <f aca="false">IF(I83="","",IF(COUNTIF($C$9:$C$108,I83)=0,"Missing in our books",IF(ABS((N(K83)-N(J83))-(SUMIF($C$9:$C$108,I83,$D$9:$D$108)-SUMIF($C$9:$C$108,I83,$E$9:$E$108)))&lt;1,"Matched","Amount differs")))</f>
        <v/>
      </c>
    </row>
    <row r="84" customFormat="false" ht="15" hidden="false" customHeight="false" outlineLevel="0" collapsed="false">
      <c r="B84" s="16"/>
      <c r="C84" s="5"/>
      <c r="D84" s="17"/>
      <c r="E84" s="17"/>
      <c r="F84" s="7" t="str">
        <f aca="false">IF(C84="","",IF(COUNTIF($I$9:$I$108,C84)=0,"Missing in party books",IF(ABS((N(D84)-N(E84))-(SUMIF($I$9:$I$108,C84,$K$9:$K$108)-SUMIF($I$9:$I$108,C84,$J$9:$J$108)))&lt;1,"Matched","Amount differs")))</f>
        <v/>
      </c>
      <c r="H84" s="16"/>
      <c r="I84" s="5"/>
      <c r="J84" s="17"/>
      <c r="K84" s="17"/>
      <c r="L84" s="7" t="str">
        <f aca="false">IF(I84="","",IF(COUNTIF($C$9:$C$108,I84)=0,"Missing in our books",IF(ABS((N(K84)-N(J84))-(SUMIF($C$9:$C$108,I84,$D$9:$D$108)-SUMIF($C$9:$C$108,I84,$E$9:$E$108)))&lt;1,"Matched","Amount differs")))</f>
        <v/>
      </c>
    </row>
    <row r="85" customFormat="false" ht="15" hidden="false" customHeight="false" outlineLevel="0" collapsed="false">
      <c r="B85" s="16"/>
      <c r="C85" s="5"/>
      <c r="D85" s="17"/>
      <c r="E85" s="17"/>
      <c r="F85" s="7" t="str">
        <f aca="false">IF(C85="","",IF(COUNTIF($I$9:$I$108,C85)=0,"Missing in party books",IF(ABS((N(D85)-N(E85))-(SUMIF($I$9:$I$108,C85,$K$9:$K$108)-SUMIF($I$9:$I$108,C85,$J$9:$J$108)))&lt;1,"Matched","Amount differs")))</f>
        <v/>
      </c>
      <c r="H85" s="16"/>
      <c r="I85" s="5"/>
      <c r="J85" s="17"/>
      <c r="K85" s="17"/>
      <c r="L85" s="7" t="str">
        <f aca="false">IF(I85="","",IF(COUNTIF($C$9:$C$108,I85)=0,"Missing in our books",IF(ABS((N(K85)-N(J85))-(SUMIF($C$9:$C$108,I85,$D$9:$D$108)-SUMIF($C$9:$C$108,I85,$E$9:$E$108)))&lt;1,"Matched","Amount differs")))</f>
        <v/>
      </c>
    </row>
    <row r="86" customFormat="false" ht="15" hidden="false" customHeight="false" outlineLevel="0" collapsed="false">
      <c r="B86" s="16"/>
      <c r="C86" s="5"/>
      <c r="D86" s="17"/>
      <c r="E86" s="17"/>
      <c r="F86" s="7" t="str">
        <f aca="false">IF(C86="","",IF(COUNTIF($I$9:$I$108,C86)=0,"Missing in party books",IF(ABS((N(D86)-N(E86))-(SUMIF($I$9:$I$108,C86,$K$9:$K$108)-SUMIF($I$9:$I$108,C86,$J$9:$J$108)))&lt;1,"Matched","Amount differs")))</f>
        <v/>
      </c>
      <c r="H86" s="16"/>
      <c r="I86" s="5"/>
      <c r="J86" s="17"/>
      <c r="K86" s="17"/>
      <c r="L86" s="7" t="str">
        <f aca="false">IF(I86="","",IF(COUNTIF($C$9:$C$108,I86)=0,"Missing in our books",IF(ABS((N(K86)-N(J86))-(SUMIF($C$9:$C$108,I86,$D$9:$D$108)-SUMIF($C$9:$C$108,I86,$E$9:$E$108)))&lt;1,"Matched","Amount differs")))</f>
        <v/>
      </c>
    </row>
    <row r="87" customFormat="false" ht="15" hidden="false" customHeight="false" outlineLevel="0" collapsed="false">
      <c r="B87" s="16"/>
      <c r="C87" s="5"/>
      <c r="D87" s="17"/>
      <c r="E87" s="17"/>
      <c r="F87" s="7" t="str">
        <f aca="false">IF(C87="","",IF(COUNTIF($I$9:$I$108,C87)=0,"Missing in party books",IF(ABS((N(D87)-N(E87))-(SUMIF($I$9:$I$108,C87,$K$9:$K$108)-SUMIF($I$9:$I$108,C87,$J$9:$J$108)))&lt;1,"Matched","Amount differs")))</f>
        <v/>
      </c>
      <c r="H87" s="16"/>
      <c r="I87" s="5"/>
      <c r="J87" s="17"/>
      <c r="K87" s="17"/>
      <c r="L87" s="7" t="str">
        <f aca="false">IF(I87="","",IF(COUNTIF($C$9:$C$108,I87)=0,"Missing in our books",IF(ABS((N(K87)-N(J87))-(SUMIF($C$9:$C$108,I87,$D$9:$D$108)-SUMIF($C$9:$C$108,I87,$E$9:$E$108)))&lt;1,"Matched","Amount differs")))</f>
        <v/>
      </c>
    </row>
    <row r="88" customFormat="false" ht="15" hidden="false" customHeight="false" outlineLevel="0" collapsed="false">
      <c r="B88" s="16"/>
      <c r="C88" s="5"/>
      <c r="D88" s="17"/>
      <c r="E88" s="17"/>
      <c r="F88" s="7" t="str">
        <f aca="false">IF(C88="","",IF(COUNTIF($I$9:$I$108,C88)=0,"Missing in party books",IF(ABS((N(D88)-N(E88))-(SUMIF($I$9:$I$108,C88,$K$9:$K$108)-SUMIF($I$9:$I$108,C88,$J$9:$J$108)))&lt;1,"Matched","Amount differs")))</f>
        <v/>
      </c>
      <c r="H88" s="16"/>
      <c r="I88" s="5"/>
      <c r="J88" s="17"/>
      <c r="K88" s="17"/>
      <c r="L88" s="7" t="str">
        <f aca="false">IF(I88="","",IF(COUNTIF($C$9:$C$108,I88)=0,"Missing in our books",IF(ABS((N(K88)-N(J88))-(SUMIF($C$9:$C$108,I88,$D$9:$D$108)-SUMIF($C$9:$C$108,I88,$E$9:$E$108)))&lt;1,"Matched","Amount differs")))</f>
        <v/>
      </c>
    </row>
    <row r="89" customFormat="false" ht="15" hidden="false" customHeight="false" outlineLevel="0" collapsed="false">
      <c r="B89" s="16"/>
      <c r="C89" s="5"/>
      <c r="D89" s="17"/>
      <c r="E89" s="17"/>
      <c r="F89" s="7" t="str">
        <f aca="false">IF(C89="","",IF(COUNTIF($I$9:$I$108,C89)=0,"Missing in party books",IF(ABS((N(D89)-N(E89))-(SUMIF($I$9:$I$108,C89,$K$9:$K$108)-SUMIF($I$9:$I$108,C89,$J$9:$J$108)))&lt;1,"Matched","Amount differs")))</f>
        <v/>
      </c>
      <c r="H89" s="16"/>
      <c r="I89" s="5"/>
      <c r="J89" s="17"/>
      <c r="K89" s="17"/>
      <c r="L89" s="7" t="str">
        <f aca="false">IF(I89="","",IF(COUNTIF($C$9:$C$108,I89)=0,"Missing in our books",IF(ABS((N(K89)-N(J89))-(SUMIF($C$9:$C$108,I89,$D$9:$D$108)-SUMIF($C$9:$C$108,I89,$E$9:$E$108)))&lt;1,"Matched","Amount differs")))</f>
        <v/>
      </c>
    </row>
    <row r="90" customFormat="false" ht="15" hidden="false" customHeight="false" outlineLevel="0" collapsed="false">
      <c r="B90" s="16"/>
      <c r="C90" s="5"/>
      <c r="D90" s="17"/>
      <c r="E90" s="17"/>
      <c r="F90" s="7" t="str">
        <f aca="false">IF(C90="","",IF(COUNTIF($I$9:$I$108,C90)=0,"Missing in party books",IF(ABS((N(D90)-N(E90))-(SUMIF($I$9:$I$108,C90,$K$9:$K$108)-SUMIF($I$9:$I$108,C90,$J$9:$J$108)))&lt;1,"Matched","Amount differs")))</f>
        <v/>
      </c>
      <c r="H90" s="16"/>
      <c r="I90" s="5"/>
      <c r="J90" s="17"/>
      <c r="K90" s="17"/>
      <c r="L90" s="7" t="str">
        <f aca="false">IF(I90="","",IF(COUNTIF($C$9:$C$108,I90)=0,"Missing in our books",IF(ABS((N(K90)-N(J90))-(SUMIF($C$9:$C$108,I90,$D$9:$D$108)-SUMIF($C$9:$C$108,I90,$E$9:$E$108)))&lt;1,"Matched","Amount differs")))</f>
        <v/>
      </c>
    </row>
    <row r="91" customFormat="false" ht="15" hidden="false" customHeight="false" outlineLevel="0" collapsed="false">
      <c r="B91" s="16"/>
      <c r="C91" s="5"/>
      <c r="D91" s="17"/>
      <c r="E91" s="17"/>
      <c r="F91" s="7" t="str">
        <f aca="false">IF(C91="","",IF(COUNTIF($I$9:$I$108,C91)=0,"Missing in party books",IF(ABS((N(D91)-N(E91))-(SUMIF($I$9:$I$108,C91,$K$9:$K$108)-SUMIF($I$9:$I$108,C91,$J$9:$J$108)))&lt;1,"Matched","Amount differs")))</f>
        <v/>
      </c>
      <c r="H91" s="16"/>
      <c r="I91" s="5"/>
      <c r="J91" s="17"/>
      <c r="K91" s="17"/>
      <c r="L91" s="7" t="str">
        <f aca="false">IF(I91="","",IF(COUNTIF($C$9:$C$108,I91)=0,"Missing in our books",IF(ABS((N(K91)-N(J91))-(SUMIF($C$9:$C$108,I91,$D$9:$D$108)-SUMIF($C$9:$C$108,I91,$E$9:$E$108)))&lt;1,"Matched","Amount differs")))</f>
        <v/>
      </c>
    </row>
    <row r="92" customFormat="false" ht="15" hidden="false" customHeight="false" outlineLevel="0" collapsed="false">
      <c r="B92" s="16"/>
      <c r="C92" s="5"/>
      <c r="D92" s="17"/>
      <c r="E92" s="17"/>
      <c r="F92" s="7" t="str">
        <f aca="false">IF(C92="","",IF(COUNTIF($I$9:$I$108,C92)=0,"Missing in party books",IF(ABS((N(D92)-N(E92))-(SUMIF($I$9:$I$108,C92,$K$9:$K$108)-SUMIF($I$9:$I$108,C92,$J$9:$J$108)))&lt;1,"Matched","Amount differs")))</f>
        <v/>
      </c>
      <c r="H92" s="16"/>
      <c r="I92" s="5"/>
      <c r="J92" s="17"/>
      <c r="K92" s="17"/>
      <c r="L92" s="7" t="str">
        <f aca="false">IF(I92="","",IF(COUNTIF($C$9:$C$108,I92)=0,"Missing in our books",IF(ABS((N(K92)-N(J92))-(SUMIF($C$9:$C$108,I92,$D$9:$D$108)-SUMIF($C$9:$C$108,I92,$E$9:$E$108)))&lt;1,"Matched","Amount differs")))</f>
        <v/>
      </c>
    </row>
    <row r="93" customFormat="false" ht="15" hidden="false" customHeight="false" outlineLevel="0" collapsed="false">
      <c r="B93" s="16"/>
      <c r="C93" s="5"/>
      <c r="D93" s="17"/>
      <c r="E93" s="17"/>
      <c r="F93" s="7" t="str">
        <f aca="false">IF(C93="","",IF(COUNTIF($I$9:$I$108,C93)=0,"Missing in party books",IF(ABS((N(D93)-N(E93))-(SUMIF($I$9:$I$108,C93,$K$9:$K$108)-SUMIF($I$9:$I$108,C93,$J$9:$J$108)))&lt;1,"Matched","Amount differs")))</f>
        <v/>
      </c>
      <c r="H93" s="16"/>
      <c r="I93" s="5"/>
      <c r="J93" s="17"/>
      <c r="K93" s="17"/>
      <c r="L93" s="7" t="str">
        <f aca="false">IF(I93="","",IF(COUNTIF($C$9:$C$108,I93)=0,"Missing in our books",IF(ABS((N(K93)-N(J93))-(SUMIF($C$9:$C$108,I93,$D$9:$D$108)-SUMIF($C$9:$C$108,I93,$E$9:$E$108)))&lt;1,"Matched","Amount differs")))</f>
        <v/>
      </c>
    </row>
    <row r="94" customFormat="false" ht="15" hidden="false" customHeight="false" outlineLevel="0" collapsed="false">
      <c r="B94" s="16"/>
      <c r="C94" s="5"/>
      <c r="D94" s="17"/>
      <c r="E94" s="17"/>
      <c r="F94" s="7" t="str">
        <f aca="false">IF(C94="","",IF(COUNTIF($I$9:$I$108,C94)=0,"Missing in party books",IF(ABS((N(D94)-N(E94))-(SUMIF($I$9:$I$108,C94,$K$9:$K$108)-SUMIF($I$9:$I$108,C94,$J$9:$J$108)))&lt;1,"Matched","Amount differs")))</f>
        <v/>
      </c>
      <c r="H94" s="16"/>
      <c r="I94" s="5"/>
      <c r="J94" s="17"/>
      <c r="K94" s="17"/>
      <c r="L94" s="7" t="str">
        <f aca="false">IF(I94="","",IF(COUNTIF($C$9:$C$108,I94)=0,"Missing in our books",IF(ABS((N(K94)-N(J94))-(SUMIF($C$9:$C$108,I94,$D$9:$D$108)-SUMIF($C$9:$C$108,I94,$E$9:$E$108)))&lt;1,"Matched","Amount differs")))</f>
        <v/>
      </c>
    </row>
    <row r="95" customFormat="false" ht="15" hidden="false" customHeight="false" outlineLevel="0" collapsed="false">
      <c r="B95" s="16"/>
      <c r="C95" s="5"/>
      <c r="D95" s="17"/>
      <c r="E95" s="17"/>
      <c r="F95" s="7" t="str">
        <f aca="false">IF(C95="","",IF(COUNTIF($I$9:$I$108,C95)=0,"Missing in party books",IF(ABS((N(D95)-N(E95))-(SUMIF($I$9:$I$108,C95,$K$9:$K$108)-SUMIF($I$9:$I$108,C95,$J$9:$J$108)))&lt;1,"Matched","Amount differs")))</f>
        <v/>
      </c>
      <c r="H95" s="16"/>
      <c r="I95" s="5"/>
      <c r="J95" s="17"/>
      <c r="K95" s="17"/>
      <c r="L95" s="7" t="str">
        <f aca="false">IF(I95="","",IF(COUNTIF($C$9:$C$108,I95)=0,"Missing in our books",IF(ABS((N(K95)-N(J95))-(SUMIF($C$9:$C$108,I95,$D$9:$D$108)-SUMIF($C$9:$C$108,I95,$E$9:$E$108)))&lt;1,"Matched","Amount differs")))</f>
        <v/>
      </c>
    </row>
    <row r="96" customFormat="false" ht="15" hidden="false" customHeight="false" outlineLevel="0" collapsed="false">
      <c r="B96" s="16"/>
      <c r="C96" s="5"/>
      <c r="D96" s="17"/>
      <c r="E96" s="17"/>
      <c r="F96" s="7" t="str">
        <f aca="false">IF(C96="","",IF(COUNTIF($I$9:$I$108,C96)=0,"Missing in party books",IF(ABS((N(D96)-N(E96))-(SUMIF($I$9:$I$108,C96,$K$9:$K$108)-SUMIF($I$9:$I$108,C96,$J$9:$J$108)))&lt;1,"Matched","Amount differs")))</f>
        <v/>
      </c>
      <c r="H96" s="16"/>
      <c r="I96" s="5"/>
      <c r="J96" s="17"/>
      <c r="K96" s="17"/>
      <c r="L96" s="7" t="str">
        <f aca="false">IF(I96="","",IF(COUNTIF($C$9:$C$108,I96)=0,"Missing in our books",IF(ABS((N(K96)-N(J96))-(SUMIF($C$9:$C$108,I96,$D$9:$D$108)-SUMIF($C$9:$C$108,I96,$E$9:$E$108)))&lt;1,"Matched","Amount differs")))</f>
        <v/>
      </c>
    </row>
    <row r="97" customFormat="false" ht="15" hidden="false" customHeight="false" outlineLevel="0" collapsed="false">
      <c r="B97" s="16"/>
      <c r="C97" s="5"/>
      <c r="D97" s="17"/>
      <c r="E97" s="17"/>
      <c r="F97" s="7" t="str">
        <f aca="false">IF(C97="","",IF(COUNTIF($I$9:$I$108,C97)=0,"Missing in party books",IF(ABS((N(D97)-N(E97))-(SUMIF($I$9:$I$108,C97,$K$9:$K$108)-SUMIF($I$9:$I$108,C97,$J$9:$J$108)))&lt;1,"Matched","Amount differs")))</f>
        <v/>
      </c>
      <c r="H97" s="16"/>
      <c r="I97" s="5"/>
      <c r="J97" s="17"/>
      <c r="K97" s="17"/>
      <c r="L97" s="7" t="str">
        <f aca="false">IF(I97="","",IF(COUNTIF($C$9:$C$108,I97)=0,"Missing in our books",IF(ABS((N(K97)-N(J97))-(SUMIF($C$9:$C$108,I97,$D$9:$D$108)-SUMIF($C$9:$C$108,I97,$E$9:$E$108)))&lt;1,"Matched","Amount differs")))</f>
        <v/>
      </c>
    </row>
    <row r="98" customFormat="false" ht="15" hidden="false" customHeight="false" outlineLevel="0" collapsed="false">
      <c r="B98" s="16"/>
      <c r="C98" s="5"/>
      <c r="D98" s="17"/>
      <c r="E98" s="17"/>
      <c r="F98" s="7" t="str">
        <f aca="false">IF(C98="","",IF(COUNTIF($I$9:$I$108,C98)=0,"Missing in party books",IF(ABS((N(D98)-N(E98))-(SUMIF($I$9:$I$108,C98,$K$9:$K$108)-SUMIF($I$9:$I$108,C98,$J$9:$J$108)))&lt;1,"Matched","Amount differs")))</f>
        <v/>
      </c>
      <c r="H98" s="16"/>
      <c r="I98" s="5"/>
      <c r="J98" s="17"/>
      <c r="K98" s="17"/>
      <c r="L98" s="7" t="str">
        <f aca="false">IF(I98="","",IF(COUNTIF($C$9:$C$108,I98)=0,"Missing in our books",IF(ABS((N(K98)-N(J98))-(SUMIF($C$9:$C$108,I98,$D$9:$D$108)-SUMIF($C$9:$C$108,I98,$E$9:$E$108)))&lt;1,"Matched","Amount differs")))</f>
        <v/>
      </c>
    </row>
    <row r="99" customFormat="false" ht="15" hidden="false" customHeight="false" outlineLevel="0" collapsed="false">
      <c r="B99" s="16"/>
      <c r="C99" s="5"/>
      <c r="D99" s="17"/>
      <c r="E99" s="17"/>
      <c r="F99" s="7" t="str">
        <f aca="false">IF(C99="","",IF(COUNTIF($I$9:$I$108,C99)=0,"Missing in party books",IF(ABS((N(D99)-N(E99))-(SUMIF($I$9:$I$108,C99,$K$9:$K$108)-SUMIF($I$9:$I$108,C99,$J$9:$J$108)))&lt;1,"Matched","Amount differs")))</f>
        <v/>
      </c>
      <c r="H99" s="16"/>
      <c r="I99" s="5"/>
      <c r="J99" s="17"/>
      <c r="K99" s="17"/>
      <c r="L99" s="7" t="str">
        <f aca="false">IF(I99="","",IF(COUNTIF($C$9:$C$108,I99)=0,"Missing in our books",IF(ABS((N(K99)-N(J99))-(SUMIF($C$9:$C$108,I99,$D$9:$D$108)-SUMIF($C$9:$C$108,I99,$E$9:$E$108)))&lt;1,"Matched","Amount differs")))</f>
        <v/>
      </c>
    </row>
    <row r="100" customFormat="false" ht="15" hidden="false" customHeight="false" outlineLevel="0" collapsed="false">
      <c r="B100" s="16"/>
      <c r="C100" s="5"/>
      <c r="D100" s="17"/>
      <c r="E100" s="17"/>
      <c r="F100" s="7" t="str">
        <f aca="false">IF(C100="","",IF(COUNTIF($I$9:$I$108,C100)=0,"Missing in party books",IF(ABS((N(D100)-N(E100))-(SUMIF($I$9:$I$108,C100,$K$9:$K$108)-SUMIF($I$9:$I$108,C100,$J$9:$J$108)))&lt;1,"Matched","Amount differs")))</f>
        <v/>
      </c>
      <c r="H100" s="16"/>
      <c r="I100" s="5"/>
      <c r="J100" s="17"/>
      <c r="K100" s="17"/>
      <c r="L100" s="7" t="str">
        <f aca="false">IF(I100="","",IF(COUNTIF($C$9:$C$108,I100)=0,"Missing in our books",IF(ABS((N(K100)-N(J100))-(SUMIF($C$9:$C$108,I100,$D$9:$D$108)-SUMIF($C$9:$C$108,I100,$E$9:$E$108)))&lt;1,"Matched","Amount differs")))</f>
        <v/>
      </c>
    </row>
    <row r="101" customFormat="false" ht="15" hidden="false" customHeight="false" outlineLevel="0" collapsed="false">
      <c r="B101" s="16"/>
      <c r="C101" s="5"/>
      <c r="D101" s="17"/>
      <c r="E101" s="17"/>
      <c r="F101" s="7" t="str">
        <f aca="false">IF(C101="","",IF(COUNTIF($I$9:$I$108,C101)=0,"Missing in party books",IF(ABS((N(D101)-N(E101))-(SUMIF($I$9:$I$108,C101,$K$9:$K$108)-SUMIF($I$9:$I$108,C101,$J$9:$J$108)))&lt;1,"Matched","Amount differs")))</f>
        <v/>
      </c>
      <c r="H101" s="16"/>
      <c r="I101" s="5"/>
      <c r="J101" s="17"/>
      <c r="K101" s="17"/>
      <c r="L101" s="7" t="str">
        <f aca="false">IF(I101="","",IF(COUNTIF($C$9:$C$108,I101)=0,"Missing in our books",IF(ABS((N(K101)-N(J101))-(SUMIF($C$9:$C$108,I101,$D$9:$D$108)-SUMIF($C$9:$C$108,I101,$E$9:$E$108)))&lt;1,"Matched","Amount differs")))</f>
        <v/>
      </c>
    </row>
    <row r="102" customFormat="false" ht="15" hidden="false" customHeight="false" outlineLevel="0" collapsed="false">
      <c r="B102" s="16"/>
      <c r="C102" s="5"/>
      <c r="D102" s="17"/>
      <c r="E102" s="17"/>
      <c r="F102" s="7" t="str">
        <f aca="false">IF(C102="","",IF(COUNTIF($I$9:$I$108,C102)=0,"Missing in party books",IF(ABS((N(D102)-N(E102))-(SUMIF($I$9:$I$108,C102,$K$9:$K$108)-SUMIF($I$9:$I$108,C102,$J$9:$J$108)))&lt;1,"Matched","Amount differs")))</f>
        <v/>
      </c>
      <c r="H102" s="16"/>
      <c r="I102" s="5"/>
      <c r="J102" s="17"/>
      <c r="K102" s="17"/>
      <c r="L102" s="7" t="str">
        <f aca="false">IF(I102="","",IF(COUNTIF($C$9:$C$108,I102)=0,"Missing in our books",IF(ABS((N(K102)-N(J102))-(SUMIF($C$9:$C$108,I102,$D$9:$D$108)-SUMIF($C$9:$C$108,I102,$E$9:$E$108)))&lt;1,"Matched","Amount differs")))</f>
        <v/>
      </c>
    </row>
    <row r="103" customFormat="false" ht="15" hidden="false" customHeight="false" outlineLevel="0" collapsed="false">
      <c r="B103" s="16"/>
      <c r="C103" s="5"/>
      <c r="D103" s="17"/>
      <c r="E103" s="17"/>
      <c r="F103" s="7" t="str">
        <f aca="false">IF(C103="","",IF(COUNTIF($I$9:$I$108,C103)=0,"Missing in party books",IF(ABS((N(D103)-N(E103))-(SUMIF($I$9:$I$108,C103,$K$9:$K$108)-SUMIF($I$9:$I$108,C103,$J$9:$J$108)))&lt;1,"Matched","Amount differs")))</f>
        <v/>
      </c>
      <c r="H103" s="16"/>
      <c r="I103" s="5"/>
      <c r="J103" s="17"/>
      <c r="K103" s="17"/>
      <c r="L103" s="7" t="str">
        <f aca="false">IF(I103="","",IF(COUNTIF($C$9:$C$108,I103)=0,"Missing in our books",IF(ABS((N(K103)-N(J103))-(SUMIF($C$9:$C$108,I103,$D$9:$D$108)-SUMIF($C$9:$C$108,I103,$E$9:$E$108)))&lt;1,"Matched","Amount differs")))</f>
        <v/>
      </c>
    </row>
    <row r="104" customFormat="false" ht="15" hidden="false" customHeight="false" outlineLevel="0" collapsed="false">
      <c r="B104" s="16"/>
      <c r="C104" s="5"/>
      <c r="D104" s="17"/>
      <c r="E104" s="17"/>
      <c r="F104" s="7" t="str">
        <f aca="false">IF(C104="","",IF(COUNTIF($I$9:$I$108,C104)=0,"Missing in party books",IF(ABS((N(D104)-N(E104))-(SUMIF($I$9:$I$108,C104,$K$9:$K$108)-SUMIF($I$9:$I$108,C104,$J$9:$J$108)))&lt;1,"Matched","Amount differs")))</f>
        <v/>
      </c>
      <c r="H104" s="16"/>
      <c r="I104" s="5"/>
      <c r="J104" s="17"/>
      <c r="K104" s="17"/>
      <c r="L104" s="7" t="str">
        <f aca="false">IF(I104="","",IF(COUNTIF($C$9:$C$108,I104)=0,"Missing in our books",IF(ABS((N(K104)-N(J104))-(SUMIF($C$9:$C$108,I104,$D$9:$D$108)-SUMIF($C$9:$C$108,I104,$E$9:$E$108)))&lt;1,"Matched","Amount differs")))</f>
        <v/>
      </c>
    </row>
    <row r="105" customFormat="false" ht="15" hidden="false" customHeight="false" outlineLevel="0" collapsed="false">
      <c r="B105" s="16"/>
      <c r="C105" s="5"/>
      <c r="D105" s="17"/>
      <c r="E105" s="17"/>
      <c r="F105" s="7" t="str">
        <f aca="false">IF(C105="","",IF(COUNTIF($I$9:$I$108,C105)=0,"Missing in party books",IF(ABS((N(D105)-N(E105))-(SUMIF($I$9:$I$108,C105,$K$9:$K$108)-SUMIF($I$9:$I$108,C105,$J$9:$J$108)))&lt;1,"Matched","Amount differs")))</f>
        <v/>
      </c>
      <c r="H105" s="16"/>
      <c r="I105" s="5"/>
      <c r="J105" s="17"/>
      <c r="K105" s="17"/>
      <c r="L105" s="7" t="str">
        <f aca="false">IF(I105="","",IF(COUNTIF($C$9:$C$108,I105)=0,"Missing in our books",IF(ABS((N(K105)-N(J105))-(SUMIF($C$9:$C$108,I105,$D$9:$D$108)-SUMIF($C$9:$C$108,I105,$E$9:$E$108)))&lt;1,"Matched","Amount differs")))</f>
        <v/>
      </c>
    </row>
    <row r="106" customFormat="false" ht="15" hidden="false" customHeight="false" outlineLevel="0" collapsed="false">
      <c r="B106" s="16"/>
      <c r="C106" s="5"/>
      <c r="D106" s="17"/>
      <c r="E106" s="17"/>
      <c r="F106" s="7" t="str">
        <f aca="false">IF(C106="","",IF(COUNTIF($I$9:$I$108,C106)=0,"Missing in party books",IF(ABS((N(D106)-N(E106))-(SUMIF($I$9:$I$108,C106,$K$9:$K$108)-SUMIF($I$9:$I$108,C106,$J$9:$J$108)))&lt;1,"Matched","Amount differs")))</f>
        <v/>
      </c>
      <c r="H106" s="16"/>
      <c r="I106" s="5"/>
      <c r="J106" s="17"/>
      <c r="K106" s="17"/>
      <c r="L106" s="7" t="str">
        <f aca="false">IF(I106="","",IF(COUNTIF($C$9:$C$108,I106)=0,"Missing in our books",IF(ABS((N(K106)-N(J106))-(SUMIF($C$9:$C$108,I106,$D$9:$D$108)-SUMIF($C$9:$C$108,I106,$E$9:$E$108)))&lt;1,"Matched","Amount differs")))</f>
        <v/>
      </c>
    </row>
    <row r="107" customFormat="false" ht="15" hidden="false" customHeight="false" outlineLevel="0" collapsed="false">
      <c r="B107" s="16"/>
      <c r="C107" s="5"/>
      <c r="D107" s="17"/>
      <c r="E107" s="17"/>
      <c r="F107" s="7" t="str">
        <f aca="false">IF(C107="","",IF(COUNTIF($I$9:$I$108,C107)=0,"Missing in party books",IF(ABS((N(D107)-N(E107))-(SUMIF($I$9:$I$108,C107,$K$9:$K$108)-SUMIF($I$9:$I$108,C107,$J$9:$J$108)))&lt;1,"Matched","Amount differs")))</f>
        <v/>
      </c>
      <c r="H107" s="16"/>
      <c r="I107" s="5"/>
      <c r="J107" s="17"/>
      <c r="K107" s="17"/>
      <c r="L107" s="7" t="str">
        <f aca="false">IF(I107="","",IF(COUNTIF($C$9:$C$108,I107)=0,"Missing in our books",IF(ABS((N(K107)-N(J107))-(SUMIF($C$9:$C$108,I107,$D$9:$D$108)-SUMIF($C$9:$C$108,I107,$E$9:$E$108)))&lt;1,"Matched","Amount differs")))</f>
        <v/>
      </c>
    </row>
    <row r="108" customFormat="false" ht="15" hidden="false" customHeight="false" outlineLevel="0" collapsed="false">
      <c r="B108" s="16"/>
      <c r="C108" s="5"/>
      <c r="D108" s="17"/>
      <c r="E108" s="17"/>
      <c r="F108" s="7" t="str">
        <f aca="false">IF(C108="","",IF(COUNTIF($I$9:$I$108,C108)=0,"Missing in party books",IF(ABS((N(D108)-N(E108))-(SUMIF($I$9:$I$108,C108,$K$9:$K$108)-SUMIF($I$9:$I$108,C108,$J$9:$J$108)))&lt;1,"Matched","Amount differs")))</f>
        <v/>
      </c>
      <c r="H108" s="16"/>
      <c r="I108" s="5"/>
      <c r="J108" s="17"/>
      <c r="K108" s="17"/>
      <c r="L108" s="7" t="str">
        <f aca="false">IF(I108="","",IF(COUNTIF($C$9:$C$108,I108)=0,"Missing in our books",IF(ABS((N(K108)-N(J108))-(SUMIF($C$9:$C$108,I108,$D$9:$D$108)-SUMIF($C$9:$C$108,I108,$E$9:$E$108)))&lt;1,"Matched","Amount differs")))</f>
        <v/>
      </c>
    </row>
  </sheetData>
  <conditionalFormatting sqref="F9:F108">
    <cfRule type="expression" priority="2" aboveAverage="0" equalAverage="0" bottom="0" percent="0" rank="0" text="" dxfId="2">
      <formula>F9="Matched"</formula>
    </cfRule>
    <cfRule type="expression" priority="3" aboveAverage="0" equalAverage="0" bottom="0" percent="0" rank="0" text="" dxfId="1">
      <formula>AND(F9&lt;&gt;"",F9&lt;&gt;"Matched")</formula>
    </cfRule>
  </conditionalFormatting>
  <conditionalFormatting sqref="L9:L108">
    <cfRule type="expression" priority="4" aboveAverage="0" equalAverage="0" bottom="0" percent="0" rank="0" text="" dxfId="2">
      <formula>L9="Matched"</formula>
    </cfRule>
    <cfRule type="expression" priority="5" aboveAverage="0" equalAverage="0" bottom="0" percent="0" rank="0" text="" dxfId="1">
      <formula>AND(L9&lt;&gt;"",L9&lt;&gt;"Matched")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A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11"/>
    <col collapsed="false" customWidth="true" hidden="false" outlineLevel="0" max="11" min="11" style="0" width="4"/>
    <col collapsed="false" customWidth="true" hidden="false" outlineLevel="0" max="12" min="12" style="0" width="26"/>
    <col collapsed="false" customWidth="true" hidden="false" outlineLevel="0" max="13" min="13" style="0" width="3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20" min="18" style="0" width="10"/>
    <col collapsed="false" customWidth="true" hidden="false" outlineLevel="0" max="21" min="21" style="0" width="11"/>
    <col collapsed="false" customWidth="true" hidden="false" outlineLevel="0" max="22" min="22" style="0" width="4"/>
    <col collapsed="false" customWidth="true" hidden="false" outlineLevel="0" max="23" min="23" style="0" width="28"/>
    <col collapsed="false" customWidth="true" hidden="false" outlineLevel="0" max="25" min="24" style="0" width="3"/>
    <col collapsed="false" customWidth="true" hidden="false" outlineLevel="0" max="26" min="26" style="0" width="34"/>
    <col collapsed="false" customWidth="true" hidden="false" outlineLevel="0" max="27" min="27" style="0" width="14"/>
  </cols>
  <sheetData>
    <row r="2" customFormat="false" ht="19.7" hidden="false" customHeight="false" outlineLevel="0" collapsed="false">
      <c r="B2" s="1" t="s">
        <v>95</v>
      </c>
      <c r="Z2" s="3" t="s">
        <v>96</v>
      </c>
    </row>
    <row r="3" customFormat="false" ht="15" hidden="false" customHeight="false" outlineLevel="0" collapsed="false">
      <c r="B3" s="2"/>
      <c r="Z3" s="7" t="s">
        <v>97</v>
      </c>
      <c r="AA3" s="21" t="n">
        <f aca="false">SUM(J10:J309)</f>
        <v>33300</v>
      </c>
    </row>
    <row r="4" customFormat="false" ht="15" hidden="false" customHeight="false" outlineLevel="0" collapsed="false">
      <c r="B4" s="9" t="s">
        <v>33</v>
      </c>
      <c r="C4" s="5" t="s">
        <v>34</v>
      </c>
      <c r="Z4" s="7" t="s">
        <v>98</v>
      </c>
      <c r="AA4" s="21" t="n">
        <f aca="false">SUM(U10:U309)</f>
        <v>30600</v>
      </c>
    </row>
    <row r="5" customFormat="false" ht="15" hidden="false" customHeight="false" outlineLevel="0" collapsed="false">
      <c r="B5" s="9" t="s">
        <v>99</v>
      </c>
      <c r="C5" s="5" t="s">
        <v>100</v>
      </c>
      <c r="Z5" s="7" t="s">
        <v>101</v>
      </c>
      <c r="AA5" s="21" t="n">
        <f aca="false">SUMIF(L10:L309,"Matched",J10:J309)</f>
        <v>14400</v>
      </c>
    </row>
    <row r="6" customFormat="false" ht="15" hidden="false" customHeight="false" outlineLevel="0" collapsed="false">
      <c r="B6" s="9" t="s">
        <v>102</v>
      </c>
      <c r="C6" s="5" t="s">
        <v>103</v>
      </c>
      <c r="Z6" s="26" t="s">
        <v>104</v>
      </c>
      <c r="AA6" s="24" t="n">
        <f aca="false">SUMIF(L10:L309,"Not in 2B — ITC at risk",J10:J309)</f>
        <v>4500</v>
      </c>
    </row>
    <row r="7" customFormat="false" ht="15" hidden="false" customHeight="false" outlineLevel="0" collapsed="false">
      <c r="Z7" s="7" t="s">
        <v>105</v>
      </c>
      <c r="AA7" s="21" t="n">
        <f aca="false">SUMIF(L10:L309,"Tax amount differs",J10:J309)</f>
        <v>14400</v>
      </c>
    </row>
    <row r="8" customFormat="false" ht="15" hidden="false" customHeight="false" outlineLevel="0" collapsed="false">
      <c r="B8" s="3" t="s">
        <v>106</v>
      </c>
      <c r="N8" s="3" t="s">
        <v>107</v>
      </c>
      <c r="Z8" s="7" t="s">
        <v>108</v>
      </c>
      <c r="AA8" s="21" t="n">
        <f aca="false">SUMIF(W10:W309,"Tax amount differs",U10:U309)</f>
        <v>14040</v>
      </c>
    </row>
    <row r="9" customFormat="false" ht="30" hidden="false" customHeight="true" outlineLevel="0" collapsed="false">
      <c r="B9" s="18" t="s">
        <v>109</v>
      </c>
      <c r="C9" s="19" t="s">
        <v>110</v>
      </c>
      <c r="D9" s="19" t="s">
        <v>111</v>
      </c>
      <c r="E9" s="19" t="s">
        <v>112</v>
      </c>
      <c r="F9" s="19" t="s">
        <v>113</v>
      </c>
      <c r="G9" s="19" t="s">
        <v>114</v>
      </c>
      <c r="H9" s="19" t="s">
        <v>115</v>
      </c>
      <c r="I9" s="19" t="s">
        <v>116</v>
      </c>
      <c r="J9" s="19" t="s">
        <v>117</v>
      </c>
      <c r="K9" s="19" t="s">
        <v>118</v>
      </c>
      <c r="L9" s="19" t="s">
        <v>85</v>
      </c>
      <c r="N9" s="18" t="s">
        <v>109</v>
      </c>
      <c r="O9" s="19" t="s">
        <v>111</v>
      </c>
      <c r="P9" s="19" t="s">
        <v>112</v>
      </c>
      <c r="Q9" s="19" t="s">
        <v>113</v>
      </c>
      <c r="R9" s="19" t="s">
        <v>114</v>
      </c>
      <c r="S9" s="19" t="s">
        <v>115</v>
      </c>
      <c r="T9" s="19" t="s">
        <v>116</v>
      </c>
      <c r="U9" s="19" t="s">
        <v>117</v>
      </c>
      <c r="V9" s="19" t="s">
        <v>118</v>
      </c>
      <c r="W9" s="19" t="s">
        <v>85</v>
      </c>
      <c r="Z9" s="7" t="s">
        <v>119</v>
      </c>
      <c r="AA9" s="21" t="n">
        <f aca="false">SUMIF(W10:W309,"In 2B, not in books — check &amp; book",U10:U309)</f>
        <v>2160</v>
      </c>
    </row>
    <row r="10" customFormat="false" ht="15" hidden="false" customHeight="false" outlineLevel="0" collapsed="false">
      <c r="B10" s="5" t="s">
        <v>120</v>
      </c>
      <c r="C10" s="5" t="s">
        <v>74</v>
      </c>
      <c r="D10" s="5" t="s">
        <v>94</v>
      </c>
      <c r="E10" s="16" t="n">
        <v>46285</v>
      </c>
      <c r="F10" s="17" t="n">
        <v>30000</v>
      </c>
      <c r="G10" s="17" t="n">
        <v>0</v>
      </c>
      <c r="H10" s="17" t="n">
        <v>2700</v>
      </c>
      <c r="I10" s="17" t="n">
        <v>2700</v>
      </c>
      <c r="J10" s="21" t="n">
        <f aca="false">IF(B10="","",N(G10)+N(H10)+N(I10))</f>
        <v>5400</v>
      </c>
      <c r="K10" s="27" t="str">
        <f aca="false">IF(B10="","",UPPER(TRIM(B10))&amp;"|"&amp;UPPER(TRIM(D10)))</f>
        <v>06AAACS1111A1Z1|SS/203</v>
      </c>
      <c r="L10" s="7" t="str">
        <f aca="false">IF(B10="","",IF(COUNTIF($V$10:$V$309,K10)=0,"Not in 2B — ITC at risk",IF(ABS(J10-SUMIF($V$10:$V$309,K10,$U$10:$U$309))&lt;=1,"Matched","Tax amount differs")))</f>
        <v>Matched</v>
      </c>
      <c r="N10" s="5" t="s">
        <v>120</v>
      </c>
      <c r="O10" s="5" t="s">
        <v>94</v>
      </c>
      <c r="P10" s="16" t="n">
        <v>46285</v>
      </c>
      <c r="Q10" s="17" t="n">
        <v>30000</v>
      </c>
      <c r="R10" s="17" t="n">
        <v>0</v>
      </c>
      <c r="S10" s="17" t="n">
        <v>2700</v>
      </c>
      <c r="T10" s="17" t="n">
        <v>2700</v>
      </c>
      <c r="U10" s="21" t="n">
        <f aca="false">IF(N10="","",N(R10)+N(S10)+N(T10))</f>
        <v>5400</v>
      </c>
      <c r="V10" s="27" t="str">
        <f aca="false">IF(N10="","",UPPER(TRIM(N10))&amp;"|"&amp;UPPER(TRIM(O10)))</f>
        <v>06AAACS1111A1Z1|SS/203</v>
      </c>
      <c r="W10" s="7" t="str">
        <f aca="false">IF(N10="","",IF(COUNTIF($K$10:$K$309,V10)=0,"In 2B, not in books — check &amp; book",IF(ABS(U10-SUMIF($K$10:$K$309,V10,$J$10:$J$309))&lt;=1,"Matched","Tax amount differs")))</f>
        <v>Matched</v>
      </c>
      <c r="Z10" s="7" t="s">
        <v>121</v>
      </c>
      <c r="AA10" s="21" t="n">
        <f aca="false">AA3-AA4</f>
        <v>2700</v>
      </c>
    </row>
    <row r="11" customFormat="false" ht="15" hidden="false" customHeight="false" outlineLevel="0" collapsed="false">
      <c r="B11" s="5" t="s">
        <v>122</v>
      </c>
      <c r="C11" s="5" t="s">
        <v>123</v>
      </c>
      <c r="D11" s="5" t="s">
        <v>124</v>
      </c>
      <c r="E11" s="16" t="n">
        <v>46276</v>
      </c>
      <c r="F11" s="17" t="n">
        <v>50000</v>
      </c>
      <c r="G11" s="17" t="n">
        <v>9000</v>
      </c>
      <c r="H11" s="17" t="n">
        <v>0</v>
      </c>
      <c r="I11" s="17" t="n">
        <v>0</v>
      </c>
      <c r="J11" s="21" t="n">
        <f aca="false">IF(B11="","",N(G11)+N(H11)+N(I11))</f>
        <v>9000</v>
      </c>
      <c r="K11" s="27" t="str">
        <f aca="false">IF(B11="","",UPPER(TRIM(B11))&amp;"|"&amp;UPPER(TRIM(D11)))</f>
        <v>07AAACK2222B1Z2|KL-889</v>
      </c>
      <c r="L11" s="7" t="str">
        <f aca="false">IF(B11="","",IF(COUNTIF($V$10:$V$309,K11)=0,"Not in 2B — ITC at risk",IF(ABS(J11-SUMIF($V$10:$V$309,K11,$U$10:$U$309))&lt;=1,"Matched","Tax amount differs")))</f>
        <v>Matched</v>
      </c>
      <c r="N11" s="5" t="s">
        <v>122</v>
      </c>
      <c r="O11" s="5" t="s">
        <v>124</v>
      </c>
      <c r="P11" s="16" t="n">
        <v>46276</v>
      </c>
      <c r="Q11" s="17" t="n">
        <v>50000</v>
      </c>
      <c r="R11" s="17" t="n">
        <v>9000</v>
      </c>
      <c r="S11" s="17" t="n">
        <v>0</v>
      </c>
      <c r="T11" s="17" t="n">
        <v>0</v>
      </c>
      <c r="U11" s="21" t="n">
        <f aca="false">IF(N11="","",N(R11)+N(S11)+N(T11))</f>
        <v>9000</v>
      </c>
      <c r="V11" s="27" t="str">
        <f aca="false">IF(N11="","",UPPER(TRIM(N11))&amp;"|"&amp;UPPER(TRIM(O11)))</f>
        <v>07AAACK2222B1Z2|KL-889</v>
      </c>
      <c r="W11" s="7" t="str">
        <f aca="false">IF(N11="","",IF(COUNTIF($K$10:$K$309,V11)=0,"In 2B, not in books — check &amp; book",IF(ABS(U11-SUMIF($K$10:$K$309,V11,$J$10:$J$309))&lt;=1,"Matched","Tax amount differs")))</f>
        <v>Matched</v>
      </c>
      <c r="Z11" s="7" t="s">
        <v>125</v>
      </c>
      <c r="AA11" s="21" t="n">
        <f aca="false">AA6+AA7-AA8-AA9</f>
        <v>2700</v>
      </c>
    </row>
    <row r="12" customFormat="false" ht="15" hidden="false" customHeight="false" outlineLevel="0" collapsed="false">
      <c r="B12" s="5" t="s">
        <v>126</v>
      </c>
      <c r="C12" s="5" t="s">
        <v>127</v>
      </c>
      <c r="D12" s="5" t="s">
        <v>128</v>
      </c>
      <c r="E12" s="16" t="n">
        <v>46270</v>
      </c>
      <c r="F12" s="17" t="n">
        <v>80000</v>
      </c>
      <c r="G12" s="17" t="n">
        <v>0</v>
      </c>
      <c r="H12" s="17" t="n">
        <v>7200</v>
      </c>
      <c r="I12" s="17" t="n">
        <v>7200</v>
      </c>
      <c r="J12" s="21" t="n">
        <f aca="false">IF(B12="","",N(G12)+N(H12)+N(I12))</f>
        <v>14400</v>
      </c>
      <c r="K12" s="27" t="str">
        <f aca="false">IF(B12="","",UPPER(TRIM(B12))&amp;"|"&amp;UPPER(TRIM(D12)))</f>
        <v>06AAACR3333C1Z3|RIT/45</v>
      </c>
      <c r="L12" s="7" t="str">
        <f aca="false">IF(B12="","",IF(COUNTIF($V$10:$V$309,K12)=0,"Not in 2B — ITC at risk",IF(ABS(J12-SUMIF($V$10:$V$309,K12,$U$10:$U$309))&lt;=1,"Matched","Tax amount differs")))</f>
        <v>Tax amount differs</v>
      </c>
      <c r="N12" s="5" t="s">
        <v>126</v>
      </c>
      <c r="O12" s="5" t="s">
        <v>128</v>
      </c>
      <c r="P12" s="16" t="n">
        <v>46270</v>
      </c>
      <c r="Q12" s="17" t="n">
        <v>80000</v>
      </c>
      <c r="R12" s="17" t="n">
        <v>0</v>
      </c>
      <c r="S12" s="17" t="n">
        <v>7020</v>
      </c>
      <c r="T12" s="17" t="n">
        <v>7020</v>
      </c>
      <c r="U12" s="21" t="n">
        <f aca="false">IF(N12="","",N(R12)+N(S12)+N(T12))</f>
        <v>14040</v>
      </c>
      <c r="V12" s="27" t="str">
        <f aca="false">IF(N12="","",UPPER(TRIM(N12))&amp;"|"&amp;UPPER(TRIM(O12)))</f>
        <v>06AAACR3333C1Z3|RIT/45</v>
      </c>
      <c r="W12" s="7" t="str">
        <f aca="false">IF(N12="","",IF(COUNTIF($K$10:$K$309,V12)=0,"In 2B, not in books — check &amp; book",IF(ABS(U12-SUMIF($K$10:$K$309,V12,$J$10:$J$309))&lt;=1,"Matched","Tax amount differs")))</f>
        <v>Tax amount differs</v>
      </c>
      <c r="Z12" s="26" t="s">
        <v>129</v>
      </c>
      <c r="AA12" s="24" t="n">
        <f aca="false">AA10-AA11</f>
        <v>0</v>
      </c>
    </row>
    <row r="13" customFormat="false" ht="15" hidden="false" customHeight="false" outlineLevel="0" collapsed="false">
      <c r="B13" s="5" t="s">
        <v>130</v>
      </c>
      <c r="C13" s="5" t="s">
        <v>131</v>
      </c>
      <c r="D13" s="5" t="s">
        <v>132</v>
      </c>
      <c r="E13" s="16" t="n">
        <v>46289</v>
      </c>
      <c r="F13" s="17" t="n">
        <v>25000</v>
      </c>
      <c r="G13" s="17" t="n">
        <v>4500</v>
      </c>
      <c r="H13" s="17" t="n">
        <v>0</v>
      </c>
      <c r="I13" s="17" t="n">
        <v>0</v>
      </c>
      <c r="J13" s="21" t="n">
        <f aca="false">IF(B13="","",N(G13)+N(H13)+N(I13))</f>
        <v>4500</v>
      </c>
      <c r="K13" s="27" t="str">
        <f aca="false">IF(B13="","",UPPER(TRIM(B13))&amp;"|"&amp;UPPER(TRIM(D13)))</f>
        <v>29AAACM4444D1Z4|MP2026-77</v>
      </c>
      <c r="L13" s="7" t="str">
        <f aca="false">IF(B13="","",IF(COUNTIF($V$10:$V$309,K13)=0,"Not in 2B — ITC at risk",IF(ABS(J13-SUMIF($V$10:$V$309,K13,$U$10:$U$309))&lt;=1,"Matched","Tax amount differs")))</f>
        <v>Not in 2B — ITC at risk</v>
      </c>
      <c r="N13" s="5" t="s">
        <v>133</v>
      </c>
      <c r="O13" s="5" t="s">
        <v>134</v>
      </c>
      <c r="P13" s="16" t="n">
        <v>46293</v>
      </c>
      <c r="Q13" s="17" t="n">
        <v>12000</v>
      </c>
      <c r="R13" s="17" t="n">
        <v>2160</v>
      </c>
      <c r="S13" s="17" t="n">
        <v>0</v>
      </c>
      <c r="T13" s="17" t="n">
        <v>0</v>
      </c>
      <c r="U13" s="21" t="n">
        <f aca="false">IF(N13="","",N(R13)+N(S13)+N(T13))</f>
        <v>2160</v>
      </c>
      <c r="V13" s="27" t="str">
        <f aca="false">IF(N13="","",UPPER(TRIM(N13))&amp;"|"&amp;UPPER(TRIM(O13)))</f>
        <v>27AAACB5555E1Z5|BW/1180</v>
      </c>
      <c r="W13" s="7" t="str">
        <f aca="false">IF(N13="","",IF(COUNTIF($K$10:$K$309,V13)=0,"In 2B, not in books — check &amp; book",IF(ABS(U13-SUMIF($K$10:$K$309,V13,$J$10:$J$309))&lt;=1,"Matched","Tax amount differs")))</f>
        <v>In 2B, not in books — check &amp; book</v>
      </c>
    </row>
    <row r="14" customFormat="false" ht="15" hidden="false" customHeight="false" outlineLevel="0" collapsed="false">
      <c r="B14" s="5"/>
      <c r="C14" s="5"/>
      <c r="D14" s="5"/>
      <c r="E14" s="16"/>
      <c r="F14" s="17"/>
      <c r="G14" s="17"/>
      <c r="H14" s="17"/>
      <c r="I14" s="17"/>
      <c r="J14" s="21" t="str">
        <f aca="false">IF(B14="","",N(G14)+N(H14)+N(I14))</f>
        <v/>
      </c>
      <c r="K14" s="27" t="str">
        <f aca="false">IF(B14="","",UPPER(TRIM(B14))&amp;"|"&amp;UPPER(TRIM(D14)))</f>
        <v/>
      </c>
      <c r="L14" s="7" t="str">
        <f aca="false">IF(B14="","",IF(COUNTIF($V$10:$V$309,K14)=0,"Not in 2B — ITC at risk",IF(ABS(J14-SUMIF($V$10:$V$309,K14,$U$10:$U$309))&lt;=1,"Matched","Tax amount differs")))</f>
        <v/>
      </c>
      <c r="N14" s="5"/>
      <c r="O14" s="5"/>
      <c r="P14" s="16"/>
      <c r="Q14" s="17"/>
      <c r="R14" s="17"/>
      <c r="S14" s="17"/>
      <c r="T14" s="17"/>
      <c r="U14" s="21" t="str">
        <f aca="false">IF(N14="","",N(R14)+N(S14)+N(T14))</f>
        <v/>
      </c>
      <c r="V14" s="27" t="str">
        <f aca="false">IF(N14="","",UPPER(TRIM(N14))&amp;"|"&amp;UPPER(TRIM(O14)))</f>
        <v/>
      </c>
      <c r="W14" s="7" t="str">
        <f aca="false">IF(N14="","",IF(COUNTIF($K$10:$K$309,V14)=0,"In 2B, not in books — check &amp; book",IF(ABS(U14-SUMIF($K$10:$K$309,V14,$J$10:$J$309))&lt;=1,"Matched","Tax amount differs")))</f>
        <v/>
      </c>
    </row>
    <row r="15" customFormat="false" ht="15" hidden="false" customHeight="false" outlineLevel="0" collapsed="false">
      <c r="B15" s="5"/>
      <c r="C15" s="5"/>
      <c r="D15" s="5"/>
      <c r="E15" s="16"/>
      <c r="F15" s="17"/>
      <c r="G15" s="17"/>
      <c r="H15" s="17"/>
      <c r="I15" s="17"/>
      <c r="J15" s="21" t="str">
        <f aca="false">IF(B15="","",N(G15)+N(H15)+N(I15))</f>
        <v/>
      </c>
      <c r="K15" s="27" t="str">
        <f aca="false">IF(B15="","",UPPER(TRIM(B15))&amp;"|"&amp;UPPER(TRIM(D15)))</f>
        <v/>
      </c>
      <c r="L15" s="7" t="str">
        <f aca="false">IF(B15="","",IF(COUNTIF($V$10:$V$309,K15)=0,"Not in 2B — ITC at risk",IF(ABS(J15-SUMIF($V$10:$V$309,K15,$U$10:$U$309))&lt;=1,"Matched","Tax amount differs")))</f>
        <v/>
      </c>
      <c r="N15" s="5"/>
      <c r="O15" s="5"/>
      <c r="P15" s="16"/>
      <c r="Q15" s="17"/>
      <c r="R15" s="17"/>
      <c r="S15" s="17"/>
      <c r="T15" s="17"/>
      <c r="U15" s="21" t="str">
        <f aca="false">IF(N15="","",N(R15)+N(S15)+N(T15))</f>
        <v/>
      </c>
      <c r="V15" s="27" t="str">
        <f aca="false">IF(N15="","",UPPER(TRIM(N15))&amp;"|"&amp;UPPER(TRIM(O15)))</f>
        <v/>
      </c>
      <c r="W15" s="7" t="str">
        <f aca="false">IF(N15="","",IF(COUNTIF($K$10:$K$309,V15)=0,"In 2B, not in books — check &amp; book",IF(ABS(U15-SUMIF($K$10:$K$309,V15,$J$10:$J$309))&lt;=1,"Matched","Tax amount differs")))</f>
        <v/>
      </c>
    </row>
    <row r="16" customFormat="false" ht="15" hidden="false" customHeight="false" outlineLevel="0" collapsed="false">
      <c r="B16" s="5"/>
      <c r="C16" s="5"/>
      <c r="D16" s="5"/>
      <c r="E16" s="16"/>
      <c r="F16" s="17"/>
      <c r="G16" s="17"/>
      <c r="H16" s="17"/>
      <c r="I16" s="17"/>
      <c r="J16" s="21" t="str">
        <f aca="false">IF(B16="","",N(G16)+N(H16)+N(I16))</f>
        <v/>
      </c>
      <c r="K16" s="27" t="str">
        <f aca="false">IF(B16="","",UPPER(TRIM(B16))&amp;"|"&amp;UPPER(TRIM(D16)))</f>
        <v/>
      </c>
      <c r="L16" s="7" t="str">
        <f aca="false">IF(B16="","",IF(COUNTIF($V$10:$V$309,K16)=0,"Not in 2B — ITC at risk",IF(ABS(J16-SUMIF($V$10:$V$309,K16,$U$10:$U$309))&lt;=1,"Matched","Tax amount differs")))</f>
        <v/>
      </c>
      <c r="N16" s="5"/>
      <c r="O16" s="5"/>
      <c r="P16" s="16"/>
      <c r="Q16" s="17"/>
      <c r="R16" s="17"/>
      <c r="S16" s="17"/>
      <c r="T16" s="17"/>
      <c r="U16" s="21" t="str">
        <f aca="false">IF(N16="","",N(R16)+N(S16)+N(T16))</f>
        <v/>
      </c>
      <c r="V16" s="27" t="str">
        <f aca="false">IF(N16="","",UPPER(TRIM(N16))&amp;"|"&amp;UPPER(TRIM(O16)))</f>
        <v/>
      </c>
      <c r="W16" s="7" t="str">
        <f aca="false">IF(N16="","",IF(COUNTIF($K$10:$K$309,V16)=0,"In 2B, not in books — check &amp; book",IF(ABS(U16-SUMIF($K$10:$K$309,V16,$J$10:$J$309))&lt;=1,"Matched","Tax amount differs")))</f>
        <v/>
      </c>
    </row>
    <row r="17" customFormat="false" ht="15" hidden="false" customHeight="false" outlineLevel="0" collapsed="false">
      <c r="B17" s="5"/>
      <c r="C17" s="5"/>
      <c r="D17" s="5"/>
      <c r="E17" s="16"/>
      <c r="F17" s="17"/>
      <c r="G17" s="17"/>
      <c r="H17" s="17"/>
      <c r="I17" s="17"/>
      <c r="J17" s="21" t="str">
        <f aca="false">IF(B17="","",N(G17)+N(H17)+N(I17))</f>
        <v/>
      </c>
      <c r="K17" s="27" t="str">
        <f aca="false">IF(B17="","",UPPER(TRIM(B17))&amp;"|"&amp;UPPER(TRIM(D17)))</f>
        <v/>
      </c>
      <c r="L17" s="7" t="str">
        <f aca="false">IF(B17="","",IF(COUNTIF($V$10:$V$309,K17)=0,"Not in 2B — ITC at risk",IF(ABS(J17-SUMIF($V$10:$V$309,K17,$U$10:$U$309))&lt;=1,"Matched","Tax amount differs")))</f>
        <v/>
      </c>
      <c r="N17" s="5"/>
      <c r="O17" s="5"/>
      <c r="P17" s="16"/>
      <c r="Q17" s="17"/>
      <c r="R17" s="17"/>
      <c r="S17" s="17"/>
      <c r="T17" s="17"/>
      <c r="U17" s="21" t="str">
        <f aca="false">IF(N17="","",N(R17)+N(S17)+N(T17))</f>
        <v/>
      </c>
      <c r="V17" s="27" t="str">
        <f aca="false">IF(N17="","",UPPER(TRIM(N17))&amp;"|"&amp;UPPER(TRIM(O17)))</f>
        <v/>
      </c>
      <c r="W17" s="7" t="str">
        <f aca="false">IF(N17="","",IF(COUNTIF($K$10:$K$309,V17)=0,"In 2B, not in books — check &amp; book",IF(ABS(U17-SUMIF($K$10:$K$309,V17,$J$10:$J$309))&lt;=1,"Matched","Tax amount differs")))</f>
        <v/>
      </c>
    </row>
    <row r="18" customFormat="false" ht="15" hidden="false" customHeight="false" outlineLevel="0" collapsed="false">
      <c r="B18" s="5"/>
      <c r="C18" s="5"/>
      <c r="D18" s="5"/>
      <c r="E18" s="16"/>
      <c r="F18" s="17"/>
      <c r="G18" s="17"/>
      <c r="H18" s="17"/>
      <c r="I18" s="17"/>
      <c r="J18" s="21" t="str">
        <f aca="false">IF(B18="","",N(G18)+N(H18)+N(I18))</f>
        <v/>
      </c>
      <c r="K18" s="27" t="str">
        <f aca="false">IF(B18="","",UPPER(TRIM(B18))&amp;"|"&amp;UPPER(TRIM(D18)))</f>
        <v/>
      </c>
      <c r="L18" s="7" t="str">
        <f aca="false">IF(B18="","",IF(COUNTIF($V$10:$V$309,K18)=0,"Not in 2B — ITC at risk",IF(ABS(J18-SUMIF($V$10:$V$309,K18,$U$10:$U$309))&lt;=1,"Matched","Tax amount differs")))</f>
        <v/>
      </c>
      <c r="N18" s="5"/>
      <c r="O18" s="5"/>
      <c r="P18" s="16"/>
      <c r="Q18" s="17"/>
      <c r="R18" s="17"/>
      <c r="S18" s="17"/>
      <c r="T18" s="17"/>
      <c r="U18" s="21" t="str">
        <f aca="false">IF(N18="","",N(R18)+N(S18)+N(T18))</f>
        <v/>
      </c>
      <c r="V18" s="27" t="str">
        <f aca="false">IF(N18="","",UPPER(TRIM(N18))&amp;"|"&amp;UPPER(TRIM(O18)))</f>
        <v/>
      </c>
      <c r="W18" s="7" t="str">
        <f aca="false">IF(N18="","",IF(COUNTIF($K$10:$K$309,V18)=0,"In 2B, not in books — check &amp; book",IF(ABS(U18-SUMIF($K$10:$K$309,V18,$J$10:$J$309))&lt;=1,"Matched","Tax amount differs")))</f>
        <v/>
      </c>
    </row>
    <row r="19" customFormat="false" ht="15" hidden="false" customHeight="false" outlineLevel="0" collapsed="false">
      <c r="B19" s="5"/>
      <c r="C19" s="5"/>
      <c r="D19" s="5"/>
      <c r="E19" s="16"/>
      <c r="F19" s="17"/>
      <c r="G19" s="17"/>
      <c r="H19" s="17"/>
      <c r="I19" s="17"/>
      <c r="J19" s="21" t="str">
        <f aca="false">IF(B19="","",N(G19)+N(H19)+N(I19))</f>
        <v/>
      </c>
      <c r="K19" s="27" t="str">
        <f aca="false">IF(B19="","",UPPER(TRIM(B19))&amp;"|"&amp;UPPER(TRIM(D19)))</f>
        <v/>
      </c>
      <c r="L19" s="7" t="str">
        <f aca="false">IF(B19="","",IF(COUNTIF($V$10:$V$309,K19)=0,"Not in 2B — ITC at risk",IF(ABS(J19-SUMIF($V$10:$V$309,K19,$U$10:$U$309))&lt;=1,"Matched","Tax amount differs")))</f>
        <v/>
      </c>
      <c r="N19" s="5"/>
      <c r="O19" s="5"/>
      <c r="P19" s="16"/>
      <c r="Q19" s="17"/>
      <c r="R19" s="17"/>
      <c r="S19" s="17"/>
      <c r="T19" s="17"/>
      <c r="U19" s="21" t="str">
        <f aca="false">IF(N19="","",N(R19)+N(S19)+N(T19))</f>
        <v/>
      </c>
      <c r="V19" s="27" t="str">
        <f aca="false">IF(N19="","",UPPER(TRIM(N19))&amp;"|"&amp;UPPER(TRIM(O19)))</f>
        <v/>
      </c>
      <c r="W19" s="7" t="str">
        <f aca="false">IF(N19="","",IF(COUNTIF($K$10:$K$309,V19)=0,"In 2B, not in books — check &amp; book",IF(ABS(U19-SUMIF($K$10:$K$309,V19,$J$10:$J$309))&lt;=1,"Matched","Tax amount differs")))</f>
        <v/>
      </c>
    </row>
    <row r="20" customFormat="false" ht="15" hidden="false" customHeight="false" outlineLevel="0" collapsed="false">
      <c r="B20" s="5"/>
      <c r="C20" s="5"/>
      <c r="D20" s="5"/>
      <c r="E20" s="16"/>
      <c r="F20" s="17"/>
      <c r="G20" s="17"/>
      <c r="H20" s="17"/>
      <c r="I20" s="17"/>
      <c r="J20" s="21" t="str">
        <f aca="false">IF(B20="","",N(G20)+N(H20)+N(I20))</f>
        <v/>
      </c>
      <c r="K20" s="27" t="str">
        <f aca="false">IF(B20="","",UPPER(TRIM(B20))&amp;"|"&amp;UPPER(TRIM(D20)))</f>
        <v/>
      </c>
      <c r="L20" s="7" t="str">
        <f aca="false">IF(B20="","",IF(COUNTIF($V$10:$V$309,K20)=0,"Not in 2B — ITC at risk",IF(ABS(J20-SUMIF($V$10:$V$309,K20,$U$10:$U$309))&lt;=1,"Matched","Tax amount differs")))</f>
        <v/>
      </c>
      <c r="N20" s="5"/>
      <c r="O20" s="5"/>
      <c r="P20" s="16"/>
      <c r="Q20" s="17"/>
      <c r="R20" s="17"/>
      <c r="S20" s="17"/>
      <c r="T20" s="17"/>
      <c r="U20" s="21" t="str">
        <f aca="false">IF(N20="","",N(R20)+N(S20)+N(T20))</f>
        <v/>
      </c>
      <c r="V20" s="27" t="str">
        <f aca="false">IF(N20="","",UPPER(TRIM(N20))&amp;"|"&amp;UPPER(TRIM(O20)))</f>
        <v/>
      </c>
      <c r="W20" s="7" t="str">
        <f aca="false">IF(N20="","",IF(COUNTIF($K$10:$K$309,V20)=0,"In 2B, not in books — check &amp; book",IF(ABS(U20-SUMIF($K$10:$K$309,V20,$J$10:$J$309))&lt;=1,"Matched","Tax amount differs")))</f>
        <v/>
      </c>
    </row>
    <row r="21" customFormat="false" ht="15" hidden="false" customHeight="false" outlineLevel="0" collapsed="false">
      <c r="B21" s="5"/>
      <c r="C21" s="5"/>
      <c r="D21" s="5"/>
      <c r="E21" s="16"/>
      <c r="F21" s="17"/>
      <c r="G21" s="17"/>
      <c r="H21" s="17"/>
      <c r="I21" s="17"/>
      <c r="J21" s="21" t="str">
        <f aca="false">IF(B21="","",N(G21)+N(H21)+N(I21))</f>
        <v/>
      </c>
      <c r="K21" s="27" t="str">
        <f aca="false">IF(B21="","",UPPER(TRIM(B21))&amp;"|"&amp;UPPER(TRIM(D21)))</f>
        <v/>
      </c>
      <c r="L21" s="7" t="str">
        <f aca="false">IF(B21="","",IF(COUNTIF($V$10:$V$309,K21)=0,"Not in 2B — ITC at risk",IF(ABS(J21-SUMIF($V$10:$V$309,K21,$U$10:$U$309))&lt;=1,"Matched","Tax amount differs")))</f>
        <v/>
      </c>
      <c r="N21" s="5"/>
      <c r="O21" s="5"/>
      <c r="P21" s="16"/>
      <c r="Q21" s="17"/>
      <c r="R21" s="17"/>
      <c r="S21" s="17"/>
      <c r="T21" s="17"/>
      <c r="U21" s="21" t="str">
        <f aca="false">IF(N21="","",N(R21)+N(S21)+N(T21))</f>
        <v/>
      </c>
      <c r="V21" s="27" t="str">
        <f aca="false">IF(N21="","",UPPER(TRIM(N21))&amp;"|"&amp;UPPER(TRIM(O21)))</f>
        <v/>
      </c>
      <c r="W21" s="7" t="str">
        <f aca="false">IF(N21="","",IF(COUNTIF($K$10:$K$309,V21)=0,"In 2B, not in books — check &amp; book",IF(ABS(U21-SUMIF($K$10:$K$309,V21,$J$10:$J$309))&lt;=1,"Matched","Tax amount differs")))</f>
        <v/>
      </c>
    </row>
    <row r="22" customFormat="false" ht="15" hidden="false" customHeight="false" outlineLevel="0" collapsed="false">
      <c r="B22" s="5"/>
      <c r="C22" s="5"/>
      <c r="D22" s="5"/>
      <c r="E22" s="16"/>
      <c r="F22" s="17"/>
      <c r="G22" s="17"/>
      <c r="H22" s="17"/>
      <c r="I22" s="17"/>
      <c r="J22" s="21" t="str">
        <f aca="false">IF(B22="","",N(G22)+N(H22)+N(I22))</f>
        <v/>
      </c>
      <c r="K22" s="27" t="str">
        <f aca="false">IF(B22="","",UPPER(TRIM(B22))&amp;"|"&amp;UPPER(TRIM(D22)))</f>
        <v/>
      </c>
      <c r="L22" s="7" t="str">
        <f aca="false">IF(B22="","",IF(COUNTIF($V$10:$V$309,K22)=0,"Not in 2B — ITC at risk",IF(ABS(J22-SUMIF($V$10:$V$309,K22,$U$10:$U$309))&lt;=1,"Matched","Tax amount differs")))</f>
        <v/>
      </c>
      <c r="N22" s="5"/>
      <c r="O22" s="5"/>
      <c r="P22" s="16"/>
      <c r="Q22" s="17"/>
      <c r="R22" s="17"/>
      <c r="S22" s="17"/>
      <c r="T22" s="17"/>
      <c r="U22" s="21" t="str">
        <f aca="false">IF(N22="","",N(R22)+N(S22)+N(T22))</f>
        <v/>
      </c>
      <c r="V22" s="27" t="str">
        <f aca="false">IF(N22="","",UPPER(TRIM(N22))&amp;"|"&amp;UPPER(TRIM(O22)))</f>
        <v/>
      </c>
      <c r="W22" s="7" t="str">
        <f aca="false">IF(N22="","",IF(COUNTIF($K$10:$K$309,V22)=0,"In 2B, not in books — check &amp; book",IF(ABS(U22-SUMIF($K$10:$K$309,V22,$J$10:$J$309))&lt;=1,"Matched","Tax amount differs")))</f>
        <v/>
      </c>
    </row>
    <row r="23" customFormat="false" ht="15" hidden="false" customHeight="false" outlineLevel="0" collapsed="false">
      <c r="B23" s="5"/>
      <c r="C23" s="5"/>
      <c r="D23" s="5"/>
      <c r="E23" s="16"/>
      <c r="F23" s="17"/>
      <c r="G23" s="17"/>
      <c r="H23" s="17"/>
      <c r="I23" s="17"/>
      <c r="J23" s="21" t="str">
        <f aca="false">IF(B23="","",N(G23)+N(H23)+N(I23))</f>
        <v/>
      </c>
      <c r="K23" s="27" t="str">
        <f aca="false">IF(B23="","",UPPER(TRIM(B23))&amp;"|"&amp;UPPER(TRIM(D23)))</f>
        <v/>
      </c>
      <c r="L23" s="7" t="str">
        <f aca="false">IF(B23="","",IF(COUNTIF($V$10:$V$309,K23)=0,"Not in 2B — ITC at risk",IF(ABS(J23-SUMIF($V$10:$V$309,K23,$U$10:$U$309))&lt;=1,"Matched","Tax amount differs")))</f>
        <v/>
      </c>
      <c r="N23" s="5"/>
      <c r="O23" s="5"/>
      <c r="P23" s="16"/>
      <c r="Q23" s="17"/>
      <c r="R23" s="17"/>
      <c r="S23" s="17"/>
      <c r="T23" s="17"/>
      <c r="U23" s="21" t="str">
        <f aca="false">IF(N23="","",N(R23)+N(S23)+N(T23))</f>
        <v/>
      </c>
      <c r="V23" s="27" t="str">
        <f aca="false">IF(N23="","",UPPER(TRIM(N23))&amp;"|"&amp;UPPER(TRIM(O23)))</f>
        <v/>
      </c>
      <c r="W23" s="7" t="str">
        <f aca="false">IF(N23="","",IF(COUNTIF($K$10:$K$309,V23)=0,"In 2B, not in books — check &amp; book",IF(ABS(U23-SUMIF($K$10:$K$309,V23,$J$10:$J$309))&lt;=1,"Matched","Tax amount differs")))</f>
        <v/>
      </c>
    </row>
    <row r="24" customFormat="false" ht="15" hidden="false" customHeight="false" outlineLevel="0" collapsed="false">
      <c r="B24" s="5"/>
      <c r="C24" s="5"/>
      <c r="D24" s="5"/>
      <c r="E24" s="16"/>
      <c r="F24" s="17"/>
      <c r="G24" s="17"/>
      <c r="H24" s="17"/>
      <c r="I24" s="17"/>
      <c r="J24" s="21" t="str">
        <f aca="false">IF(B24="","",N(G24)+N(H24)+N(I24))</f>
        <v/>
      </c>
      <c r="K24" s="27" t="str">
        <f aca="false">IF(B24="","",UPPER(TRIM(B24))&amp;"|"&amp;UPPER(TRIM(D24)))</f>
        <v/>
      </c>
      <c r="L24" s="7" t="str">
        <f aca="false">IF(B24="","",IF(COUNTIF($V$10:$V$309,K24)=0,"Not in 2B — ITC at risk",IF(ABS(J24-SUMIF($V$10:$V$309,K24,$U$10:$U$309))&lt;=1,"Matched","Tax amount differs")))</f>
        <v/>
      </c>
      <c r="N24" s="5"/>
      <c r="O24" s="5"/>
      <c r="P24" s="16"/>
      <c r="Q24" s="17"/>
      <c r="R24" s="17"/>
      <c r="S24" s="17"/>
      <c r="T24" s="17"/>
      <c r="U24" s="21" t="str">
        <f aca="false">IF(N24="","",N(R24)+N(S24)+N(T24))</f>
        <v/>
      </c>
      <c r="V24" s="27" t="str">
        <f aca="false">IF(N24="","",UPPER(TRIM(N24))&amp;"|"&amp;UPPER(TRIM(O24)))</f>
        <v/>
      </c>
      <c r="W24" s="7" t="str">
        <f aca="false">IF(N24="","",IF(COUNTIF($K$10:$K$309,V24)=0,"In 2B, not in books — check &amp; book",IF(ABS(U24-SUMIF($K$10:$K$309,V24,$J$10:$J$309))&lt;=1,"Matched","Tax amount differs")))</f>
        <v/>
      </c>
    </row>
    <row r="25" customFormat="false" ht="15" hidden="false" customHeight="false" outlineLevel="0" collapsed="false">
      <c r="B25" s="5"/>
      <c r="C25" s="5"/>
      <c r="D25" s="5"/>
      <c r="E25" s="16"/>
      <c r="F25" s="17"/>
      <c r="G25" s="17"/>
      <c r="H25" s="17"/>
      <c r="I25" s="17"/>
      <c r="J25" s="21" t="str">
        <f aca="false">IF(B25="","",N(G25)+N(H25)+N(I25))</f>
        <v/>
      </c>
      <c r="K25" s="27" t="str">
        <f aca="false">IF(B25="","",UPPER(TRIM(B25))&amp;"|"&amp;UPPER(TRIM(D25)))</f>
        <v/>
      </c>
      <c r="L25" s="7" t="str">
        <f aca="false">IF(B25="","",IF(COUNTIF($V$10:$V$309,K25)=0,"Not in 2B — ITC at risk",IF(ABS(J25-SUMIF($V$10:$V$309,K25,$U$10:$U$309))&lt;=1,"Matched","Tax amount differs")))</f>
        <v/>
      </c>
      <c r="N25" s="5"/>
      <c r="O25" s="5"/>
      <c r="P25" s="16"/>
      <c r="Q25" s="17"/>
      <c r="R25" s="17"/>
      <c r="S25" s="17"/>
      <c r="T25" s="17"/>
      <c r="U25" s="21" t="str">
        <f aca="false">IF(N25="","",N(R25)+N(S25)+N(T25))</f>
        <v/>
      </c>
      <c r="V25" s="27" t="str">
        <f aca="false">IF(N25="","",UPPER(TRIM(N25))&amp;"|"&amp;UPPER(TRIM(O25)))</f>
        <v/>
      </c>
      <c r="W25" s="7" t="str">
        <f aca="false">IF(N25="","",IF(COUNTIF($K$10:$K$309,V25)=0,"In 2B, not in books — check &amp; book",IF(ABS(U25-SUMIF($K$10:$K$309,V25,$J$10:$J$309))&lt;=1,"Matched","Tax amount differs")))</f>
        <v/>
      </c>
    </row>
    <row r="26" customFormat="false" ht="15" hidden="false" customHeight="false" outlineLevel="0" collapsed="false">
      <c r="B26" s="5"/>
      <c r="C26" s="5"/>
      <c r="D26" s="5"/>
      <c r="E26" s="16"/>
      <c r="F26" s="17"/>
      <c r="G26" s="17"/>
      <c r="H26" s="17"/>
      <c r="I26" s="17"/>
      <c r="J26" s="21" t="str">
        <f aca="false">IF(B26="","",N(G26)+N(H26)+N(I26))</f>
        <v/>
      </c>
      <c r="K26" s="27" t="str">
        <f aca="false">IF(B26="","",UPPER(TRIM(B26))&amp;"|"&amp;UPPER(TRIM(D26)))</f>
        <v/>
      </c>
      <c r="L26" s="7" t="str">
        <f aca="false">IF(B26="","",IF(COUNTIF($V$10:$V$309,K26)=0,"Not in 2B — ITC at risk",IF(ABS(J26-SUMIF($V$10:$V$309,K26,$U$10:$U$309))&lt;=1,"Matched","Tax amount differs")))</f>
        <v/>
      </c>
      <c r="N26" s="5"/>
      <c r="O26" s="5"/>
      <c r="P26" s="16"/>
      <c r="Q26" s="17"/>
      <c r="R26" s="17"/>
      <c r="S26" s="17"/>
      <c r="T26" s="17"/>
      <c r="U26" s="21" t="str">
        <f aca="false">IF(N26="","",N(R26)+N(S26)+N(T26))</f>
        <v/>
      </c>
      <c r="V26" s="27" t="str">
        <f aca="false">IF(N26="","",UPPER(TRIM(N26))&amp;"|"&amp;UPPER(TRIM(O26)))</f>
        <v/>
      </c>
      <c r="W26" s="7" t="str">
        <f aca="false">IF(N26="","",IF(COUNTIF($K$10:$K$309,V26)=0,"In 2B, not in books — check &amp; book",IF(ABS(U26-SUMIF($K$10:$K$309,V26,$J$10:$J$309))&lt;=1,"Matched","Tax amount differs")))</f>
        <v/>
      </c>
    </row>
    <row r="27" customFormat="false" ht="15" hidden="false" customHeight="false" outlineLevel="0" collapsed="false">
      <c r="B27" s="5"/>
      <c r="C27" s="5"/>
      <c r="D27" s="5"/>
      <c r="E27" s="16"/>
      <c r="F27" s="17"/>
      <c r="G27" s="17"/>
      <c r="H27" s="17"/>
      <c r="I27" s="17"/>
      <c r="J27" s="21" t="str">
        <f aca="false">IF(B27="","",N(G27)+N(H27)+N(I27))</f>
        <v/>
      </c>
      <c r="K27" s="27" t="str">
        <f aca="false">IF(B27="","",UPPER(TRIM(B27))&amp;"|"&amp;UPPER(TRIM(D27)))</f>
        <v/>
      </c>
      <c r="L27" s="7" t="str">
        <f aca="false">IF(B27="","",IF(COUNTIF($V$10:$V$309,K27)=0,"Not in 2B — ITC at risk",IF(ABS(J27-SUMIF($V$10:$V$309,K27,$U$10:$U$309))&lt;=1,"Matched","Tax amount differs")))</f>
        <v/>
      </c>
      <c r="N27" s="5"/>
      <c r="O27" s="5"/>
      <c r="P27" s="16"/>
      <c r="Q27" s="17"/>
      <c r="R27" s="17"/>
      <c r="S27" s="17"/>
      <c r="T27" s="17"/>
      <c r="U27" s="21" t="str">
        <f aca="false">IF(N27="","",N(R27)+N(S27)+N(T27))</f>
        <v/>
      </c>
      <c r="V27" s="27" t="str">
        <f aca="false">IF(N27="","",UPPER(TRIM(N27))&amp;"|"&amp;UPPER(TRIM(O27)))</f>
        <v/>
      </c>
      <c r="W27" s="7" t="str">
        <f aca="false">IF(N27="","",IF(COUNTIF($K$10:$K$309,V27)=0,"In 2B, not in books — check &amp; book",IF(ABS(U27-SUMIF($K$10:$K$309,V27,$J$10:$J$309))&lt;=1,"Matched","Tax amount differs")))</f>
        <v/>
      </c>
    </row>
    <row r="28" customFormat="false" ht="15" hidden="false" customHeight="false" outlineLevel="0" collapsed="false">
      <c r="B28" s="5"/>
      <c r="C28" s="5"/>
      <c r="D28" s="5"/>
      <c r="E28" s="16"/>
      <c r="F28" s="17"/>
      <c r="G28" s="17"/>
      <c r="H28" s="17"/>
      <c r="I28" s="17"/>
      <c r="J28" s="21" t="str">
        <f aca="false">IF(B28="","",N(G28)+N(H28)+N(I28))</f>
        <v/>
      </c>
      <c r="K28" s="27" t="str">
        <f aca="false">IF(B28="","",UPPER(TRIM(B28))&amp;"|"&amp;UPPER(TRIM(D28)))</f>
        <v/>
      </c>
      <c r="L28" s="7" t="str">
        <f aca="false">IF(B28="","",IF(COUNTIF($V$10:$V$309,K28)=0,"Not in 2B — ITC at risk",IF(ABS(J28-SUMIF($V$10:$V$309,K28,$U$10:$U$309))&lt;=1,"Matched","Tax amount differs")))</f>
        <v/>
      </c>
      <c r="N28" s="5"/>
      <c r="O28" s="5"/>
      <c r="P28" s="16"/>
      <c r="Q28" s="17"/>
      <c r="R28" s="17"/>
      <c r="S28" s="17"/>
      <c r="T28" s="17"/>
      <c r="U28" s="21" t="str">
        <f aca="false">IF(N28="","",N(R28)+N(S28)+N(T28))</f>
        <v/>
      </c>
      <c r="V28" s="27" t="str">
        <f aca="false">IF(N28="","",UPPER(TRIM(N28))&amp;"|"&amp;UPPER(TRIM(O28)))</f>
        <v/>
      </c>
      <c r="W28" s="7" t="str">
        <f aca="false">IF(N28="","",IF(COUNTIF($K$10:$K$309,V28)=0,"In 2B, not in books — check &amp; book",IF(ABS(U28-SUMIF($K$10:$K$309,V28,$J$10:$J$309))&lt;=1,"Matched","Tax amount differs")))</f>
        <v/>
      </c>
    </row>
    <row r="29" customFormat="false" ht="15" hidden="false" customHeight="false" outlineLevel="0" collapsed="false">
      <c r="B29" s="5"/>
      <c r="C29" s="5"/>
      <c r="D29" s="5"/>
      <c r="E29" s="16"/>
      <c r="F29" s="17"/>
      <c r="G29" s="17"/>
      <c r="H29" s="17"/>
      <c r="I29" s="17"/>
      <c r="J29" s="21" t="str">
        <f aca="false">IF(B29="","",N(G29)+N(H29)+N(I29))</f>
        <v/>
      </c>
      <c r="K29" s="27" t="str">
        <f aca="false">IF(B29="","",UPPER(TRIM(B29))&amp;"|"&amp;UPPER(TRIM(D29)))</f>
        <v/>
      </c>
      <c r="L29" s="7" t="str">
        <f aca="false">IF(B29="","",IF(COUNTIF($V$10:$V$309,K29)=0,"Not in 2B — ITC at risk",IF(ABS(J29-SUMIF($V$10:$V$309,K29,$U$10:$U$309))&lt;=1,"Matched","Tax amount differs")))</f>
        <v/>
      </c>
      <c r="N29" s="5"/>
      <c r="O29" s="5"/>
      <c r="P29" s="16"/>
      <c r="Q29" s="17"/>
      <c r="R29" s="17"/>
      <c r="S29" s="17"/>
      <c r="T29" s="17"/>
      <c r="U29" s="21" t="str">
        <f aca="false">IF(N29="","",N(R29)+N(S29)+N(T29))</f>
        <v/>
      </c>
      <c r="V29" s="27" t="str">
        <f aca="false">IF(N29="","",UPPER(TRIM(N29))&amp;"|"&amp;UPPER(TRIM(O29)))</f>
        <v/>
      </c>
      <c r="W29" s="7" t="str">
        <f aca="false">IF(N29="","",IF(COUNTIF($K$10:$K$309,V29)=0,"In 2B, not in books — check &amp; book",IF(ABS(U29-SUMIF($K$10:$K$309,V29,$J$10:$J$309))&lt;=1,"Matched","Tax amount differs")))</f>
        <v/>
      </c>
    </row>
    <row r="30" customFormat="false" ht="15" hidden="false" customHeight="false" outlineLevel="0" collapsed="false">
      <c r="B30" s="5"/>
      <c r="C30" s="5"/>
      <c r="D30" s="5"/>
      <c r="E30" s="16"/>
      <c r="F30" s="17"/>
      <c r="G30" s="17"/>
      <c r="H30" s="17"/>
      <c r="I30" s="17"/>
      <c r="J30" s="21" t="str">
        <f aca="false">IF(B30="","",N(G30)+N(H30)+N(I30))</f>
        <v/>
      </c>
      <c r="K30" s="27" t="str">
        <f aca="false">IF(B30="","",UPPER(TRIM(B30))&amp;"|"&amp;UPPER(TRIM(D30)))</f>
        <v/>
      </c>
      <c r="L30" s="7" t="str">
        <f aca="false">IF(B30="","",IF(COUNTIF($V$10:$V$309,K30)=0,"Not in 2B — ITC at risk",IF(ABS(J30-SUMIF($V$10:$V$309,K30,$U$10:$U$309))&lt;=1,"Matched","Tax amount differs")))</f>
        <v/>
      </c>
      <c r="N30" s="5"/>
      <c r="O30" s="5"/>
      <c r="P30" s="16"/>
      <c r="Q30" s="17"/>
      <c r="R30" s="17"/>
      <c r="S30" s="17"/>
      <c r="T30" s="17"/>
      <c r="U30" s="21" t="str">
        <f aca="false">IF(N30="","",N(R30)+N(S30)+N(T30))</f>
        <v/>
      </c>
      <c r="V30" s="27" t="str">
        <f aca="false">IF(N30="","",UPPER(TRIM(N30))&amp;"|"&amp;UPPER(TRIM(O30)))</f>
        <v/>
      </c>
      <c r="W30" s="7" t="str">
        <f aca="false">IF(N30="","",IF(COUNTIF($K$10:$K$309,V30)=0,"In 2B, not in books — check &amp; book",IF(ABS(U30-SUMIF($K$10:$K$309,V30,$J$10:$J$309))&lt;=1,"Matched","Tax amount differs")))</f>
        <v/>
      </c>
    </row>
    <row r="31" customFormat="false" ht="15" hidden="false" customHeight="false" outlineLevel="0" collapsed="false">
      <c r="B31" s="5"/>
      <c r="C31" s="5"/>
      <c r="D31" s="5"/>
      <c r="E31" s="16"/>
      <c r="F31" s="17"/>
      <c r="G31" s="17"/>
      <c r="H31" s="17"/>
      <c r="I31" s="17"/>
      <c r="J31" s="21" t="str">
        <f aca="false">IF(B31="","",N(G31)+N(H31)+N(I31))</f>
        <v/>
      </c>
      <c r="K31" s="27" t="str">
        <f aca="false">IF(B31="","",UPPER(TRIM(B31))&amp;"|"&amp;UPPER(TRIM(D31)))</f>
        <v/>
      </c>
      <c r="L31" s="7" t="str">
        <f aca="false">IF(B31="","",IF(COUNTIF($V$10:$V$309,K31)=0,"Not in 2B — ITC at risk",IF(ABS(J31-SUMIF($V$10:$V$309,K31,$U$10:$U$309))&lt;=1,"Matched","Tax amount differs")))</f>
        <v/>
      </c>
      <c r="N31" s="5"/>
      <c r="O31" s="5"/>
      <c r="P31" s="16"/>
      <c r="Q31" s="17"/>
      <c r="R31" s="17"/>
      <c r="S31" s="17"/>
      <c r="T31" s="17"/>
      <c r="U31" s="21" t="str">
        <f aca="false">IF(N31="","",N(R31)+N(S31)+N(T31))</f>
        <v/>
      </c>
      <c r="V31" s="27" t="str">
        <f aca="false">IF(N31="","",UPPER(TRIM(N31))&amp;"|"&amp;UPPER(TRIM(O31)))</f>
        <v/>
      </c>
      <c r="W31" s="7" t="str">
        <f aca="false">IF(N31="","",IF(COUNTIF($K$10:$K$309,V31)=0,"In 2B, not in books — check &amp; book",IF(ABS(U31-SUMIF($K$10:$K$309,V31,$J$10:$J$309))&lt;=1,"Matched","Tax amount differs")))</f>
        <v/>
      </c>
    </row>
    <row r="32" customFormat="false" ht="15" hidden="false" customHeight="false" outlineLevel="0" collapsed="false">
      <c r="B32" s="5"/>
      <c r="C32" s="5"/>
      <c r="D32" s="5"/>
      <c r="E32" s="16"/>
      <c r="F32" s="17"/>
      <c r="G32" s="17"/>
      <c r="H32" s="17"/>
      <c r="I32" s="17"/>
      <c r="J32" s="21" t="str">
        <f aca="false">IF(B32="","",N(G32)+N(H32)+N(I32))</f>
        <v/>
      </c>
      <c r="K32" s="27" t="str">
        <f aca="false">IF(B32="","",UPPER(TRIM(B32))&amp;"|"&amp;UPPER(TRIM(D32)))</f>
        <v/>
      </c>
      <c r="L32" s="7" t="str">
        <f aca="false">IF(B32="","",IF(COUNTIF($V$10:$V$309,K32)=0,"Not in 2B — ITC at risk",IF(ABS(J32-SUMIF($V$10:$V$309,K32,$U$10:$U$309))&lt;=1,"Matched","Tax amount differs")))</f>
        <v/>
      </c>
      <c r="N32" s="5"/>
      <c r="O32" s="5"/>
      <c r="P32" s="16"/>
      <c r="Q32" s="17"/>
      <c r="R32" s="17"/>
      <c r="S32" s="17"/>
      <c r="T32" s="17"/>
      <c r="U32" s="21" t="str">
        <f aca="false">IF(N32="","",N(R32)+N(S32)+N(T32))</f>
        <v/>
      </c>
      <c r="V32" s="27" t="str">
        <f aca="false">IF(N32="","",UPPER(TRIM(N32))&amp;"|"&amp;UPPER(TRIM(O32)))</f>
        <v/>
      </c>
      <c r="W32" s="7" t="str">
        <f aca="false">IF(N32="","",IF(COUNTIF($K$10:$K$309,V32)=0,"In 2B, not in books — check &amp; book",IF(ABS(U32-SUMIF($K$10:$K$309,V32,$J$10:$J$309))&lt;=1,"Matched","Tax amount differs")))</f>
        <v/>
      </c>
    </row>
    <row r="33" customFormat="false" ht="15" hidden="false" customHeight="false" outlineLevel="0" collapsed="false">
      <c r="B33" s="5"/>
      <c r="C33" s="5"/>
      <c r="D33" s="5"/>
      <c r="E33" s="16"/>
      <c r="F33" s="17"/>
      <c r="G33" s="17"/>
      <c r="H33" s="17"/>
      <c r="I33" s="17"/>
      <c r="J33" s="21" t="str">
        <f aca="false">IF(B33="","",N(G33)+N(H33)+N(I33))</f>
        <v/>
      </c>
      <c r="K33" s="27" t="str">
        <f aca="false">IF(B33="","",UPPER(TRIM(B33))&amp;"|"&amp;UPPER(TRIM(D33)))</f>
        <v/>
      </c>
      <c r="L33" s="7" t="str">
        <f aca="false">IF(B33="","",IF(COUNTIF($V$10:$V$309,K33)=0,"Not in 2B — ITC at risk",IF(ABS(J33-SUMIF($V$10:$V$309,K33,$U$10:$U$309))&lt;=1,"Matched","Tax amount differs")))</f>
        <v/>
      </c>
      <c r="N33" s="5"/>
      <c r="O33" s="5"/>
      <c r="P33" s="16"/>
      <c r="Q33" s="17"/>
      <c r="R33" s="17"/>
      <c r="S33" s="17"/>
      <c r="T33" s="17"/>
      <c r="U33" s="21" t="str">
        <f aca="false">IF(N33="","",N(R33)+N(S33)+N(T33))</f>
        <v/>
      </c>
      <c r="V33" s="27" t="str">
        <f aca="false">IF(N33="","",UPPER(TRIM(N33))&amp;"|"&amp;UPPER(TRIM(O33)))</f>
        <v/>
      </c>
      <c r="W33" s="7" t="str">
        <f aca="false">IF(N33="","",IF(COUNTIF($K$10:$K$309,V33)=0,"In 2B, not in books — check &amp; book",IF(ABS(U33-SUMIF($K$10:$K$309,V33,$J$10:$J$309))&lt;=1,"Matched","Tax amount differs")))</f>
        <v/>
      </c>
    </row>
    <row r="34" customFormat="false" ht="15" hidden="false" customHeight="false" outlineLevel="0" collapsed="false">
      <c r="B34" s="5"/>
      <c r="C34" s="5"/>
      <c r="D34" s="5"/>
      <c r="E34" s="16"/>
      <c r="F34" s="17"/>
      <c r="G34" s="17"/>
      <c r="H34" s="17"/>
      <c r="I34" s="17"/>
      <c r="J34" s="21" t="str">
        <f aca="false">IF(B34="","",N(G34)+N(H34)+N(I34))</f>
        <v/>
      </c>
      <c r="K34" s="27" t="str">
        <f aca="false">IF(B34="","",UPPER(TRIM(B34))&amp;"|"&amp;UPPER(TRIM(D34)))</f>
        <v/>
      </c>
      <c r="L34" s="7" t="str">
        <f aca="false">IF(B34="","",IF(COUNTIF($V$10:$V$309,K34)=0,"Not in 2B — ITC at risk",IF(ABS(J34-SUMIF($V$10:$V$309,K34,$U$10:$U$309))&lt;=1,"Matched","Tax amount differs")))</f>
        <v/>
      </c>
      <c r="N34" s="5"/>
      <c r="O34" s="5"/>
      <c r="P34" s="16"/>
      <c r="Q34" s="17"/>
      <c r="R34" s="17"/>
      <c r="S34" s="17"/>
      <c r="T34" s="17"/>
      <c r="U34" s="21" t="str">
        <f aca="false">IF(N34="","",N(R34)+N(S34)+N(T34))</f>
        <v/>
      </c>
      <c r="V34" s="27" t="str">
        <f aca="false">IF(N34="","",UPPER(TRIM(N34))&amp;"|"&amp;UPPER(TRIM(O34)))</f>
        <v/>
      </c>
      <c r="W34" s="7" t="str">
        <f aca="false">IF(N34="","",IF(COUNTIF($K$10:$K$309,V34)=0,"In 2B, not in books — check &amp; book",IF(ABS(U34-SUMIF($K$10:$K$309,V34,$J$10:$J$309))&lt;=1,"Matched","Tax amount differs")))</f>
        <v/>
      </c>
    </row>
    <row r="35" customFormat="false" ht="15" hidden="false" customHeight="false" outlineLevel="0" collapsed="false">
      <c r="B35" s="5"/>
      <c r="C35" s="5"/>
      <c r="D35" s="5"/>
      <c r="E35" s="16"/>
      <c r="F35" s="17"/>
      <c r="G35" s="17"/>
      <c r="H35" s="17"/>
      <c r="I35" s="17"/>
      <c r="J35" s="21" t="str">
        <f aca="false">IF(B35="","",N(G35)+N(H35)+N(I35))</f>
        <v/>
      </c>
      <c r="K35" s="27" t="str">
        <f aca="false">IF(B35="","",UPPER(TRIM(B35))&amp;"|"&amp;UPPER(TRIM(D35)))</f>
        <v/>
      </c>
      <c r="L35" s="7" t="str">
        <f aca="false">IF(B35="","",IF(COUNTIF($V$10:$V$309,K35)=0,"Not in 2B — ITC at risk",IF(ABS(J35-SUMIF($V$10:$V$309,K35,$U$10:$U$309))&lt;=1,"Matched","Tax amount differs")))</f>
        <v/>
      </c>
      <c r="N35" s="5"/>
      <c r="O35" s="5"/>
      <c r="P35" s="16"/>
      <c r="Q35" s="17"/>
      <c r="R35" s="17"/>
      <c r="S35" s="17"/>
      <c r="T35" s="17"/>
      <c r="U35" s="21" t="str">
        <f aca="false">IF(N35="","",N(R35)+N(S35)+N(T35))</f>
        <v/>
      </c>
      <c r="V35" s="27" t="str">
        <f aca="false">IF(N35="","",UPPER(TRIM(N35))&amp;"|"&amp;UPPER(TRIM(O35)))</f>
        <v/>
      </c>
      <c r="W35" s="7" t="str">
        <f aca="false">IF(N35="","",IF(COUNTIF($K$10:$K$309,V35)=0,"In 2B, not in books — check &amp; book",IF(ABS(U35-SUMIF($K$10:$K$309,V35,$J$10:$J$309))&lt;=1,"Matched","Tax amount differs")))</f>
        <v/>
      </c>
    </row>
    <row r="36" customFormat="false" ht="15" hidden="false" customHeight="false" outlineLevel="0" collapsed="false">
      <c r="B36" s="5"/>
      <c r="C36" s="5"/>
      <c r="D36" s="5"/>
      <c r="E36" s="16"/>
      <c r="F36" s="17"/>
      <c r="G36" s="17"/>
      <c r="H36" s="17"/>
      <c r="I36" s="17"/>
      <c r="J36" s="21" t="str">
        <f aca="false">IF(B36="","",N(G36)+N(H36)+N(I36))</f>
        <v/>
      </c>
      <c r="K36" s="27" t="str">
        <f aca="false">IF(B36="","",UPPER(TRIM(B36))&amp;"|"&amp;UPPER(TRIM(D36)))</f>
        <v/>
      </c>
      <c r="L36" s="7" t="str">
        <f aca="false">IF(B36="","",IF(COUNTIF($V$10:$V$309,K36)=0,"Not in 2B — ITC at risk",IF(ABS(J36-SUMIF($V$10:$V$309,K36,$U$10:$U$309))&lt;=1,"Matched","Tax amount differs")))</f>
        <v/>
      </c>
      <c r="N36" s="5"/>
      <c r="O36" s="5"/>
      <c r="P36" s="16"/>
      <c r="Q36" s="17"/>
      <c r="R36" s="17"/>
      <c r="S36" s="17"/>
      <c r="T36" s="17"/>
      <c r="U36" s="21" t="str">
        <f aca="false">IF(N36="","",N(R36)+N(S36)+N(T36))</f>
        <v/>
      </c>
      <c r="V36" s="27" t="str">
        <f aca="false">IF(N36="","",UPPER(TRIM(N36))&amp;"|"&amp;UPPER(TRIM(O36)))</f>
        <v/>
      </c>
      <c r="W36" s="7" t="str">
        <f aca="false">IF(N36="","",IF(COUNTIF($K$10:$K$309,V36)=0,"In 2B, not in books — check &amp; book",IF(ABS(U36-SUMIF($K$10:$K$309,V36,$J$10:$J$309))&lt;=1,"Matched","Tax amount differs")))</f>
        <v/>
      </c>
    </row>
    <row r="37" customFormat="false" ht="15" hidden="false" customHeight="false" outlineLevel="0" collapsed="false">
      <c r="B37" s="5"/>
      <c r="C37" s="5"/>
      <c r="D37" s="5"/>
      <c r="E37" s="16"/>
      <c r="F37" s="17"/>
      <c r="G37" s="17"/>
      <c r="H37" s="17"/>
      <c r="I37" s="17"/>
      <c r="J37" s="21" t="str">
        <f aca="false">IF(B37="","",N(G37)+N(H37)+N(I37))</f>
        <v/>
      </c>
      <c r="K37" s="27" t="str">
        <f aca="false">IF(B37="","",UPPER(TRIM(B37))&amp;"|"&amp;UPPER(TRIM(D37)))</f>
        <v/>
      </c>
      <c r="L37" s="7" t="str">
        <f aca="false">IF(B37="","",IF(COUNTIF($V$10:$V$309,K37)=0,"Not in 2B — ITC at risk",IF(ABS(J37-SUMIF($V$10:$V$309,K37,$U$10:$U$309))&lt;=1,"Matched","Tax amount differs")))</f>
        <v/>
      </c>
      <c r="N37" s="5"/>
      <c r="O37" s="5"/>
      <c r="P37" s="16"/>
      <c r="Q37" s="17"/>
      <c r="R37" s="17"/>
      <c r="S37" s="17"/>
      <c r="T37" s="17"/>
      <c r="U37" s="21" t="str">
        <f aca="false">IF(N37="","",N(R37)+N(S37)+N(T37))</f>
        <v/>
      </c>
      <c r="V37" s="27" t="str">
        <f aca="false">IF(N37="","",UPPER(TRIM(N37))&amp;"|"&amp;UPPER(TRIM(O37)))</f>
        <v/>
      </c>
      <c r="W37" s="7" t="str">
        <f aca="false">IF(N37="","",IF(COUNTIF($K$10:$K$309,V37)=0,"In 2B, not in books — check &amp; book",IF(ABS(U37-SUMIF($K$10:$K$309,V37,$J$10:$J$309))&lt;=1,"Matched","Tax amount differs")))</f>
        <v/>
      </c>
    </row>
    <row r="38" customFormat="false" ht="15" hidden="false" customHeight="false" outlineLevel="0" collapsed="false">
      <c r="B38" s="5"/>
      <c r="C38" s="5"/>
      <c r="D38" s="5"/>
      <c r="E38" s="16"/>
      <c r="F38" s="17"/>
      <c r="G38" s="17"/>
      <c r="H38" s="17"/>
      <c r="I38" s="17"/>
      <c r="J38" s="21" t="str">
        <f aca="false">IF(B38="","",N(G38)+N(H38)+N(I38))</f>
        <v/>
      </c>
      <c r="K38" s="27" t="str">
        <f aca="false">IF(B38="","",UPPER(TRIM(B38))&amp;"|"&amp;UPPER(TRIM(D38)))</f>
        <v/>
      </c>
      <c r="L38" s="7" t="str">
        <f aca="false">IF(B38="","",IF(COUNTIF($V$10:$V$309,K38)=0,"Not in 2B — ITC at risk",IF(ABS(J38-SUMIF($V$10:$V$309,K38,$U$10:$U$309))&lt;=1,"Matched","Tax amount differs")))</f>
        <v/>
      </c>
      <c r="N38" s="5"/>
      <c r="O38" s="5"/>
      <c r="P38" s="16"/>
      <c r="Q38" s="17"/>
      <c r="R38" s="17"/>
      <c r="S38" s="17"/>
      <c r="T38" s="17"/>
      <c r="U38" s="21" t="str">
        <f aca="false">IF(N38="","",N(R38)+N(S38)+N(T38))</f>
        <v/>
      </c>
      <c r="V38" s="27" t="str">
        <f aca="false">IF(N38="","",UPPER(TRIM(N38))&amp;"|"&amp;UPPER(TRIM(O38)))</f>
        <v/>
      </c>
      <c r="W38" s="7" t="str">
        <f aca="false">IF(N38="","",IF(COUNTIF($K$10:$K$309,V38)=0,"In 2B, not in books — check &amp; book",IF(ABS(U38-SUMIF($K$10:$K$309,V38,$J$10:$J$309))&lt;=1,"Matched","Tax amount differs")))</f>
        <v/>
      </c>
    </row>
    <row r="39" customFormat="false" ht="15" hidden="false" customHeight="false" outlineLevel="0" collapsed="false">
      <c r="B39" s="5"/>
      <c r="C39" s="5"/>
      <c r="D39" s="5"/>
      <c r="E39" s="16"/>
      <c r="F39" s="17"/>
      <c r="G39" s="17"/>
      <c r="H39" s="17"/>
      <c r="I39" s="17"/>
      <c r="J39" s="21" t="str">
        <f aca="false">IF(B39="","",N(G39)+N(H39)+N(I39))</f>
        <v/>
      </c>
      <c r="K39" s="27" t="str">
        <f aca="false">IF(B39="","",UPPER(TRIM(B39))&amp;"|"&amp;UPPER(TRIM(D39)))</f>
        <v/>
      </c>
      <c r="L39" s="7" t="str">
        <f aca="false">IF(B39="","",IF(COUNTIF($V$10:$V$309,K39)=0,"Not in 2B — ITC at risk",IF(ABS(J39-SUMIF($V$10:$V$309,K39,$U$10:$U$309))&lt;=1,"Matched","Tax amount differs")))</f>
        <v/>
      </c>
      <c r="N39" s="5"/>
      <c r="O39" s="5"/>
      <c r="P39" s="16"/>
      <c r="Q39" s="17"/>
      <c r="R39" s="17"/>
      <c r="S39" s="17"/>
      <c r="T39" s="17"/>
      <c r="U39" s="21" t="str">
        <f aca="false">IF(N39="","",N(R39)+N(S39)+N(T39))</f>
        <v/>
      </c>
      <c r="V39" s="27" t="str">
        <f aca="false">IF(N39="","",UPPER(TRIM(N39))&amp;"|"&amp;UPPER(TRIM(O39)))</f>
        <v/>
      </c>
      <c r="W39" s="7" t="str">
        <f aca="false">IF(N39="","",IF(COUNTIF($K$10:$K$309,V39)=0,"In 2B, not in books — check &amp; book",IF(ABS(U39-SUMIF($K$10:$K$309,V39,$J$10:$J$309))&lt;=1,"Matched","Tax amount differs")))</f>
        <v/>
      </c>
    </row>
    <row r="40" customFormat="false" ht="15" hidden="false" customHeight="false" outlineLevel="0" collapsed="false">
      <c r="B40" s="5"/>
      <c r="C40" s="5"/>
      <c r="D40" s="5"/>
      <c r="E40" s="16"/>
      <c r="F40" s="17"/>
      <c r="G40" s="17"/>
      <c r="H40" s="17"/>
      <c r="I40" s="17"/>
      <c r="J40" s="21" t="str">
        <f aca="false">IF(B40="","",N(G40)+N(H40)+N(I40))</f>
        <v/>
      </c>
      <c r="K40" s="27" t="str">
        <f aca="false">IF(B40="","",UPPER(TRIM(B40))&amp;"|"&amp;UPPER(TRIM(D40)))</f>
        <v/>
      </c>
      <c r="L40" s="7" t="str">
        <f aca="false">IF(B40="","",IF(COUNTIF($V$10:$V$309,K40)=0,"Not in 2B — ITC at risk",IF(ABS(J40-SUMIF($V$10:$V$309,K40,$U$10:$U$309))&lt;=1,"Matched","Tax amount differs")))</f>
        <v/>
      </c>
      <c r="N40" s="5"/>
      <c r="O40" s="5"/>
      <c r="P40" s="16"/>
      <c r="Q40" s="17"/>
      <c r="R40" s="17"/>
      <c r="S40" s="17"/>
      <c r="T40" s="17"/>
      <c r="U40" s="21" t="str">
        <f aca="false">IF(N40="","",N(R40)+N(S40)+N(T40))</f>
        <v/>
      </c>
      <c r="V40" s="27" t="str">
        <f aca="false">IF(N40="","",UPPER(TRIM(N40))&amp;"|"&amp;UPPER(TRIM(O40)))</f>
        <v/>
      </c>
      <c r="W40" s="7" t="str">
        <f aca="false">IF(N40="","",IF(COUNTIF($K$10:$K$309,V40)=0,"In 2B, not in books — check &amp; book",IF(ABS(U40-SUMIF($K$10:$K$309,V40,$J$10:$J$309))&lt;=1,"Matched","Tax amount differs")))</f>
        <v/>
      </c>
    </row>
    <row r="41" customFormat="false" ht="15" hidden="false" customHeight="false" outlineLevel="0" collapsed="false">
      <c r="B41" s="5"/>
      <c r="C41" s="5"/>
      <c r="D41" s="5"/>
      <c r="E41" s="16"/>
      <c r="F41" s="17"/>
      <c r="G41" s="17"/>
      <c r="H41" s="17"/>
      <c r="I41" s="17"/>
      <c r="J41" s="21" t="str">
        <f aca="false">IF(B41="","",N(G41)+N(H41)+N(I41))</f>
        <v/>
      </c>
      <c r="K41" s="27" t="str">
        <f aca="false">IF(B41="","",UPPER(TRIM(B41))&amp;"|"&amp;UPPER(TRIM(D41)))</f>
        <v/>
      </c>
      <c r="L41" s="7" t="str">
        <f aca="false">IF(B41="","",IF(COUNTIF($V$10:$V$309,K41)=0,"Not in 2B — ITC at risk",IF(ABS(J41-SUMIF($V$10:$V$309,K41,$U$10:$U$309))&lt;=1,"Matched","Tax amount differs")))</f>
        <v/>
      </c>
      <c r="N41" s="5"/>
      <c r="O41" s="5"/>
      <c r="P41" s="16"/>
      <c r="Q41" s="17"/>
      <c r="R41" s="17"/>
      <c r="S41" s="17"/>
      <c r="T41" s="17"/>
      <c r="U41" s="21" t="str">
        <f aca="false">IF(N41="","",N(R41)+N(S41)+N(T41))</f>
        <v/>
      </c>
      <c r="V41" s="27" t="str">
        <f aca="false">IF(N41="","",UPPER(TRIM(N41))&amp;"|"&amp;UPPER(TRIM(O41)))</f>
        <v/>
      </c>
      <c r="W41" s="7" t="str">
        <f aca="false">IF(N41="","",IF(COUNTIF($K$10:$K$309,V41)=0,"In 2B, not in books — check &amp; book",IF(ABS(U41-SUMIF($K$10:$K$309,V41,$J$10:$J$309))&lt;=1,"Matched","Tax amount differs")))</f>
        <v/>
      </c>
    </row>
    <row r="42" customFormat="false" ht="15" hidden="false" customHeight="false" outlineLevel="0" collapsed="false">
      <c r="B42" s="5"/>
      <c r="C42" s="5"/>
      <c r="D42" s="5"/>
      <c r="E42" s="16"/>
      <c r="F42" s="17"/>
      <c r="G42" s="17"/>
      <c r="H42" s="17"/>
      <c r="I42" s="17"/>
      <c r="J42" s="21" t="str">
        <f aca="false">IF(B42="","",N(G42)+N(H42)+N(I42))</f>
        <v/>
      </c>
      <c r="K42" s="27" t="str">
        <f aca="false">IF(B42="","",UPPER(TRIM(B42))&amp;"|"&amp;UPPER(TRIM(D42)))</f>
        <v/>
      </c>
      <c r="L42" s="7" t="str">
        <f aca="false">IF(B42="","",IF(COUNTIF($V$10:$V$309,K42)=0,"Not in 2B — ITC at risk",IF(ABS(J42-SUMIF($V$10:$V$309,K42,$U$10:$U$309))&lt;=1,"Matched","Tax amount differs")))</f>
        <v/>
      </c>
      <c r="N42" s="5"/>
      <c r="O42" s="5"/>
      <c r="P42" s="16"/>
      <c r="Q42" s="17"/>
      <c r="R42" s="17"/>
      <c r="S42" s="17"/>
      <c r="T42" s="17"/>
      <c r="U42" s="21" t="str">
        <f aca="false">IF(N42="","",N(R42)+N(S42)+N(T42))</f>
        <v/>
      </c>
      <c r="V42" s="27" t="str">
        <f aca="false">IF(N42="","",UPPER(TRIM(N42))&amp;"|"&amp;UPPER(TRIM(O42)))</f>
        <v/>
      </c>
      <c r="W42" s="7" t="str">
        <f aca="false">IF(N42="","",IF(COUNTIF($K$10:$K$309,V42)=0,"In 2B, not in books — check &amp; book",IF(ABS(U42-SUMIF($K$10:$K$309,V42,$J$10:$J$309))&lt;=1,"Matched","Tax amount differs")))</f>
        <v/>
      </c>
    </row>
    <row r="43" customFormat="false" ht="15" hidden="false" customHeight="false" outlineLevel="0" collapsed="false">
      <c r="B43" s="5"/>
      <c r="C43" s="5"/>
      <c r="D43" s="5"/>
      <c r="E43" s="16"/>
      <c r="F43" s="17"/>
      <c r="G43" s="17"/>
      <c r="H43" s="17"/>
      <c r="I43" s="17"/>
      <c r="J43" s="21" t="str">
        <f aca="false">IF(B43="","",N(G43)+N(H43)+N(I43))</f>
        <v/>
      </c>
      <c r="K43" s="27" t="str">
        <f aca="false">IF(B43="","",UPPER(TRIM(B43))&amp;"|"&amp;UPPER(TRIM(D43)))</f>
        <v/>
      </c>
      <c r="L43" s="7" t="str">
        <f aca="false">IF(B43="","",IF(COUNTIF($V$10:$V$309,K43)=0,"Not in 2B — ITC at risk",IF(ABS(J43-SUMIF($V$10:$V$309,K43,$U$10:$U$309))&lt;=1,"Matched","Tax amount differs")))</f>
        <v/>
      </c>
      <c r="N43" s="5"/>
      <c r="O43" s="5"/>
      <c r="P43" s="16"/>
      <c r="Q43" s="17"/>
      <c r="R43" s="17"/>
      <c r="S43" s="17"/>
      <c r="T43" s="17"/>
      <c r="U43" s="21" t="str">
        <f aca="false">IF(N43="","",N(R43)+N(S43)+N(T43))</f>
        <v/>
      </c>
      <c r="V43" s="27" t="str">
        <f aca="false">IF(N43="","",UPPER(TRIM(N43))&amp;"|"&amp;UPPER(TRIM(O43)))</f>
        <v/>
      </c>
      <c r="W43" s="7" t="str">
        <f aca="false">IF(N43="","",IF(COUNTIF($K$10:$K$309,V43)=0,"In 2B, not in books — check &amp; book",IF(ABS(U43-SUMIF($K$10:$K$309,V43,$J$10:$J$309))&lt;=1,"Matched","Tax amount differs")))</f>
        <v/>
      </c>
    </row>
    <row r="44" customFormat="false" ht="15" hidden="false" customHeight="false" outlineLevel="0" collapsed="false">
      <c r="B44" s="5"/>
      <c r="C44" s="5"/>
      <c r="D44" s="5"/>
      <c r="E44" s="16"/>
      <c r="F44" s="17"/>
      <c r="G44" s="17"/>
      <c r="H44" s="17"/>
      <c r="I44" s="17"/>
      <c r="J44" s="21" t="str">
        <f aca="false">IF(B44="","",N(G44)+N(H44)+N(I44))</f>
        <v/>
      </c>
      <c r="K44" s="27" t="str">
        <f aca="false">IF(B44="","",UPPER(TRIM(B44))&amp;"|"&amp;UPPER(TRIM(D44)))</f>
        <v/>
      </c>
      <c r="L44" s="7" t="str">
        <f aca="false">IF(B44="","",IF(COUNTIF($V$10:$V$309,K44)=0,"Not in 2B — ITC at risk",IF(ABS(J44-SUMIF($V$10:$V$309,K44,$U$10:$U$309))&lt;=1,"Matched","Tax amount differs")))</f>
        <v/>
      </c>
      <c r="N44" s="5"/>
      <c r="O44" s="5"/>
      <c r="P44" s="16"/>
      <c r="Q44" s="17"/>
      <c r="R44" s="17"/>
      <c r="S44" s="17"/>
      <c r="T44" s="17"/>
      <c r="U44" s="21" t="str">
        <f aca="false">IF(N44="","",N(R44)+N(S44)+N(T44))</f>
        <v/>
      </c>
      <c r="V44" s="27" t="str">
        <f aca="false">IF(N44="","",UPPER(TRIM(N44))&amp;"|"&amp;UPPER(TRIM(O44)))</f>
        <v/>
      </c>
      <c r="W44" s="7" t="str">
        <f aca="false">IF(N44="","",IF(COUNTIF($K$10:$K$309,V44)=0,"In 2B, not in books — check &amp; book",IF(ABS(U44-SUMIF($K$10:$K$309,V44,$J$10:$J$309))&lt;=1,"Matched","Tax amount differs")))</f>
        <v/>
      </c>
    </row>
    <row r="45" customFormat="false" ht="15" hidden="false" customHeight="false" outlineLevel="0" collapsed="false">
      <c r="B45" s="5"/>
      <c r="C45" s="5"/>
      <c r="D45" s="5"/>
      <c r="E45" s="16"/>
      <c r="F45" s="17"/>
      <c r="G45" s="17"/>
      <c r="H45" s="17"/>
      <c r="I45" s="17"/>
      <c r="J45" s="21" t="str">
        <f aca="false">IF(B45="","",N(G45)+N(H45)+N(I45))</f>
        <v/>
      </c>
      <c r="K45" s="27" t="str">
        <f aca="false">IF(B45="","",UPPER(TRIM(B45))&amp;"|"&amp;UPPER(TRIM(D45)))</f>
        <v/>
      </c>
      <c r="L45" s="7" t="str">
        <f aca="false">IF(B45="","",IF(COUNTIF($V$10:$V$309,K45)=0,"Not in 2B — ITC at risk",IF(ABS(J45-SUMIF($V$10:$V$309,K45,$U$10:$U$309))&lt;=1,"Matched","Tax amount differs")))</f>
        <v/>
      </c>
      <c r="N45" s="5"/>
      <c r="O45" s="5"/>
      <c r="P45" s="16"/>
      <c r="Q45" s="17"/>
      <c r="R45" s="17"/>
      <c r="S45" s="17"/>
      <c r="T45" s="17"/>
      <c r="U45" s="21" t="str">
        <f aca="false">IF(N45="","",N(R45)+N(S45)+N(T45))</f>
        <v/>
      </c>
      <c r="V45" s="27" t="str">
        <f aca="false">IF(N45="","",UPPER(TRIM(N45))&amp;"|"&amp;UPPER(TRIM(O45)))</f>
        <v/>
      </c>
      <c r="W45" s="7" t="str">
        <f aca="false">IF(N45="","",IF(COUNTIF($K$10:$K$309,V45)=0,"In 2B, not in books — check &amp; book",IF(ABS(U45-SUMIF($K$10:$K$309,V45,$J$10:$J$309))&lt;=1,"Matched","Tax amount differs")))</f>
        <v/>
      </c>
    </row>
    <row r="46" customFormat="false" ht="15" hidden="false" customHeight="false" outlineLevel="0" collapsed="false">
      <c r="B46" s="5"/>
      <c r="C46" s="5"/>
      <c r="D46" s="5"/>
      <c r="E46" s="16"/>
      <c r="F46" s="17"/>
      <c r="G46" s="17"/>
      <c r="H46" s="17"/>
      <c r="I46" s="17"/>
      <c r="J46" s="21" t="str">
        <f aca="false">IF(B46="","",N(G46)+N(H46)+N(I46))</f>
        <v/>
      </c>
      <c r="K46" s="27" t="str">
        <f aca="false">IF(B46="","",UPPER(TRIM(B46))&amp;"|"&amp;UPPER(TRIM(D46)))</f>
        <v/>
      </c>
      <c r="L46" s="7" t="str">
        <f aca="false">IF(B46="","",IF(COUNTIF($V$10:$V$309,K46)=0,"Not in 2B — ITC at risk",IF(ABS(J46-SUMIF($V$10:$V$309,K46,$U$10:$U$309))&lt;=1,"Matched","Tax amount differs")))</f>
        <v/>
      </c>
      <c r="N46" s="5"/>
      <c r="O46" s="5"/>
      <c r="P46" s="16"/>
      <c r="Q46" s="17"/>
      <c r="R46" s="17"/>
      <c r="S46" s="17"/>
      <c r="T46" s="17"/>
      <c r="U46" s="21" t="str">
        <f aca="false">IF(N46="","",N(R46)+N(S46)+N(T46))</f>
        <v/>
      </c>
      <c r="V46" s="27" t="str">
        <f aca="false">IF(N46="","",UPPER(TRIM(N46))&amp;"|"&amp;UPPER(TRIM(O46)))</f>
        <v/>
      </c>
      <c r="W46" s="7" t="str">
        <f aca="false">IF(N46="","",IF(COUNTIF($K$10:$K$309,V46)=0,"In 2B, not in books — check &amp; book",IF(ABS(U46-SUMIF($K$10:$K$309,V46,$J$10:$J$309))&lt;=1,"Matched","Tax amount differs")))</f>
        <v/>
      </c>
    </row>
    <row r="47" customFormat="false" ht="15" hidden="false" customHeight="false" outlineLevel="0" collapsed="false">
      <c r="B47" s="5"/>
      <c r="C47" s="5"/>
      <c r="D47" s="5"/>
      <c r="E47" s="16"/>
      <c r="F47" s="17"/>
      <c r="G47" s="17"/>
      <c r="H47" s="17"/>
      <c r="I47" s="17"/>
      <c r="J47" s="21" t="str">
        <f aca="false">IF(B47="","",N(G47)+N(H47)+N(I47))</f>
        <v/>
      </c>
      <c r="K47" s="27" t="str">
        <f aca="false">IF(B47="","",UPPER(TRIM(B47))&amp;"|"&amp;UPPER(TRIM(D47)))</f>
        <v/>
      </c>
      <c r="L47" s="7" t="str">
        <f aca="false">IF(B47="","",IF(COUNTIF($V$10:$V$309,K47)=0,"Not in 2B — ITC at risk",IF(ABS(J47-SUMIF($V$10:$V$309,K47,$U$10:$U$309))&lt;=1,"Matched","Tax amount differs")))</f>
        <v/>
      </c>
      <c r="N47" s="5"/>
      <c r="O47" s="5"/>
      <c r="P47" s="16"/>
      <c r="Q47" s="17"/>
      <c r="R47" s="17"/>
      <c r="S47" s="17"/>
      <c r="T47" s="17"/>
      <c r="U47" s="21" t="str">
        <f aca="false">IF(N47="","",N(R47)+N(S47)+N(T47))</f>
        <v/>
      </c>
      <c r="V47" s="27" t="str">
        <f aca="false">IF(N47="","",UPPER(TRIM(N47))&amp;"|"&amp;UPPER(TRIM(O47)))</f>
        <v/>
      </c>
      <c r="W47" s="7" t="str">
        <f aca="false">IF(N47="","",IF(COUNTIF($K$10:$K$309,V47)=0,"In 2B, not in books — check &amp; book",IF(ABS(U47-SUMIF($K$10:$K$309,V47,$J$10:$J$309))&lt;=1,"Matched","Tax amount differs")))</f>
        <v/>
      </c>
    </row>
    <row r="48" customFormat="false" ht="15" hidden="false" customHeight="false" outlineLevel="0" collapsed="false">
      <c r="B48" s="5"/>
      <c r="C48" s="5"/>
      <c r="D48" s="5"/>
      <c r="E48" s="16"/>
      <c r="F48" s="17"/>
      <c r="G48" s="17"/>
      <c r="H48" s="17"/>
      <c r="I48" s="17"/>
      <c r="J48" s="21" t="str">
        <f aca="false">IF(B48="","",N(G48)+N(H48)+N(I48))</f>
        <v/>
      </c>
      <c r="K48" s="27" t="str">
        <f aca="false">IF(B48="","",UPPER(TRIM(B48))&amp;"|"&amp;UPPER(TRIM(D48)))</f>
        <v/>
      </c>
      <c r="L48" s="7" t="str">
        <f aca="false">IF(B48="","",IF(COUNTIF($V$10:$V$309,K48)=0,"Not in 2B — ITC at risk",IF(ABS(J48-SUMIF($V$10:$V$309,K48,$U$10:$U$309))&lt;=1,"Matched","Tax amount differs")))</f>
        <v/>
      </c>
      <c r="N48" s="5"/>
      <c r="O48" s="5"/>
      <c r="P48" s="16"/>
      <c r="Q48" s="17"/>
      <c r="R48" s="17"/>
      <c r="S48" s="17"/>
      <c r="T48" s="17"/>
      <c r="U48" s="21" t="str">
        <f aca="false">IF(N48="","",N(R48)+N(S48)+N(T48))</f>
        <v/>
      </c>
      <c r="V48" s="27" t="str">
        <f aca="false">IF(N48="","",UPPER(TRIM(N48))&amp;"|"&amp;UPPER(TRIM(O48)))</f>
        <v/>
      </c>
      <c r="W48" s="7" t="str">
        <f aca="false">IF(N48="","",IF(COUNTIF($K$10:$K$309,V48)=0,"In 2B, not in books — check &amp; book",IF(ABS(U48-SUMIF($K$10:$K$309,V48,$J$10:$J$309))&lt;=1,"Matched","Tax amount differs")))</f>
        <v/>
      </c>
    </row>
    <row r="49" customFormat="false" ht="15" hidden="false" customHeight="false" outlineLevel="0" collapsed="false">
      <c r="B49" s="5"/>
      <c r="C49" s="5"/>
      <c r="D49" s="5"/>
      <c r="E49" s="16"/>
      <c r="F49" s="17"/>
      <c r="G49" s="17"/>
      <c r="H49" s="17"/>
      <c r="I49" s="17"/>
      <c r="J49" s="21" t="str">
        <f aca="false">IF(B49="","",N(G49)+N(H49)+N(I49))</f>
        <v/>
      </c>
      <c r="K49" s="27" t="str">
        <f aca="false">IF(B49="","",UPPER(TRIM(B49))&amp;"|"&amp;UPPER(TRIM(D49)))</f>
        <v/>
      </c>
      <c r="L49" s="7" t="str">
        <f aca="false">IF(B49="","",IF(COUNTIF($V$10:$V$309,K49)=0,"Not in 2B — ITC at risk",IF(ABS(J49-SUMIF($V$10:$V$309,K49,$U$10:$U$309))&lt;=1,"Matched","Tax amount differs")))</f>
        <v/>
      </c>
      <c r="N49" s="5"/>
      <c r="O49" s="5"/>
      <c r="P49" s="16"/>
      <c r="Q49" s="17"/>
      <c r="R49" s="17"/>
      <c r="S49" s="17"/>
      <c r="T49" s="17"/>
      <c r="U49" s="21" t="str">
        <f aca="false">IF(N49="","",N(R49)+N(S49)+N(T49))</f>
        <v/>
      </c>
      <c r="V49" s="27" t="str">
        <f aca="false">IF(N49="","",UPPER(TRIM(N49))&amp;"|"&amp;UPPER(TRIM(O49)))</f>
        <v/>
      </c>
      <c r="W49" s="7" t="str">
        <f aca="false">IF(N49="","",IF(COUNTIF($K$10:$K$309,V49)=0,"In 2B, not in books — check &amp; book",IF(ABS(U49-SUMIF($K$10:$K$309,V49,$J$10:$J$309))&lt;=1,"Matched","Tax amount differs")))</f>
        <v/>
      </c>
    </row>
    <row r="50" customFormat="false" ht="15" hidden="false" customHeight="false" outlineLevel="0" collapsed="false">
      <c r="B50" s="5"/>
      <c r="C50" s="5"/>
      <c r="D50" s="5"/>
      <c r="E50" s="16"/>
      <c r="F50" s="17"/>
      <c r="G50" s="17"/>
      <c r="H50" s="17"/>
      <c r="I50" s="17"/>
      <c r="J50" s="21" t="str">
        <f aca="false">IF(B50="","",N(G50)+N(H50)+N(I50))</f>
        <v/>
      </c>
      <c r="K50" s="27" t="str">
        <f aca="false">IF(B50="","",UPPER(TRIM(B50))&amp;"|"&amp;UPPER(TRIM(D50)))</f>
        <v/>
      </c>
      <c r="L50" s="7" t="str">
        <f aca="false">IF(B50="","",IF(COUNTIF($V$10:$V$309,K50)=0,"Not in 2B — ITC at risk",IF(ABS(J50-SUMIF($V$10:$V$309,K50,$U$10:$U$309))&lt;=1,"Matched","Tax amount differs")))</f>
        <v/>
      </c>
      <c r="N50" s="5"/>
      <c r="O50" s="5"/>
      <c r="P50" s="16"/>
      <c r="Q50" s="17"/>
      <c r="R50" s="17"/>
      <c r="S50" s="17"/>
      <c r="T50" s="17"/>
      <c r="U50" s="21" t="str">
        <f aca="false">IF(N50="","",N(R50)+N(S50)+N(T50))</f>
        <v/>
      </c>
      <c r="V50" s="27" t="str">
        <f aca="false">IF(N50="","",UPPER(TRIM(N50))&amp;"|"&amp;UPPER(TRIM(O50)))</f>
        <v/>
      </c>
      <c r="W50" s="7" t="str">
        <f aca="false">IF(N50="","",IF(COUNTIF($K$10:$K$309,V50)=0,"In 2B, not in books — check &amp; book",IF(ABS(U50-SUMIF($K$10:$K$309,V50,$J$10:$J$309))&lt;=1,"Matched","Tax amount differs")))</f>
        <v/>
      </c>
    </row>
    <row r="51" customFormat="false" ht="15" hidden="false" customHeight="false" outlineLevel="0" collapsed="false">
      <c r="B51" s="5"/>
      <c r="C51" s="5"/>
      <c r="D51" s="5"/>
      <c r="E51" s="16"/>
      <c r="F51" s="17"/>
      <c r="G51" s="17"/>
      <c r="H51" s="17"/>
      <c r="I51" s="17"/>
      <c r="J51" s="21" t="str">
        <f aca="false">IF(B51="","",N(G51)+N(H51)+N(I51))</f>
        <v/>
      </c>
      <c r="K51" s="27" t="str">
        <f aca="false">IF(B51="","",UPPER(TRIM(B51))&amp;"|"&amp;UPPER(TRIM(D51)))</f>
        <v/>
      </c>
      <c r="L51" s="7" t="str">
        <f aca="false">IF(B51="","",IF(COUNTIF($V$10:$V$309,K51)=0,"Not in 2B — ITC at risk",IF(ABS(J51-SUMIF($V$10:$V$309,K51,$U$10:$U$309))&lt;=1,"Matched","Tax amount differs")))</f>
        <v/>
      </c>
      <c r="N51" s="5"/>
      <c r="O51" s="5"/>
      <c r="P51" s="16"/>
      <c r="Q51" s="17"/>
      <c r="R51" s="17"/>
      <c r="S51" s="17"/>
      <c r="T51" s="17"/>
      <c r="U51" s="21" t="str">
        <f aca="false">IF(N51="","",N(R51)+N(S51)+N(T51))</f>
        <v/>
      </c>
      <c r="V51" s="27" t="str">
        <f aca="false">IF(N51="","",UPPER(TRIM(N51))&amp;"|"&amp;UPPER(TRIM(O51)))</f>
        <v/>
      </c>
      <c r="W51" s="7" t="str">
        <f aca="false">IF(N51="","",IF(COUNTIF($K$10:$K$309,V51)=0,"In 2B, not in books — check &amp; book",IF(ABS(U51-SUMIF($K$10:$K$309,V51,$J$10:$J$309))&lt;=1,"Matched","Tax amount differs")))</f>
        <v/>
      </c>
    </row>
    <row r="52" customFormat="false" ht="15" hidden="false" customHeight="false" outlineLevel="0" collapsed="false">
      <c r="B52" s="5"/>
      <c r="C52" s="5"/>
      <c r="D52" s="5"/>
      <c r="E52" s="16"/>
      <c r="F52" s="17"/>
      <c r="G52" s="17"/>
      <c r="H52" s="17"/>
      <c r="I52" s="17"/>
      <c r="J52" s="21" t="str">
        <f aca="false">IF(B52="","",N(G52)+N(H52)+N(I52))</f>
        <v/>
      </c>
      <c r="K52" s="27" t="str">
        <f aca="false">IF(B52="","",UPPER(TRIM(B52))&amp;"|"&amp;UPPER(TRIM(D52)))</f>
        <v/>
      </c>
      <c r="L52" s="7" t="str">
        <f aca="false">IF(B52="","",IF(COUNTIF($V$10:$V$309,K52)=0,"Not in 2B — ITC at risk",IF(ABS(J52-SUMIF($V$10:$V$309,K52,$U$10:$U$309))&lt;=1,"Matched","Tax amount differs")))</f>
        <v/>
      </c>
      <c r="N52" s="5"/>
      <c r="O52" s="5"/>
      <c r="P52" s="16"/>
      <c r="Q52" s="17"/>
      <c r="R52" s="17"/>
      <c r="S52" s="17"/>
      <c r="T52" s="17"/>
      <c r="U52" s="21" t="str">
        <f aca="false">IF(N52="","",N(R52)+N(S52)+N(T52))</f>
        <v/>
      </c>
      <c r="V52" s="27" t="str">
        <f aca="false">IF(N52="","",UPPER(TRIM(N52))&amp;"|"&amp;UPPER(TRIM(O52)))</f>
        <v/>
      </c>
      <c r="W52" s="7" t="str">
        <f aca="false">IF(N52="","",IF(COUNTIF($K$10:$K$309,V52)=0,"In 2B, not in books — check &amp; book",IF(ABS(U52-SUMIF($K$10:$K$309,V52,$J$10:$J$309))&lt;=1,"Matched","Tax amount differs")))</f>
        <v/>
      </c>
    </row>
    <row r="53" customFormat="false" ht="15" hidden="false" customHeight="false" outlineLevel="0" collapsed="false">
      <c r="B53" s="5"/>
      <c r="C53" s="5"/>
      <c r="D53" s="5"/>
      <c r="E53" s="16"/>
      <c r="F53" s="17"/>
      <c r="G53" s="17"/>
      <c r="H53" s="17"/>
      <c r="I53" s="17"/>
      <c r="J53" s="21" t="str">
        <f aca="false">IF(B53="","",N(G53)+N(H53)+N(I53))</f>
        <v/>
      </c>
      <c r="K53" s="27" t="str">
        <f aca="false">IF(B53="","",UPPER(TRIM(B53))&amp;"|"&amp;UPPER(TRIM(D53)))</f>
        <v/>
      </c>
      <c r="L53" s="7" t="str">
        <f aca="false">IF(B53="","",IF(COUNTIF($V$10:$V$309,K53)=0,"Not in 2B — ITC at risk",IF(ABS(J53-SUMIF($V$10:$V$309,K53,$U$10:$U$309))&lt;=1,"Matched","Tax amount differs")))</f>
        <v/>
      </c>
      <c r="N53" s="5"/>
      <c r="O53" s="5"/>
      <c r="P53" s="16"/>
      <c r="Q53" s="17"/>
      <c r="R53" s="17"/>
      <c r="S53" s="17"/>
      <c r="T53" s="17"/>
      <c r="U53" s="21" t="str">
        <f aca="false">IF(N53="","",N(R53)+N(S53)+N(T53))</f>
        <v/>
      </c>
      <c r="V53" s="27" t="str">
        <f aca="false">IF(N53="","",UPPER(TRIM(N53))&amp;"|"&amp;UPPER(TRIM(O53)))</f>
        <v/>
      </c>
      <c r="W53" s="7" t="str">
        <f aca="false">IF(N53="","",IF(COUNTIF($K$10:$K$309,V53)=0,"In 2B, not in books — check &amp; book",IF(ABS(U53-SUMIF($K$10:$K$309,V53,$J$10:$J$309))&lt;=1,"Matched","Tax amount differs")))</f>
        <v/>
      </c>
    </row>
    <row r="54" customFormat="false" ht="15" hidden="false" customHeight="false" outlineLevel="0" collapsed="false">
      <c r="B54" s="5"/>
      <c r="C54" s="5"/>
      <c r="D54" s="5"/>
      <c r="E54" s="16"/>
      <c r="F54" s="17"/>
      <c r="G54" s="17"/>
      <c r="H54" s="17"/>
      <c r="I54" s="17"/>
      <c r="J54" s="21" t="str">
        <f aca="false">IF(B54="","",N(G54)+N(H54)+N(I54))</f>
        <v/>
      </c>
      <c r="K54" s="27" t="str">
        <f aca="false">IF(B54="","",UPPER(TRIM(B54))&amp;"|"&amp;UPPER(TRIM(D54)))</f>
        <v/>
      </c>
      <c r="L54" s="7" t="str">
        <f aca="false">IF(B54="","",IF(COUNTIF($V$10:$V$309,K54)=0,"Not in 2B — ITC at risk",IF(ABS(J54-SUMIF($V$10:$V$309,K54,$U$10:$U$309))&lt;=1,"Matched","Tax amount differs")))</f>
        <v/>
      </c>
      <c r="N54" s="5"/>
      <c r="O54" s="5"/>
      <c r="P54" s="16"/>
      <c r="Q54" s="17"/>
      <c r="R54" s="17"/>
      <c r="S54" s="17"/>
      <c r="T54" s="17"/>
      <c r="U54" s="21" t="str">
        <f aca="false">IF(N54="","",N(R54)+N(S54)+N(T54))</f>
        <v/>
      </c>
      <c r="V54" s="27" t="str">
        <f aca="false">IF(N54="","",UPPER(TRIM(N54))&amp;"|"&amp;UPPER(TRIM(O54)))</f>
        <v/>
      </c>
      <c r="W54" s="7" t="str">
        <f aca="false">IF(N54="","",IF(COUNTIF($K$10:$K$309,V54)=0,"In 2B, not in books — check &amp; book",IF(ABS(U54-SUMIF($K$10:$K$309,V54,$J$10:$J$309))&lt;=1,"Matched","Tax amount differs")))</f>
        <v/>
      </c>
    </row>
    <row r="55" customFormat="false" ht="15" hidden="false" customHeight="false" outlineLevel="0" collapsed="false">
      <c r="B55" s="5"/>
      <c r="C55" s="5"/>
      <c r="D55" s="5"/>
      <c r="E55" s="16"/>
      <c r="F55" s="17"/>
      <c r="G55" s="17"/>
      <c r="H55" s="17"/>
      <c r="I55" s="17"/>
      <c r="J55" s="21" t="str">
        <f aca="false">IF(B55="","",N(G55)+N(H55)+N(I55))</f>
        <v/>
      </c>
      <c r="K55" s="27" t="str">
        <f aca="false">IF(B55="","",UPPER(TRIM(B55))&amp;"|"&amp;UPPER(TRIM(D55)))</f>
        <v/>
      </c>
      <c r="L55" s="7" t="str">
        <f aca="false">IF(B55="","",IF(COUNTIF($V$10:$V$309,K55)=0,"Not in 2B — ITC at risk",IF(ABS(J55-SUMIF($V$10:$V$309,K55,$U$10:$U$309))&lt;=1,"Matched","Tax amount differs")))</f>
        <v/>
      </c>
      <c r="N55" s="5"/>
      <c r="O55" s="5"/>
      <c r="P55" s="16"/>
      <c r="Q55" s="17"/>
      <c r="R55" s="17"/>
      <c r="S55" s="17"/>
      <c r="T55" s="17"/>
      <c r="U55" s="21" t="str">
        <f aca="false">IF(N55="","",N(R55)+N(S55)+N(T55))</f>
        <v/>
      </c>
      <c r="V55" s="27" t="str">
        <f aca="false">IF(N55="","",UPPER(TRIM(N55))&amp;"|"&amp;UPPER(TRIM(O55)))</f>
        <v/>
      </c>
      <c r="W55" s="7" t="str">
        <f aca="false">IF(N55="","",IF(COUNTIF($K$10:$K$309,V55)=0,"In 2B, not in books — check &amp; book",IF(ABS(U55-SUMIF($K$10:$K$309,V55,$J$10:$J$309))&lt;=1,"Matched","Tax amount differs")))</f>
        <v/>
      </c>
    </row>
    <row r="56" customFormat="false" ht="15" hidden="false" customHeight="false" outlineLevel="0" collapsed="false">
      <c r="B56" s="5"/>
      <c r="C56" s="5"/>
      <c r="D56" s="5"/>
      <c r="E56" s="16"/>
      <c r="F56" s="17"/>
      <c r="G56" s="17"/>
      <c r="H56" s="17"/>
      <c r="I56" s="17"/>
      <c r="J56" s="21" t="str">
        <f aca="false">IF(B56="","",N(G56)+N(H56)+N(I56))</f>
        <v/>
      </c>
      <c r="K56" s="27" t="str">
        <f aca="false">IF(B56="","",UPPER(TRIM(B56))&amp;"|"&amp;UPPER(TRIM(D56)))</f>
        <v/>
      </c>
      <c r="L56" s="7" t="str">
        <f aca="false">IF(B56="","",IF(COUNTIF($V$10:$V$309,K56)=0,"Not in 2B — ITC at risk",IF(ABS(J56-SUMIF($V$10:$V$309,K56,$U$10:$U$309))&lt;=1,"Matched","Tax amount differs")))</f>
        <v/>
      </c>
      <c r="N56" s="5"/>
      <c r="O56" s="5"/>
      <c r="P56" s="16"/>
      <c r="Q56" s="17"/>
      <c r="R56" s="17"/>
      <c r="S56" s="17"/>
      <c r="T56" s="17"/>
      <c r="U56" s="21" t="str">
        <f aca="false">IF(N56="","",N(R56)+N(S56)+N(T56))</f>
        <v/>
      </c>
      <c r="V56" s="27" t="str">
        <f aca="false">IF(N56="","",UPPER(TRIM(N56))&amp;"|"&amp;UPPER(TRIM(O56)))</f>
        <v/>
      </c>
      <c r="W56" s="7" t="str">
        <f aca="false">IF(N56="","",IF(COUNTIF($K$10:$K$309,V56)=0,"In 2B, not in books — check &amp; book",IF(ABS(U56-SUMIF($K$10:$K$309,V56,$J$10:$J$309))&lt;=1,"Matched","Tax amount differs")))</f>
        <v/>
      </c>
    </row>
    <row r="57" customFormat="false" ht="15" hidden="false" customHeight="false" outlineLevel="0" collapsed="false">
      <c r="B57" s="5"/>
      <c r="C57" s="5"/>
      <c r="D57" s="5"/>
      <c r="E57" s="16"/>
      <c r="F57" s="17"/>
      <c r="G57" s="17"/>
      <c r="H57" s="17"/>
      <c r="I57" s="17"/>
      <c r="J57" s="21" t="str">
        <f aca="false">IF(B57="","",N(G57)+N(H57)+N(I57))</f>
        <v/>
      </c>
      <c r="K57" s="27" t="str">
        <f aca="false">IF(B57="","",UPPER(TRIM(B57))&amp;"|"&amp;UPPER(TRIM(D57)))</f>
        <v/>
      </c>
      <c r="L57" s="7" t="str">
        <f aca="false">IF(B57="","",IF(COUNTIF($V$10:$V$309,K57)=0,"Not in 2B — ITC at risk",IF(ABS(J57-SUMIF($V$10:$V$309,K57,$U$10:$U$309))&lt;=1,"Matched","Tax amount differs")))</f>
        <v/>
      </c>
      <c r="N57" s="5"/>
      <c r="O57" s="5"/>
      <c r="P57" s="16"/>
      <c r="Q57" s="17"/>
      <c r="R57" s="17"/>
      <c r="S57" s="17"/>
      <c r="T57" s="17"/>
      <c r="U57" s="21" t="str">
        <f aca="false">IF(N57="","",N(R57)+N(S57)+N(T57))</f>
        <v/>
      </c>
      <c r="V57" s="27" t="str">
        <f aca="false">IF(N57="","",UPPER(TRIM(N57))&amp;"|"&amp;UPPER(TRIM(O57)))</f>
        <v/>
      </c>
      <c r="W57" s="7" t="str">
        <f aca="false">IF(N57="","",IF(COUNTIF($K$10:$K$309,V57)=0,"In 2B, not in books — check &amp; book",IF(ABS(U57-SUMIF($K$10:$K$309,V57,$J$10:$J$309))&lt;=1,"Matched","Tax amount differs")))</f>
        <v/>
      </c>
    </row>
    <row r="58" customFormat="false" ht="15" hidden="false" customHeight="false" outlineLevel="0" collapsed="false">
      <c r="B58" s="5"/>
      <c r="C58" s="5"/>
      <c r="D58" s="5"/>
      <c r="E58" s="16"/>
      <c r="F58" s="17"/>
      <c r="G58" s="17"/>
      <c r="H58" s="17"/>
      <c r="I58" s="17"/>
      <c r="J58" s="21" t="str">
        <f aca="false">IF(B58="","",N(G58)+N(H58)+N(I58))</f>
        <v/>
      </c>
      <c r="K58" s="27" t="str">
        <f aca="false">IF(B58="","",UPPER(TRIM(B58))&amp;"|"&amp;UPPER(TRIM(D58)))</f>
        <v/>
      </c>
      <c r="L58" s="7" t="str">
        <f aca="false">IF(B58="","",IF(COUNTIF($V$10:$V$309,K58)=0,"Not in 2B — ITC at risk",IF(ABS(J58-SUMIF($V$10:$V$309,K58,$U$10:$U$309))&lt;=1,"Matched","Tax amount differs")))</f>
        <v/>
      </c>
      <c r="N58" s="5"/>
      <c r="O58" s="5"/>
      <c r="P58" s="16"/>
      <c r="Q58" s="17"/>
      <c r="R58" s="17"/>
      <c r="S58" s="17"/>
      <c r="T58" s="17"/>
      <c r="U58" s="21" t="str">
        <f aca="false">IF(N58="","",N(R58)+N(S58)+N(T58))</f>
        <v/>
      </c>
      <c r="V58" s="27" t="str">
        <f aca="false">IF(N58="","",UPPER(TRIM(N58))&amp;"|"&amp;UPPER(TRIM(O58)))</f>
        <v/>
      </c>
      <c r="W58" s="7" t="str">
        <f aca="false">IF(N58="","",IF(COUNTIF($K$10:$K$309,V58)=0,"In 2B, not in books — check &amp; book",IF(ABS(U58-SUMIF($K$10:$K$309,V58,$J$10:$J$309))&lt;=1,"Matched","Tax amount differs")))</f>
        <v/>
      </c>
    </row>
    <row r="59" customFormat="false" ht="15" hidden="false" customHeight="false" outlineLevel="0" collapsed="false">
      <c r="B59" s="5"/>
      <c r="C59" s="5"/>
      <c r="D59" s="5"/>
      <c r="E59" s="16"/>
      <c r="F59" s="17"/>
      <c r="G59" s="17"/>
      <c r="H59" s="17"/>
      <c r="I59" s="17"/>
      <c r="J59" s="21" t="str">
        <f aca="false">IF(B59="","",N(G59)+N(H59)+N(I59))</f>
        <v/>
      </c>
      <c r="K59" s="27" t="str">
        <f aca="false">IF(B59="","",UPPER(TRIM(B59))&amp;"|"&amp;UPPER(TRIM(D59)))</f>
        <v/>
      </c>
      <c r="L59" s="7" t="str">
        <f aca="false">IF(B59="","",IF(COUNTIF($V$10:$V$309,K59)=0,"Not in 2B — ITC at risk",IF(ABS(J59-SUMIF($V$10:$V$309,K59,$U$10:$U$309))&lt;=1,"Matched","Tax amount differs")))</f>
        <v/>
      </c>
      <c r="N59" s="5"/>
      <c r="O59" s="5"/>
      <c r="P59" s="16"/>
      <c r="Q59" s="17"/>
      <c r="R59" s="17"/>
      <c r="S59" s="17"/>
      <c r="T59" s="17"/>
      <c r="U59" s="21" t="str">
        <f aca="false">IF(N59="","",N(R59)+N(S59)+N(T59))</f>
        <v/>
      </c>
      <c r="V59" s="27" t="str">
        <f aca="false">IF(N59="","",UPPER(TRIM(N59))&amp;"|"&amp;UPPER(TRIM(O59)))</f>
        <v/>
      </c>
      <c r="W59" s="7" t="str">
        <f aca="false">IF(N59="","",IF(COUNTIF($K$10:$K$309,V59)=0,"In 2B, not in books — check &amp; book",IF(ABS(U59-SUMIF($K$10:$K$309,V59,$J$10:$J$309))&lt;=1,"Matched","Tax amount differs")))</f>
        <v/>
      </c>
    </row>
    <row r="60" customFormat="false" ht="15" hidden="false" customHeight="false" outlineLevel="0" collapsed="false">
      <c r="B60" s="5"/>
      <c r="C60" s="5"/>
      <c r="D60" s="5"/>
      <c r="E60" s="16"/>
      <c r="F60" s="17"/>
      <c r="G60" s="17"/>
      <c r="H60" s="17"/>
      <c r="I60" s="17"/>
      <c r="J60" s="21" t="str">
        <f aca="false">IF(B60="","",N(G60)+N(H60)+N(I60))</f>
        <v/>
      </c>
      <c r="K60" s="27" t="str">
        <f aca="false">IF(B60="","",UPPER(TRIM(B60))&amp;"|"&amp;UPPER(TRIM(D60)))</f>
        <v/>
      </c>
      <c r="L60" s="7" t="str">
        <f aca="false">IF(B60="","",IF(COUNTIF($V$10:$V$309,K60)=0,"Not in 2B — ITC at risk",IF(ABS(J60-SUMIF($V$10:$V$309,K60,$U$10:$U$309))&lt;=1,"Matched","Tax amount differs")))</f>
        <v/>
      </c>
      <c r="N60" s="5"/>
      <c r="O60" s="5"/>
      <c r="P60" s="16"/>
      <c r="Q60" s="17"/>
      <c r="R60" s="17"/>
      <c r="S60" s="17"/>
      <c r="T60" s="17"/>
      <c r="U60" s="21" t="str">
        <f aca="false">IF(N60="","",N(R60)+N(S60)+N(T60))</f>
        <v/>
      </c>
      <c r="V60" s="27" t="str">
        <f aca="false">IF(N60="","",UPPER(TRIM(N60))&amp;"|"&amp;UPPER(TRIM(O60)))</f>
        <v/>
      </c>
      <c r="W60" s="7" t="str">
        <f aca="false">IF(N60="","",IF(COUNTIF($K$10:$K$309,V60)=0,"In 2B, not in books — check &amp; book",IF(ABS(U60-SUMIF($K$10:$K$309,V60,$J$10:$J$309))&lt;=1,"Matched","Tax amount differs")))</f>
        <v/>
      </c>
    </row>
    <row r="61" customFormat="false" ht="15" hidden="false" customHeight="false" outlineLevel="0" collapsed="false">
      <c r="B61" s="5"/>
      <c r="C61" s="5"/>
      <c r="D61" s="5"/>
      <c r="E61" s="16"/>
      <c r="F61" s="17"/>
      <c r="G61" s="17"/>
      <c r="H61" s="17"/>
      <c r="I61" s="17"/>
      <c r="J61" s="21" t="str">
        <f aca="false">IF(B61="","",N(G61)+N(H61)+N(I61))</f>
        <v/>
      </c>
      <c r="K61" s="27" t="str">
        <f aca="false">IF(B61="","",UPPER(TRIM(B61))&amp;"|"&amp;UPPER(TRIM(D61)))</f>
        <v/>
      </c>
      <c r="L61" s="7" t="str">
        <f aca="false">IF(B61="","",IF(COUNTIF($V$10:$V$309,K61)=0,"Not in 2B — ITC at risk",IF(ABS(J61-SUMIF($V$10:$V$309,K61,$U$10:$U$309))&lt;=1,"Matched","Tax amount differs")))</f>
        <v/>
      </c>
      <c r="N61" s="5"/>
      <c r="O61" s="5"/>
      <c r="P61" s="16"/>
      <c r="Q61" s="17"/>
      <c r="R61" s="17"/>
      <c r="S61" s="17"/>
      <c r="T61" s="17"/>
      <c r="U61" s="21" t="str">
        <f aca="false">IF(N61="","",N(R61)+N(S61)+N(T61))</f>
        <v/>
      </c>
      <c r="V61" s="27" t="str">
        <f aca="false">IF(N61="","",UPPER(TRIM(N61))&amp;"|"&amp;UPPER(TRIM(O61)))</f>
        <v/>
      </c>
      <c r="W61" s="7" t="str">
        <f aca="false">IF(N61="","",IF(COUNTIF($K$10:$K$309,V61)=0,"In 2B, not in books — check &amp; book",IF(ABS(U61-SUMIF($K$10:$K$309,V61,$J$10:$J$309))&lt;=1,"Matched","Tax amount differs")))</f>
        <v/>
      </c>
    </row>
    <row r="62" customFormat="false" ht="15" hidden="false" customHeight="false" outlineLevel="0" collapsed="false">
      <c r="B62" s="5"/>
      <c r="C62" s="5"/>
      <c r="D62" s="5"/>
      <c r="E62" s="16"/>
      <c r="F62" s="17"/>
      <c r="G62" s="17"/>
      <c r="H62" s="17"/>
      <c r="I62" s="17"/>
      <c r="J62" s="21" t="str">
        <f aca="false">IF(B62="","",N(G62)+N(H62)+N(I62))</f>
        <v/>
      </c>
      <c r="K62" s="27" t="str">
        <f aca="false">IF(B62="","",UPPER(TRIM(B62))&amp;"|"&amp;UPPER(TRIM(D62)))</f>
        <v/>
      </c>
      <c r="L62" s="7" t="str">
        <f aca="false">IF(B62="","",IF(COUNTIF($V$10:$V$309,K62)=0,"Not in 2B — ITC at risk",IF(ABS(J62-SUMIF($V$10:$V$309,K62,$U$10:$U$309))&lt;=1,"Matched","Tax amount differs")))</f>
        <v/>
      </c>
      <c r="N62" s="5"/>
      <c r="O62" s="5"/>
      <c r="P62" s="16"/>
      <c r="Q62" s="17"/>
      <c r="R62" s="17"/>
      <c r="S62" s="17"/>
      <c r="T62" s="17"/>
      <c r="U62" s="21" t="str">
        <f aca="false">IF(N62="","",N(R62)+N(S62)+N(T62))</f>
        <v/>
      </c>
      <c r="V62" s="27" t="str">
        <f aca="false">IF(N62="","",UPPER(TRIM(N62))&amp;"|"&amp;UPPER(TRIM(O62)))</f>
        <v/>
      </c>
      <c r="W62" s="7" t="str">
        <f aca="false">IF(N62="","",IF(COUNTIF($K$10:$K$309,V62)=0,"In 2B, not in books — check &amp; book",IF(ABS(U62-SUMIF($K$10:$K$309,V62,$J$10:$J$309))&lt;=1,"Matched","Tax amount differs")))</f>
        <v/>
      </c>
    </row>
    <row r="63" customFormat="false" ht="15" hidden="false" customHeight="false" outlineLevel="0" collapsed="false">
      <c r="B63" s="5"/>
      <c r="C63" s="5"/>
      <c r="D63" s="5"/>
      <c r="E63" s="16"/>
      <c r="F63" s="17"/>
      <c r="G63" s="17"/>
      <c r="H63" s="17"/>
      <c r="I63" s="17"/>
      <c r="J63" s="21" t="str">
        <f aca="false">IF(B63="","",N(G63)+N(H63)+N(I63))</f>
        <v/>
      </c>
      <c r="K63" s="27" t="str">
        <f aca="false">IF(B63="","",UPPER(TRIM(B63))&amp;"|"&amp;UPPER(TRIM(D63)))</f>
        <v/>
      </c>
      <c r="L63" s="7" t="str">
        <f aca="false">IF(B63="","",IF(COUNTIF($V$10:$V$309,K63)=0,"Not in 2B — ITC at risk",IF(ABS(J63-SUMIF($V$10:$V$309,K63,$U$10:$U$309))&lt;=1,"Matched","Tax amount differs")))</f>
        <v/>
      </c>
      <c r="N63" s="5"/>
      <c r="O63" s="5"/>
      <c r="P63" s="16"/>
      <c r="Q63" s="17"/>
      <c r="R63" s="17"/>
      <c r="S63" s="17"/>
      <c r="T63" s="17"/>
      <c r="U63" s="21" t="str">
        <f aca="false">IF(N63="","",N(R63)+N(S63)+N(T63))</f>
        <v/>
      </c>
      <c r="V63" s="27" t="str">
        <f aca="false">IF(N63="","",UPPER(TRIM(N63))&amp;"|"&amp;UPPER(TRIM(O63)))</f>
        <v/>
      </c>
      <c r="W63" s="7" t="str">
        <f aca="false">IF(N63="","",IF(COUNTIF($K$10:$K$309,V63)=0,"In 2B, not in books — check &amp; book",IF(ABS(U63-SUMIF($K$10:$K$309,V63,$J$10:$J$309))&lt;=1,"Matched","Tax amount differs")))</f>
        <v/>
      </c>
    </row>
    <row r="64" customFormat="false" ht="15" hidden="false" customHeight="false" outlineLevel="0" collapsed="false">
      <c r="B64" s="5"/>
      <c r="C64" s="5"/>
      <c r="D64" s="5"/>
      <c r="E64" s="16"/>
      <c r="F64" s="17"/>
      <c r="G64" s="17"/>
      <c r="H64" s="17"/>
      <c r="I64" s="17"/>
      <c r="J64" s="21" t="str">
        <f aca="false">IF(B64="","",N(G64)+N(H64)+N(I64))</f>
        <v/>
      </c>
      <c r="K64" s="27" t="str">
        <f aca="false">IF(B64="","",UPPER(TRIM(B64))&amp;"|"&amp;UPPER(TRIM(D64)))</f>
        <v/>
      </c>
      <c r="L64" s="7" t="str">
        <f aca="false">IF(B64="","",IF(COUNTIF($V$10:$V$309,K64)=0,"Not in 2B — ITC at risk",IF(ABS(J64-SUMIF($V$10:$V$309,K64,$U$10:$U$309))&lt;=1,"Matched","Tax amount differs")))</f>
        <v/>
      </c>
      <c r="N64" s="5"/>
      <c r="O64" s="5"/>
      <c r="P64" s="16"/>
      <c r="Q64" s="17"/>
      <c r="R64" s="17"/>
      <c r="S64" s="17"/>
      <c r="T64" s="17"/>
      <c r="U64" s="21" t="str">
        <f aca="false">IF(N64="","",N(R64)+N(S64)+N(T64))</f>
        <v/>
      </c>
      <c r="V64" s="27" t="str">
        <f aca="false">IF(N64="","",UPPER(TRIM(N64))&amp;"|"&amp;UPPER(TRIM(O64)))</f>
        <v/>
      </c>
      <c r="W64" s="7" t="str">
        <f aca="false">IF(N64="","",IF(COUNTIF($K$10:$K$309,V64)=0,"In 2B, not in books — check &amp; book",IF(ABS(U64-SUMIF($K$10:$K$309,V64,$J$10:$J$309))&lt;=1,"Matched","Tax amount differs")))</f>
        <v/>
      </c>
    </row>
    <row r="65" customFormat="false" ht="15" hidden="false" customHeight="false" outlineLevel="0" collapsed="false">
      <c r="B65" s="5"/>
      <c r="C65" s="5"/>
      <c r="D65" s="5"/>
      <c r="E65" s="16"/>
      <c r="F65" s="17"/>
      <c r="G65" s="17"/>
      <c r="H65" s="17"/>
      <c r="I65" s="17"/>
      <c r="J65" s="21" t="str">
        <f aca="false">IF(B65="","",N(G65)+N(H65)+N(I65))</f>
        <v/>
      </c>
      <c r="K65" s="27" t="str">
        <f aca="false">IF(B65="","",UPPER(TRIM(B65))&amp;"|"&amp;UPPER(TRIM(D65)))</f>
        <v/>
      </c>
      <c r="L65" s="7" t="str">
        <f aca="false">IF(B65="","",IF(COUNTIF($V$10:$V$309,K65)=0,"Not in 2B — ITC at risk",IF(ABS(J65-SUMIF($V$10:$V$309,K65,$U$10:$U$309))&lt;=1,"Matched","Tax amount differs")))</f>
        <v/>
      </c>
      <c r="N65" s="5"/>
      <c r="O65" s="5"/>
      <c r="P65" s="16"/>
      <c r="Q65" s="17"/>
      <c r="R65" s="17"/>
      <c r="S65" s="17"/>
      <c r="T65" s="17"/>
      <c r="U65" s="21" t="str">
        <f aca="false">IF(N65="","",N(R65)+N(S65)+N(T65))</f>
        <v/>
      </c>
      <c r="V65" s="27" t="str">
        <f aca="false">IF(N65="","",UPPER(TRIM(N65))&amp;"|"&amp;UPPER(TRIM(O65)))</f>
        <v/>
      </c>
      <c r="W65" s="7" t="str">
        <f aca="false">IF(N65="","",IF(COUNTIF($K$10:$K$309,V65)=0,"In 2B, not in books — check &amp; book",IF(ABS(U65-SUMIF($K$10:$K$309,V65,$J$10:$J$309))&lt;=1,"Matched","Tax amount differs")))</f>
        <v/>
      </c>
    </row>
    <row r="66" customFormat="false" ht="15" hidden="false" customHeight="false" outlineLevel="0" collapsed="false">
      <c r="B66" s="5"/>
      <c r="C66" s="5"/>
      <c r="D66" s="5"/>
      <c r="E66" s="16"/>
      <c r="F66" s="17"/>
      <c r="G66" s="17"/>
      <c r="H66" s="17"/>
      <c r="I66" s="17"/>
      <c r="J66" s="21" t="str">
        <f aca="false">IF(B66="","",N(G66)+N(H66)+N(I66))</f>
        <v/>
      </c>
      <c r="K66" s="27" t="str">
        <f aca="false">IF(B66="","",UPPER(TRIM(B66))&amp;"|"&amp;UPPER(TRIM(D66)))</f>
        <v/>
      </c>
      <c r="L66" s="7" t="str">
        <f aca="false">IF(B66="","",IF(COUNTIF($V$10:$V$309,K66)=0,"Not in 2B — ITC at risk",IF(ABS(J66-SUMIF($V$10:$V$309,K66,$U$10:$U$309))&lt;=1,"Matched","Tax amount differs")))</f>
        <v/>
      </c>
      <c r="N66" s="5"/>
      <c r="O66" s="5"/>
      <c r="P66" s="16"/>
      <c r="Q66" s="17"/>
      <c r="R66" s="17"/>
      <c r="S66" s="17"/>
      <c r="T66" s="17"/>
      <c r="U66" s="21" t="str">
        <f aca="false">IF(N66="","",N(R66)+N(S66)+N(T66))</f>
        <v/>
      </c>
      <c r="V66" s="27" t="str">
        <f aca="false">IF(N66="","",UPPER(TRIM(N66))&amp;"|"&amp;UPPER(TRIM(O66)))</f>
        <v/>
      </c>
      <c r="W66" s="7" t="str">
        <f aca="false">IF(N66="","",IF(COUNTIF($K$10:$K$309,V66)=0,"In 2B, not in books — check &amp; book",IF(ABS(U66-SUMIF($K$10:$K$309,V66,$J$10:$J$309))&lt;=1,"Matched","Tax amount differs")))</f>
        <v/>
      </c>
    </row>
    <row r="67" customFormat="false" ht="15" hidden="false" customHeight="false" outlineLevel="0" collapsed="false">
      <c r="B67" s="5"/>
      <c r="C67" s="5"/>
      <c r="D67" s="5"/>
      <c r="E67" s="16"/>
      <c r="F67" s="17"/>
      <c r="G67" s="17"/>
      <c r="H67" s="17"/>
      <c r="I67" s="17"/>
      <c r="J67" s="21" t="str">
        <f aca="false">IF(B67="","",N(G67)+N(H67)+N(I67))</f>
        <v/>
      </c>
      <c r="K67" s="27" t="str">
        <f aca="false">IF(B67="","",UPPER(TRIM(B67))&amp;"|"&amp;UPPER(TRIM(D67)))</f>
        <v/>
      </c>
      <c r="L67" s="7" t="str">
        <f aca="false">IF(B67="","",IF(COUNTIF($V$10:$V$309,K67)=0,"Not in 2B — ITC at risk",IF(ABS(J67-SUMIF($V$10:$V$309,K67,$U$10:$U$309))&lt;=1,"Matched","Tax amount differs")))</f>
        <v/>
      </c>
      <c r="N67" s="5"/>
      <c r="O67" s="5"/>
      <c r="P67" s="16"/>
      <c r="Q67" s="17"/>
      <c r="R67" s="17"/>
      <c r="S67" s="17"/>
      <c r="T67" s="17"/>
      <c r="U67" s="21" t="str">
        <f aca="false">IF(N67="","",N(R67)+N(S67)+N(T67))</f>
        <v/>
      </c>
      <c r="V67" s="27" t="str">
        <f aca="false">IF(N67="","",UPPER(TRIM(N67))&amp;"|"&amp;UPPER(TRIM(O67)))</f>
        <v/>
      </c>
      <c r="W67" s="7" t="str">
        <f aca="false">IF(N67="","",IF(COUNTIF($K$10:$K$309,V67)=0,"In 2B, not in books — check &amp; book",IF(ABS(U67-SUMIF($K$10:$K$309,V67,$J$10:$J$309))&lt;=1,"Matched","Tax amount differs")))</f>
        <v/>
      </c>
    </row>
    <row r="68" customFormat="false" ht="15" hidden="false" customHeight="false" outlineLevel="0" collapsed="false">
      <c r="B68" s="5"/>
      <c r="C68" s="5"/>
      <c r="D68" s="5"/>
      <c r="E68" s="16"/>
      <c r="F68" s="17"/>
      <c r="G68" s="17"/>
      <c r="H68" s="17"/>
      <c r="I68" s="17"/>
      <c r="J68" s="21" t="str">
        <f aca="false">IF(B68="","",N(G68)+N(H68)+N(I68))</f>
        <v/>
      </c>
      <c r="K68" s="27" t="str">
        <f aca="false">IF(B68="","",UPPER(TRIM(B68))&amp;"|"&amp;UPPER(TRIM(D68)))</f>
        <v/>
      </c>
      <c r="L68" s="7" t="str">
        <f aca="false">IF(B68="","",IF(COUNTIF($V$10:$V$309,K68)=0,"Not in 2B — ITC at risk",IF(ABS(J68-SUMIF($V$10:$V$309,K68,$U$10:$U$309))&lt;=1,"Matched","Tax amount differs")))</f>
        <v/>
      </c>
      <c r="N68" s="5"/>
      <c r="O68" s="5"/>
      <c r="P68" s="16"/>
      <c r="Q68" s="17"/>
      <c r="R68" s="17"/>
      <c r="S68" s="17"/>
      <c r="T68" s="17"/>
      <c r="U68" s="21" t="str">
        <f aca="false">IF(N68="","",N(R68)+N(S68)+N(T68))</f>
        <v/>
      </c>
      <c r="V68" s="27" t="str">
        <f aca="false">IF(N68="","",UPPER(TRIM(N68))&amp;"|"&amp;UPPER(TRIM(O68)))</f>
        <v/>
      </c>
      <c r="W68" s="7" t="str">
        <f aca="false">IF(N68="","",IF(COUNTIF($K$10:$K$309,V68)=0,"In 2B, not in books — check &amp; book",IF(ABS(U68-SUMIF($K$10:$K$309,V68,$J$10:$J$309))&lt;=1,"Matched","Tax amount differs")))</f>
        <v/>
      </c>
    </row>
    <row r="69" customFormat="false" ht="15" hidden="false" customHeight="false" outlineLevel="0" collapsed="false">
      <c r="B69" s="5"/>
      <c r="C69" s="5"/>
      <c r="D69" s="5"/>
      <c r="E69" s="16"/>
      <c r="F69" s="17"/>
      <c r="G69" s="17"/>
      <c r="H69" s="17"/>
      <c r="I69" s="17"/>
      <c r="J69" s="21" t="str">
        <f aca="false">IF(B69="","",N(G69)+N(H69)+N(I69))</f>
        <v/>
      </c>
      <c r="K69" s="27" t="str">
        <f aca="false">IF(B69="","",UPPER(TRIM(B69))&amp;"|"&amp;UPPER(TRIM(D69)))</f>
        <v/>
      </c>
      <c r="L69" s="7" t="str">
        <f aca="false">IF(B69="","",IF(COUNTIF($V$10:$V$309,K69)=0,"Not in 2B — ITC at risk",IF(ABS(J69-SUMIF($V$10:$V$309,K69,$U$10:$U$309))&lt;=1,"Matched","Tax amount differs")))</f>
        <v/>
      </c>
      <c r="N69" s="5"/>
      <c r="O69" s="5"/>
      <c r="P69" s="16"/>
      <c r="Q69" s="17"/>
      <c r="R69" s="17"/>
      <c r="S69" s="17"/>
      <c r="T69" s="17"/>
      <c r="U69" s="21" t="str">
        <f aca="false">IF(N69="","",N(R69)+N(S69)+N(T69))</f>
        <v/>
      </c>
      <c r="V69" s="27" t="str">
        <f aca="false">IF(N69="","",UPPER(TRIM(N69))&amp;"|"&amp;UPPER(TRIM(O69)))</f>
        <v/>
      </c>
      <c r="W69" s="7" t="str">
        <f aca="false">IF(N69="","",IF(COUNTIF($K$10:$K$309,V69)=0,"In 2B, not in books — check &amp; book",IF(ABS(U69-SUMIF($K$10:$K$309,V69,$J$10:$J$309))&lt;=1,"Matched","Tax amount differs")))</f>
        <v/>
      </c>
    </row>
    <row r="70" customFormat="false" ht="15" hidden="false" customHeight="false" outlineLevel="0" collapsed="false">
      <c r="B70" s="5"/>
      <c r="C70" s="5"/>
      <c r="D70" s="5"/>
      <c r="E70" s="16"/>
      <c r="F70" s="17"/>
      <c r="G70" s="17"/>
      <c r="H70" s="17"/>
      <c r="I70" s="17"/>
      <c r="J70" s="21" t="str">
        <f aca="false">IF(B70="","",N(G70)+N(H70)+N(I70))</f>
        <v/>
      </c>
      <c r="K70" s="27" t="str">
        <f aca="false">IF(B70="","",UPPER(TRIM(B70))&amp;"|"&amp;UPPER(TRIM(D70)))</f>
        <v/>
      </c>
      <c r="L70" s="7" t="str">
        <f aca="false">IF(B70="","",IF(COUNTIF($V$10:$V$309,K70)=0,"Not in 2B — ITC at risk",IF(ABS(J70-SUMIF($V$10:$V$309,K70,$U$10:$U$309))&lt;=1,"Matched","Tax amount differs")))</f>
        <v/>
      </c>
      <c r="N70" s="5"/>
      <c r="O70" s="5"/>
      <c r="P70" s="16"/>
      <c r="Q70" s="17"/>
      <c r="R70" s="17"/>
      <c r="S70" s="17"/>
      <c r="T70" s="17"/>
      <c r="U70" s="21" t="str">
        <f aca="false">IF(N70="","",N(R70)+N(S70)+N(T70))</f>
        <v/>
      </c>
      <c r="V70" s="27" t="str">
        <f aca="false">IF(N70="","",UPPER(TRIM(N70))&amp;"|"&amp;UPPER(TRIM(O70)))</f>
        <v/>
      </c>
      <c r="W70" s="7" t="str">
        <f aca="false">IF(N70="","",IF(COUNTIF($K$10:$K$309,V70)=0,"In 2B, not in books — check &amp; book",IF(ABS(U70-SUMIF($K$10:$K$309,V70,$J$10:$J$309))&lt;=1,"Matched","Tax amount differs")))</f>
        <v/>
      </c>
    </row>
    <row r="71" customFormat="false" ht="15" hidden="false" customHeight="false" outlineLevel="0" collapsed="false">
      <c r="B71" s="5"/>
      <c r="C71" s="5"/>
      <c r="D71" s="5"/>
      <c r="E71" s="16"/>
      <c r="F71" s="17"/>
      <c r="G71" s="17"/>
      <c r="H71" s="17"/>
      <c r="I71" s="17"/>
      <c r="J71" s="21" t="str">
        <f aca="false">IF(B71="","",N(G71)+N(H71)+N(I71))</f>
        <v/>
      </c>
      <c r="K71" s="27" t="str">
        <f aca="false">IF(B71="","",UPPER(TRIM(B71))&amp;"|"&amp;UPPER(TRIM(D71)))</f>
        <v/>
      </c>
      <c r="L71" s="7" t="str">
        <f aca="false">IF(B71="","",IF(COUNTIF($V$10:$V$309,K71)=0,"Not in 2B — ITC at risk",IF(ABS(J71-SUMIF($V$10:$V$309,K71,$U$10:$U$309))&lt;=1,"Matched","Tax amount differs")))</f>
        <v/>
      </c>
      <c r="N71" s="5"/>
      <c r="O71" s="5"/>
      <c r="P71" s="16"/>
      <c r="Q71" s="17"/>
      <c r="R71" s="17"/>
      <c r="S71" s="17"/>
      <c r="T71" s="17"/>
      <c r="U71" s="21" t="str">
        <f aca="false">IF(N71="","",N(R71)+N(S71)+N(T71))</f>
        <v/>
      </c>
      <c r="V71" s="27" t="str">
        <f aca="false">IF(N71="","",UPPER(TRIM(N71))&amp;"|"&amp;UPPER(TRIM(O71)))</f>
        <v/>
      </c>
      <c r="W71" s="7" t="str">
        <f aca="false">IF(N71="","",IF(COUNTIF($K$10:$K$309,V71)=0,"In 2B, not in books — check &amp; book",IF(ABS(U71-SUMIF($K$10:$K$309,V71,$J$10:$J$309))&lt;=1,"Matched","Tax amount differs")))</f>
        <v/>
      </c>
    </row>
    <row r="72" customFormat="false" ht="15" hidden="false" customHeight="false" outlineLevel="0" collapsed="false">
      <c r="B72" s="5"/>
      <c r="C72" s="5"/>
      <c r="D72" s="5"/>
      <c r="E72" s="16"/>
      <c r="F72" s="17"/>
      <c r="G72" s="17"/>
      <c r="H72" s="17"/>
      <c r="I72" s="17"/>
      <c r="J72" s="21" t="str">
        <f aca="false">IF(B72="","",N(G72)+N(H72)+N(I72))</f>
        <v/>
      </c>
      <c r="K72" s="27" t="str">
        <f aca="false">IF(B72="","",UPPER(TRIM(B72))&amp;"|"&amp;UPPER(TRIM(D72)))</f>
        <v/>
      </c>
      <c r="L72" s="7" t="str">
        <f aca="false">IF(B72="","",IF(COUNTIF($V$10:$V$309,K72)=0,"Not in 2B — ITC at risk",IF(ABS(J72-SUMIF($V$10:$V$309,K72,$U$10:$U$309))&lt;=1,"Matched","Tax amount differs")))</f>
        <v/>
      </c>
      <c r="N72" s="5"/>
      <c r="O72" s="5"/>
      <c r="P72" s="16"/>
      <c r="Q72" s="17"/>
      <c r="R72" s="17"/>
      <c r="S72" s="17"/>
      <c r="T72" s="17"/>
      <c r="U72" s="21" t="str">
        <f aca="false">IF(N72="","",N(R72)+N(S72)+N(T72))</f>
        <v/>
      </c>
      <c r="V72" s="27" t="str">
        <f aca="false">IF(N72="","",UPPER(TRIM(N72))&amp;"|"&amp;UPPER(TRIM(O72)))</f>
        <v/>
      </c>
      <c r="W72" s="7" t="str">
        <f aca="false">IF(N72="","",IF(COUNTIF($K$10:$K$309,V72)=0,"In 2B, not in books — check &amp; book",IF(ABS(U72-SUMIF($K$10:$K$309,V72,$J$10:$J$309))&lt;=1,"Matched","Tax amount differs")))</f>
        <v/>
      </c>
    </row>
    <row r="73" customFormat="false" ht="15" hidden="false" customHeight="false" outlineLevel="0" collapsed="false">
      <c r="B73" s="5"/>
      <c r="C73" s="5"/>
      <c r="D73" s="5"/>
      <c r="E73" s="16"/>
      <c r="F73" s="17"/>
      <c r="G73" s="17"/>
      <c r="H73" s="17"/>
      <c r="I73" s="17"/>
      <c r="J73" s="21" t="str">
        <f aca="false">IF(B73="","",N(G73)+N(H73)+N(I73))</f>
        <v/>
      </c>
      <c r="K73" s="27" t="str">
        <f aca="false">IF(B73="","",UPPER(TRIM(B73))&amp;"|"&amp;UPPER(TRIM(D73)))</f>
        <v/>
      </c>
      <c r="L73" s="7" t="str">
        <f aca="false">IF(B73="","",IF(COUNTIF($V$10:$V$309,K73)=0,"Not in 2B — ITC at risk",IF(ABS(J73-SUMIF($V$10:$V$309,K73,$U$10:$U$309))&lt;=1,"Matched","Tax amount differs")))</f>
        <v/>
      </c>
      <c r="N73" s="5"/>
      <c r="O73" s="5"/>
      <c r="P73" s="16"/>
      <c r="Q73" s="17"/>
      <c r="R73" s="17"/>
      <c r="S73" s="17"/>
      <c r="T73" s="17"/>
      <c r="U73" s="21" t="str">
        <f aca="false">IF(N73="","",N(R73)+N(S73)+N(T73))</f>
        <v/>
      </c>
      <c r="V73" s="27" t="str">
        <f aca="false">IF(N73="","",UPPER(TRIM(N73))&amp;"|"&amp;UPPER(TRIM(O73)))</f>
        <v/>
      </c>
      <c r="W73" s="7" t="str">
        <f aca="false">IF(N73="","",IF(COUNTIF($K$10:$K$309,V73)=0,"In 2B, not in books — check &amp; book",IF(ABS(U73-SUMIF($K$10:$K$309,V73,$J$10:$J$309))&lt;=1,"Matched","Tax amount differs")))</f>
        <v/>
      </c>
    </row>
    <row r="74" customFormat="false" ht="15" hidden="false" customHeight="false" outlineLevel="0" collapsed="false">
      <c r="B74" s="5"/>
      <c r="C74" s="5"/>
      <c r="D74" s="5"/>
      <c r="E74" s="16"/>
      <c r="F74" s="17"/>
      <c r="G74" s="17"/>
      <c r="H74" s="17"/>
      <c r="I74" s="17"/>
      <c r="J74" s="21" t="str">
        <f aca="false">IF(B74="","",N(G74)+N(H74)+N(I74))</f>
        <v/>
      </c>
      <c r="K74" s="27" t="str">
        <f aca="false">IF(B74="","",UPPER(TRIM(B74))&amp;"|"&amp;UPPER(TRIM(D74)))</f>
        <v/>
      </c>
      <c r="L74" s="7" t="str">
        <f aca="false">IF(B74="","",IF(COUNTIF($V$10:$V$309,K74)=0,"Not in 2B — ITC at risk",IF(ABS(J74-SUMIF($V$10:$V$309,K74,$U$10:$U$309))&lt;=1,"Matched","Tax amount differs")))</f>
        <v/>
      </c>
      <c r="N74" s="5"/>
      <c r="O74" s="5"/>
      <c r="P74" s="16"/>
      <c r="Q74" s="17"/>
      <c r="R74" s="17"/>
      <c r="S74" s="17"/>
      <c r="T74" s="17"/>
      <c r="U74" s="21" t="str">
        <f aca="false">IF(N74="","",N(R74)+N(S74)+N(T74))</f>
        <v/>
      </c>
      <c r="V74" s="27" t="str">
        <f aca="false">IF(N74="","",UPPER(TRIM(N74))&amp;"|"&amp;UPPER(TRIM(O74)))</f>
        <v/>
      </c>
      <c r="W74" s="7" t="str">
        <f aca="false">IF(N74="","",IF(COUNTIF($K$10:$K$309,V74)=0,"In 2B, not in books — check &amp; book",IF(ABS(U74-SUMIF($K$10:$K$309,V74,$J$10:$J$309))&lt;=1,"Matched","Tax amount differs")))</f>
        <v/>
      </c>
    </row>
    <row r="75" customFormat="false" ht="15" hidden="false" customHeight="false" outlineLevel="0" collapsed="false">
      <c r="B75" s="5"/>
      <c r="C75" s="5"/>
      <c r="D75" s="5"/>
      <c r="E75" s="16"/>
      <c r="F75" s="17"/>
      <c r="G75" s="17"/>
      <c r="H75" s="17"/>
      <c r="I75" s="17"/>
      <c r="J75" s="21" t="str">
        <f aca="false">IF(B75="","",N(G75)+N(H75)+N(I75))</f>
        <v/>
      </c>
      <c r="K75" s="27" t="str">
        <f aca="false">IF(B75="","",UPPER(TRIM(B75))&amp;"|"&amp;UPPER(TRIM(D75)))</f>
        <v/>
      </c>
      <c r="L75" s="7" t="str">
        <f aca="false">IF(B75="","",IF(COUNTIF($V$10:$V$309,K75)=0,"Not in 2B — ITC at risk",IF(ABS(J75-SUMIF($V$10:$V$309,K75,$U$10:$U$309))&lt;=1,"Matched","Tax amount differs")))</f>
        <v/>
      </c>
      <c r="N75" s="5"/>
      <c r="O75" s="5"/>
      <c r="P75" s="16"/>
      <c r="Q75" s="17"/>
      <c r="R75" s="17"/>
      <c r="S75" s="17"/>
      <c r="T75" s="17"/>
      <c r="U75" s="21" t="str">
        <f aca="false">IF(N75="","",N(R75)+N(S75)+N(T75))</f>
        <v/>
      </c>
      <c r="V75" s="27" t="str">
        <f aca="false">IF(N75="","",UPPER(TRIM(N75))&amp;"|"&amp;UPPER(TRIM(O75)))</f>
        <v/>
      </c>
      <c r="W75" s="7" t="str">
        <f aca="false">IF(N75="","",IF(COUNTIF($K$10:$K$309,V75)=0,"In 2B, not in books — check &amp; book",IF(ABS(U75-SUMIF($K$10:$K$309,V75,$J$10:$J$309))&lt;=1,"Matched","Tax amount differs")))</f>
        <v/>
      </c>
    </row>
    <row r="76" customFormat="false" ht="15" hidden="false" customHeight="false" outlineLevel="0" collapsed="false">
      <c r="B76" s="5"/>
      <c r="C76" s="5"/>
      <c r="D76" s="5"/>
      <c r="E76" s="16"/>
      <c r="F76" s="17"/>
      <c r="G76" s="17"/>
      <c r="H76" s="17"/>
      <c r="I76" s="17"/>
      <c r="J76" s="21" t="str">
        <f aca="false">IF(B76="","",N(G76)+N(H76)+N(I76))</f>
        <v/>
      </c>
      <c r="K76" s="27" t="str">
        <f aca="false">IF(B76="","",UPPER(TRIM(B76))&amp;"|"&amp;UPPER(TRIM(D76)))</f>
        <v/>
      </c>
      <c r="L76" s="7" t="str">
        <f aca="false">IF(B76="","",IF(COUNTIF($V$10:$V$309,K76)=0,"Not in 2B — ITC at risk",IF(ABS(J76-SUMIF($V$10:$V$309,K76,$U$10:$U$309))&lt;=1,"Matched","Tax amount differs")))</f>
        <v/>
      </c>
      <c r="N76" s="5"/>
      <c r="O76" s="5"/>
      <c r="P76" s="16"/>
      <c r="Q76" s="17"/>
      <c r="R76" s="17"/>
      <c r="S76" s="17"/>
      <c r="T76" s="17"/>
      <c r="U76" s="21" t="str">
        <f aca="false">IF(N76="","",N(R76)+N(S76)+N(T76))</f>
        <v/>
      </c>
      <c r="V76" s="27" t="str">
        <f aca="false">IF(N76="","",UPPER(TRIM(N76))&amp;"|"&amp;UPPER(TRIM(O76)))</f>
        <v/>
      </c>
      <c r="W76" s="7" t="str">
        <f aca="false">IF(N76="","",IF(COUNTIF($K$10:$K$309,V76)=0,"In 2B, not in books — check &amp; book",IF(ABS(U76-SUMIF($K$10:$K$309,V76,$J$10:$J$309))&lt;=1,"Matched","Tax amount differs")))</f>
        <v/>
      </c>
    </row>
    <row r="77" customFormat="false" ht="15" hidden="false" customHeight="false" outlineLevel="0" collapsed="false">
      <c r="B77" s="5"/>
      <c r="C77" s="5"/>
      <c r="D77" s="5"/>
      <c r="E77" s="16"/>
      <c r="F77" s="17"/>
      <c r="G77" s="17"/>
      <c r="H77" s="17"/>
      <c r="I77" s="17"/>
      <c r="J77" s="21" t="str">
        <f aca="false">IF(B77="","",N(G77)+N(H77)+N(I77))</f>
        <v/>
      </c>
      <c r="K77" s="27" t="str">
        <f aca="false">IF(B77="","",UPPER(TRIM(B77))&amp;"|"&amp;UPPER(TRIM(D77)))</f>
        <v/>
      </c>
      <c r="L77" s="7" t="str">
        <f aca="false">IF(B77="","",IF(COUNTIF($V$10:$V$309,K77)=0,"Not in 2B — ITC at risk",IF(ABS(J77-SUMIF($V$10:$V$309,K77,$U$10:$U$309))&lt;=1,"Matched","Tax amount differs")))</f>
        <v/>
      </c>
      <c r="N77" s="5"/>
      <c r="O77" s="5"/>
      <c r="P77" s="16"/>
      <c r="Q77" s="17"/>
      <c r="R77" s="17"/>
      <c r="S77" s="17"/>
      <c r="T77" s="17"/>
      <c r="U77" s="21" t="str">
        <f aca="false">IF(N77="","",N(R77)+N(S77)+N(T77))</f>
        <v/>
      </c>
      <c r="V77" s="27" t="str">
        <f aca="false">IF(N77="","",UPPER(TRIM(N77))&amp;"|"&amp;UPPER(TRIM(O77)))</f>
        <v/>
      </c>
      <c r="W77" s="7" t="str">
        <f aca="false">IF(N77="","",IF(COUNTIF($K$10:$K$309,V77)=0,"In 2B, not in books — check &amp; book",IF(ABS(U77-SUMIF($K$10:$K$309,V77,$J$10:$J$309))&lt;=1,"Matched","Tax amount differs")))</f>
        <v/>
      </c>
    </row>
    <row r="78" customFormat="false" ht="15" hidden="false" customHeight="false" outlineLevel="0" collapsed="false">
      <c r="B78" s="5"/>
      <c r="C78" s="5"/>
      <c r="D78" s="5"/>
      <c r="E78" s="16"/>
      <c r="F78" s="17"/>
      <c r="G78" s="17"/>
      <c r="H78" s="17"/>
      <c r="I78" s="17"/>
      <c r="J78" s="21" t="str">
        <f aca="false">IF(B78="","",N(G78)+N(H78)+N(I78))</f>
        <v/>
      </c>
      <c r="K78" s="27" t="str">
        <f aca="false">IF(B78="","",UPPER(TRIM(B78))&amp;"|"&amp;UPPER(TRIM(D78)))</f>
        <v/>
      </c>
      <c r="L78" s="7" t="str">
        <f aca="false">IF(B78="","",IF(COUNTIF($V$10:$V$309,K78)=0,"Not in 2B — ITC at risk",IF(ABS(J78-SUMIF($V$10:$V$309,K78,$U$10:$U$309))&lt;=1,"Matched","Tax amount differs")))</f>
        <v/>
      </c>
      <c r="N78" s="5"/>
      <c r="O78" s="5"/>
      <c r="P78" s="16"/>
      <c r="Q78" s="17"/>
      <c r="R78" s="17"/>
      <c r="S78" s="17"/>
      <c r="T78" s="17"/>
      <c r="U78" s="21" t="str">
        <f aca="false">IF(N78="","",N(R78)+N(S78)+N(T78))</f>
        <v/>
      </c>
      <c r="V78" s="27" t="str">
        <f aca="false">IF(N78="","",UPPER(TRIM(N78))&amp;"|"&amp;UPPER(TRIM(O78)))</f>
        <v/>
      </c>
      <c r="W78" s="7" t="str">
        <f aca="false">IF(N78="","",IF(COUNTIF($K$10:$K$309,V78)=0,"In 2B, not in books — check &amp; book",IF(ABS(U78-SUMIF($K$10:$K$309,V78,$J$10:$J$309))&lt;=1,"Matched","Tax amount differs")))</f>
        <v/>
      </c>
    </row>
    <row r="79" customFormat="false" ht="15" hidden="false" customHeight="false" outlineLevel="0" collapsed="false">
      <c r="B79" s="5"/>
      <c r="C79" s="5"/>
      <c r="D79" s="5"/>
      <c r="E79" s="16"/>
      <c r="F79" s="17"/>
      <c r="G79" s="17"/>
      <c r="H79" s="17"/>
      <c r="I79" s="17"/>
      <c r="J79" s="21" t="str">
        <f aca="false">IF(B79="","",N(G79)+N(H79)+N(I79))</f>
        <v/>
      </c>
      <c r="K79" s="27" t="str">
        <f aca="false">IF(B79="","",UPPER(TRIM(B79))&amp;"|"&amp;UPPER(TRIM(D79)))</f>
        <v/>
      </c>
      <c r="L79" s="7" t="str">
        <f aca="false">IF(B79="","",IF(COUNTIF($V$10:$V$309,K79)=0,"Not in 2B — ITC at risk",IF(ABS(J79-SUMIF($V$10:$V$309,K79,$U$10:$U$309))&lt;=1,"Matched","Tax amount differs")))</f>
        <v/>
      </c>
      <c r="N79" s="5"/>
      <c r="O79" s="5"/>
      <c r="P79" s="16"/>
      <c r="Q79" s="17"/>
      <c r="R79" s="17"/>
      <c r="S79" s="17"/>
      <c r="T79" s="17"/>
      <c r="U79" s="21" t="str">
        <f aca="false">IF(N79="","",N(R79)+N(S79)+N(T79))</f>
        <v/>
      </c>
      <c r="V79" s="27" t="str">
        <f aca="false">IF(N79="","",UPPER(TRIM(N79))&amp;"|"&amp;UPPER(TRIM(O79)))</f>
        <v/>
      </c>
      <c r="W79" s="7" t="str">
        <f aca="false">IF(N79="","",IF(COUNTIF($K$10:$K$309,V79)=0,"In 2B, not in books — check &amp; book",IF(ABS(U79-SUMIF($K$10:$K$309,V79,$J$10:$J$309))&lt;=1,"Matched","Tax amount differs")))</f>
        <v/>
      </c>
    </row>
    <row r="80" customFormat="false" ht="15" hidden="false" customHeight="false" outlineLevel="0" collapsed="false">
      <c r="B80" s="5"/>
      <c r="C80" s="5"/>
      <c r="D80" s="5"/>
      <c r="E80" s="16"/>
      <c r="F80" s="17"/>
      <c r="G80" s="17"/>
      <c r="H80" s="17"/>
      <c r="I80" s="17"/>
      <c r="J80" s="21" t="str">
        <f aca="false">IF(B80="","",N(G80)+N(H80)+N(I80))</f>
        <v/>
      </c>
      <c r="K80" s="27" t="str">
        <f aca="false">IF(B80="","",UPPER(TRIM(B80))&amp;"|"&amp;UPPER(TRIM(D80)))</f>
        <v/>
      </c>
      <c r="L80" s="7" t="str">
        <f aca="false">IF(B80="","",IF(COUNTIF($V$10:$V$309,K80)=0,"Not in 2B — ITC at risk",IF(ABS(J80-SUMIF($V$10:$V$309,K80,$U$10:$U$309))&lt;=1,"Matched","Tax amount differs")))</f>
        <v/>
      </c>
      <c r="N80" s="5"/>
      <c r="O80" s="5"/>
      <c r="P80" s="16"/>
      <c r="Q80" s="17"/>
      <c r="R80" s="17"/>
      <c r="S80" s="17"/>
      <c r="T80" s="17"/>
      <c r="U80" s="21" t="str">
        <f aca="false">IF(N80="","",N(R80)+N(S80)+N(T80))</f>
        <v/>
      </c>
      <c r="V80" s="27" t="str">
        <f aca="false">IF(N80="","",UPPER(TRIM(N80))&amp;"|"&amp;UPPER(TRIM(O80)))</f>
        <v/>
      </c>
      <c r="W80" s="7" t="str">
        <f aca="false">IF(N80="","",IF(COUNTIF($K$10:$K$309,V80)=0,"In 2B, not in books — check &amp; book",IF(ABS(U80-SUMIF($K$10:$K$309,V80,$J$10:$J$309))&lt;=1,"Matched","Tax amount differs")))</f>
        <v/>
      </c>
    </row>
    <row r="81" customFormat="false" ht="15" hidden="false" customHeight="false" outlineLevel="0" collapsed="false">
      <c r="B81" s="5"/>
      <c r="C81" s="5"/>
      <c r="D81" s="5"/>
      <c r="E81" s="16"/>
      <c r="F81" s="17"/>
      <c r="G81" s="17"/>
      <c r="H81" s="17"/>
      <c r="I81" s="17"/>
      <c r="J81" s="21" t="str">
        <f aca="false">IF(B81="","",N(G81)+N(H81)+N(I81))</f>
        <v/>
      </c>
      <c r="K81" s="27" t="str">
        <f aca="false">IF(B81="","",UPPER(TRIM(B81))&amp;"|"&amp;UPPER(TRIM(D81)))</f>
        <v/>
      </c>
      <c r="L81" s="7" t="str">
        <f aca="false">IF(B81="","",IF(COUNTIF($V$10:$V$309,K81)=0,"Not in 2B — ITC at risk",IF(ABS(J81-SUMIF($V$10:$V$309,K81,$U$10:$U$309))&lt;=1,"Matched","Tax amount differs")))</f>
        <v/>
      </c>
      <c r="N81" s="5"/>
      <c r="O81" s="5"/>
      <c r="P81" s="16"/>
      <c r="Q81" s="17"/>
      <c r="R81" s="17"/>
      <c r="S81" s="17"/>
      <c r="T81" s="17"/>
      <c r="U81" s="21" t="str">
        <f aca="false">IF(N81="","",N(R81)+N(S81)+N(T81))</f>
        <v/>
      </c>
      <c r="V81" s="27" t="str">
        <f aca="false">IF(N81="","",UPPER(TRIM(N81))&amp;"|"&amp;UPPER(TRIM(O81)))</f>
        <v/>
      </c>
      <c r="W81" s="7" t="str">
        <f aca="false">IF(N81="","",IF(COUNTIF($K$10:$K$309,V81)=0,"In 2B, not in books — check &amp; book",IF(ABS(U81-SUMIF($K$10:$K$309,V81,$J$10:$J$309))&lt;=1,"Matched","Tax amount differs")))</f>
        <v/>
      </c>
    </row>
    <row r="82" customFormat="false" ht="15" hidden="false" customHeight="false" outlineLevel="0" collapsed="false">
      <c r="B82" s="5"/>
      <c r="C82" s="5"/>
      <c r="D82" s="5"/>
      <c r="E82" s="16"/>
      <c r="F82" s="17"/>
      <c r="G82" s="17"/>
      <c r="H82" s="17"/>
      <c r="I82" s="17"/>
      <c r="J82" s="21" t="str">
        <f aca="false">IF(B82="","",N(G82)+N(H82)+N(I82))</f>
        <v/>
      </c>
      <c r="K82" s="27" t="str">
        <f aca="false">IF(B82="","",UPPER(TRIM(B82))&amp;"|"&amp;UPPER(TRIM(D82)))</f>
        <v/>
      </c>
      <c r="L82" s="7" t="str">
        <f aca="false">IF(B82="","",IF(COUNTIF($V$10:$V$309,K82)=0,"Not in 2B — ITC at risk",IF(ABS(J82-SUMIF($V$10:$V$309,K82,$U$10:$U$309))&lt;=1,"Matched","Tax amount differs")))</f>
        <v/>
      </c>
      <c r="N82" s="5"/>
      <c r="O82" s="5"/>
      <c r="P82" s="16"/>
      <c r="Q82" s="17"/>
      <c r="R82" s="17"/>
      <c r="S82" s="17"/>
      <c r="T82" s="17"/>
      <c r="U82" s="21" t="str">
        <f aca="false">IF(N82="","",N(R82)+N(S82)+N(T82))</f>
        <v/>
      </c>
      <c r="V82" s="27" t="str">
        <f aca="false">IF(N82="","",UPPER(TRIM(N82))&amp;"|"&amp;UPPER(TRIM(O82)))</f>
        <v/>
      </c>
      <c r="W82" s="7" t="str">
        <f aca="false">IF(N82="","",IF(COUNTIF($K$10:$K$309,V82)=0,"In 2B, not in books — check &amp; book",IF(ABS(U82-SUMIF($K$10:$K$309,V82,$J$10:$J$309))&lt;=1,"Matched","Tax amount differs")))</f>
        <v/>
      </c>
    </row>
    <row r="83" customFormat="false" ht="15" hidden="false" customHeight="false" outlineLevel="0" collapsed="false">
      <c r="B83" s="5"/>
      <c r="C83" s="5"/>
      <c r="D83" s="5"/>
      <c r="E83" s="16"/>
      <c r="F83" s="17"/>
      <c r="G83" s="17"/>
      <c r="H83" s="17"/>
      <c r="I83" s="17"/>
      <c r="J83" s="21" t="str">
        <f aca="false">IF(B83="","",N(G83)+N(H83)+N(I83))</f>
        <v/>
      </c>
      <c r="K83" s="27" t="str">
        <f aca="false">IF(B83="","",UPPER(TRIM(B83))&amp;"|"&amp;UPPER(TRIM(D83)))</f>
        <v/>
      </c>
      <c r="L83" s="7" t="str">
        <f aca="false">IF(B83="","",IF(COUNTIF($V$10:$V$309,K83)=0,"Not in 2B — ITC at risk",IF(ABS(J83-SUMIF($V$10:$V$309,K83,$U$10:$U$309))&lt;=1,"Matched","Tax amount differs")))</f>
        <v/>
      </c>
      <c r="N83" s="5"/>
      <c r="O83" s="5"/>
      <c r="P83" s="16"/>
      <c r="Q83" s="17"/>
      <c r="R83" s="17"/>
      <c r="S83" s="17"/>
      <c r="T83" s="17"/>
      <c r="U83" s="21" t="str">
        <f aca="false">IF(N83="","",N(R83)+N(S83)+N(T83))</f>
        <v/>
      </c>
      <c r="V83" s="27" t="str">
        <f aca="false">IF(N83="","",UPPER(TRIM(N83))&amp;"|"&amp;UPPER(TRIM(O83)))</f>
        <v/>
      </c>
      <c r="W83" s="7" t="str">
        <f aca="false">IF(N83="","",IF(COUNTIF($K$10:$K$309,V83)=0,"In 2B, not in books — check &amp; book",IF(ABS(U83-SUMIF($K$10:$K$309,V83,$J$10:$J$309))&lt;=1,"Matched","Tax amount differs")))</f>
        <v/>
      </c>
    </row>
    <row r="84" customFormat="false" ht="15" hidden="false" customHeight="false" outlineLevel="0" collapsed="false">
      <c r="B84" s="5"/>
      <c r="C84" s="5"/>
      <c r="D84" s="5"/>
      <c r="E84" s="16"/>
      <c r="F84" s="17"/>
      <c r="G84" s="17"/>
      <c r="H84" s="17"/>
      <c r="I84" s="17"/>
      <c r="J84" s="21" t="str">
        <f aca="false">IF(B84="","",N(G84)+N(H84)+N(I84))</f>
        <v/>
      </c>
      <c r="K84" s="27" t="str">
        <f aca="false">IF(B84="","",UPPER(TRIM(B84))&amp;"|"&amp;UPPER(TRIM(D84)))</f>
        <v/>
      </c>
      <c r="L84" s="7" t="str">
        <f aca="false">IF(B84="","",IF(COUNTIF($V$10:$V$309,K84)=0,"Not in 2B — ITC at risk",IF(ABS(J84-SUMIF($V$10:$V$309,K84,$U$10:$U$309))&lt;=1,"Matched","Tax amount differs")))</f>
        <v/>
      </c>
      <c r="N84" s="5"/>
      <c r="O84" s="5"/>
      <c r="P84" s="16"/>
      <c r="Q84" s="17"/>
      <c r="R84" s="17"/>
      <c r="S84" s="17"/>
      <c r="T84" s="17"/>
      <c r="U84" s="21" t="str">
        <f aca="false">IF(N84="","",N(R84)+N(S84)+N(T84))</f>
        <v/>
      </c>
      <c r="V84" s="27" t="str">
        <f aca="false">IF(N84="","",UPPER(TRIM(N84))&amp;"|"&amp;UPPER(TRIM(O84)))</f>
        <v/>
      </c>
      <c r="W84" s="7" t="str">
        <f aca="false">IF(N84="","",IF(COUNTIF($K$10:$K$309,V84)=0,"In 2B, not in books — check &amp; book",IF(ABS(U84-SUMIF($K$10:$K$309,V84,$J$10:$J$309))&lt;=1,"Matched","Tax amount differs")))</f>
        <v/>
      </c>
    </row>
    <row r="85" customFormat="false" ht="15" hidden="false" customHeight="false" outlineLevel="0" collapsed="false">
      <c r="B85" s="5"/>
      <c r="C85" s="5"/>
      <c r="D85" s="5"/>
      <c r="E85" s="16"/>
      <c r="F85" s="17"/>
      <c r="G85" s="17"/>
      <c r="H85" s="17"/>
      <c r="I85" s="17"/>
      <c r="J85" s="21" t="str">
        <f aca="false">IF(B85="","",N(G85)+N(H85)+N(I85))</f>
        <v/>
      </c>
      <c r="K85" s="27" t="str">
        <f aca="false">IF(B85="","",UPPER(TRIM(B85))&amp;"|"&amp;UPPER(TRIM(D85)))</f>
        <v/>
      </c>
      <c r="L85" s="7" t="str">
        <f aca="false">IF(B85="","",IF(COUNTIF($V$10:$V$309,K85)=0,"Not in 2B — ITC at risk",IF(ABS(J85-SUMIF($V$10:$V$309,K85,$U$10:$U$309))&lt;=1,"Matched","Tax amount differs")))</f>
        <v/>
      </c>
      <c r="N85" s="5"/>
      <c r="O85" s="5"/>
      <c r="P85" s="16"/>
      <c r="Q85" s="17"/>
      <c r="R85" s="17"/>
      <c r="S85" s="17"/>
      <c r="T85" s="17"/>
      <c r="U85" s="21" t="str">
        <f aca="false">IF(N85="","",N(R85)+N(S85)+N(T85))</f>
        <v/>
      </c>
      <c r="V85" s="27" t="str">
        <f aca="false">IF(N85="","",UPPER(TRIM(N85))&amp;"|"&amp;UPPER(TRIM(O85)))</f>
        <v/>
      </c>
      <c r="W85" s="7" t="str">
        <f aca="false">IF(N85="","",IF(COUNTIF($K$10:$K$309,V85)=0,"In 2B, not in books — check &amp; book",IF(ABS(U85-SUMIF($K$10:$K$309,V85,$J$10:$J$309))&lt;=1,"Matched","Tax amount differs")))</f>
        <v/>
      </c>
    </row>
    <row r="86" customFormat="false" ht="15" hidden="false" customHeight="false" outlineLevel="0" collapsed="false">
      <c r="B86" s="5"/>
      <c r="C86" s="5"/>
      <c r="D86" s="5"/>
      <c r="E86" s="16"/>
      <c r="F86" s="17"/>
      <c r="G86" s="17"/>
      <c r="H86" s="17"/>
      <c r="I86" s="17"/>
      <c r="J86" s="21" t="str">
        <f aca="false">IF(B86="","",N(G86)+N(H86)+N(I86))</f>
        <v/>
      </c>
      <c r="K86" s="27" t="str">
        <f aca="false">IF(B86="","",UPPER(TRIM(B86))&amp;"|"&amp;UPPER(TRIM(D86)))</f>
        <v/>
      </c>
      <c r="L86" s="7" t="str">
        <f aca="false">IF(B86="","",IF(COUNTIF($V$10:$V$309,K86)=0,"Not in 2B — ITC at risk",IF(ABS(J86-SUMIF($V$10:$V$309,K86,$U$10:$U$309))&lt;=1,"Matched","Tax amount differs")))</f>
        <v/>
      </c>
      <c r="N86" s="5"/>
      <c r="O86" s="5"/>
      <c r="P86" s="16"/>
      <c r="Q86" s="17"/>
      <c r="R86" s="17"/>
      <c r="S86" s="17"/>
      <c r="T86" s="17"/>
      <c r="U86" s="21" t="str">
        <f aca="false">IF(N86="","",N(R86)+N(S86)+N(T86))</f>
        <v/>
      </c>
      <c r="V86" s="27" t="str">
        <f aca="false">IF(N86="","",UPPER(TRIM(N86))&amp;"|"&amp;UPPER(TRIM(O86)))</f>
        <v/>
      </c>
      <c r="W86" s="7" t="str">
        <f aca="false">IF(N86="","",IF(COUNTIF($K$10:$K$309,V86)=0,"In 2B, not in books — check &amp; book",IF(ABS(U86-SUMIF($K$10:$K$309,V86,$J$10:$J$309))&lt;=1,"Matched","Tax amount differs")))</f>
        <v/>
      </c>
    </row>
    <row r="87" customFormat="false" ht="15" hidden="false" customHeight="false" outlineLevel="0" collapsed="false">
      <c r="B87" s="5"/>
      <c r="C87" s="5"/>
      <c r="D87" s="5"/>
      <c r="E87" s="16"/>
      <c r="F87" s="17"/>
      <c r="G87" s="17"/>
      <c r="H87" s="17"/>
      <c r="I87" s="17"/>
      <c r="J87" s="21" t="str">
        <f aca="false">IF(B87="","",N(G87)+N(H87)+N(I87))</f>
        <v/>
      </c>
      <c r="K87" s="27" t="str">
        <f aca="false">IF(B87="","",UPPER(TRIM(B87))&amp;"|"&amp;UPPER(TRIM(D87)))</f>
        <v/>
      </c>
      <c r="L87" s="7" t="str">
        <f aca="false">IF(B87="","",IF(COUNTIF($V$10:$V$309,K87)=0,"Not in 2B — ITC at risk",IF(ABS(J87-SUMIF($V$10:$V$309,K87,$U$10:$U$309))&lt;=1,"Matched","Tax amount differs")))</f>
        <v/>
      </c>
      <c r="N87" s="5"/>
      <c r="O87" s="5"/>
      <c r="P87" s="16"/>
      <c r="Q87" s="17"/>
      <c r="R87" s="17"/>
      <c r="S87" s="17"/>
      <c r="T87" s="17"/>
      <c r="U87" s="21" t="str">
        <f aca="false">IF(N87="","",N(R87)+N(S87)+N(T87))</f>
        <v/>
      </c>
      <c r="V87" s="27" t="str">
        <f aca="false">IF(N87="","",UPPER(TRIM(N87))&amp;"|"&amp;UPPER(TRIM(O87)))</f>
        <v/>
      </c>
      <c r="W87" s="7" t="str">
        <f aca="false">IF(N87="","",IF(COUNTIF($K$10:$K$309,V87)=0,"In 2B, not in books — check &amp; book",IF(ABS(U87-SUMIF($K$10:$K$309,V87,$J$10:$J$309))&lt;=1,"Matched","Tax amount differs")))</f>
        <v/>
      </c>
    </row>
    <row r="88" customFormat="false" ht="15" hidden="false" customHeight="false" outlineLevel="0" collapsed="false">
      <c r="B88" s="5"/>
      <c r="C88" s="5"/>
      <c r="D88" s="5"/>
      <c r="E88" s="16"/>
      <c r="F88" s="17"/>
      <c r="G88" s="17"/>
      <c r="H88" s="17"/>
      <c r="I88" s="17"/>
      <c r="J88" s="21" t="str">
        <f aca="false">IF(B88="","",N(G88)+N(H88)+N(I88))</f>
        <v/>
      </c>
      <c r="K88" s="27" t="str">
        <f aca="false">IF(B88="","",UPPER(TRIM(B88))&amp;"|"&amp;UPPER(TRIM(D88)))</f>
        <v/>
      </c>
      <c r="L88" s="7" t="str">
        <f aca="false">IF(B88="","",IF(COUNTIF($V$10:$V$309,K88)=0,"Not in 2B — ITC at risk",IF(ABS(J88-SUMIF($V$10:$V$309,K88,$U$10:$U$309))&lt;=1,"Matched","Tax amount differs")))</f>
        <v/>
      </c>
      <c r="N88" s="5"/>
      <c r="O88" s="5"/>
      <c r="P88" s="16"/>
      <c r="Q88" s="17"/>
      <c r="R88" s="17"/>
      <c r="S88" s="17"/>
      <c r="T88" s="17"/>
      <c r="U88" s="21" t="str">
        <f aca="false">IF(N88="","",N(R88)+N(S88)+N(T88))</f>
        <v/>
      </c>
      <c r="V88" s="27" t="str">
        <f aca="false">IF(N88="","",UPPER(TRIM(N88))&amp;"|"&amp;UPPER(TRIM(O88)))</f>
        <v/>
      </c>
      <c r="W88" s="7" t="str">
        <f aca="false">IF(N88="","",IF(COUNTIF($K$10:$K$309,V88)=0,"In 2B, not in books — check &amp; book",IF(ABS(U88-SUMIF($K$10:$K$309,V88,$J$10:$J$309))&lt;=1,"Matched","Tax amount differs")))</f>
        <v/>
      </c>
    </row>
    <row r="89" customFormat="false" ht="15" hidden="false" customHeight="false" outlineLevel="0" collapsed="false">
      <c r="B89" s="5"/>
      <c r="C89" s="5"/>
      <c r="D89" s="5"/>
      <c r="E89" s="16"/>
      <c r="F89" s="17"/>
      <c r="G89" s="17"/>
      <c r="H89" s="17"/>
      <c r="I89" s="17"/>
      <c r="J89" s="21" t="str">
        <f aca="false">IF(B89="","",N(G89)+N(H89)+N(I89))</f>
        <v/>
      </c>
      <c r="K89" s="27" t="str">
        <f aca="false">IF(B89="","",UPPER(TRIM(B89))&amp;"|"&amp;UPPER(TRIM(D89)))</f>
        <v/>
      </c>
      <c r="L89" s="7" t="str">
        <f aca="false">IF(B89="","",IF(COUNTIF($V$10:$V$309,K89)=0,"Not in 2B — ITC at risk",IF(ABS(J89-SUMIF($V$10:$V$309,K89,$U$10:$U$309))&lt;=1,"Matched","Tax amount differs")))</f>
        <v/>
      </c>
      <c r="N89" s="5"/>
      <c r="O89" s="5"/>
      <c r="P89" s="16"/>
      <c r="Q89" s="17"/>
      <c r="R89" s="17"/>
      <c r="S89" s="17"/>
      <c r="T89" s="17"/>
      <c r="U89" s="21" t="str">
        <f aca="false">IF(N89="","",N(R89)+N(S89)+N(T89))</f>
        <v/>
      </c>
      <c r="V89" s="27" t="str">
        <f aca="false">IF(N89="","",UPPER(TRIM(N89))&amp;"|"&amp;UPPER(TRIM(O89)))</f>
        <v/>
      </c>
      <c r="W89" s="7" t="str">
        <f aca="false">IF(N89="","",IF(COUNTIF($K$10:$K$309,V89)=0,"In 2B, not in books — check &amp; book",IF(ABS(U89-SUMIF($K$10:$K$309,V89,$J$10:$J$309))&lt;=1,"Matched","Tax amount differs")))</f>
        <v/>
      </c>
    </row>
    <row r="90" customFormat="false" ht="15" hidden="false" customHeight="false" outlineLevel="0" collapsed="false">
      <c r="B90" s="5"/>
      <c r="C90" s="5"/>
      <c r="D90" s="5"/>
      <c r="E90" s="16"/>
      <c r="F90" s="17"/>
      <c r="G90" s="17"/>
      <c r="H90" s="17"/>
      <c r="I90" s="17"/>
      <c r="J90" s="21" t="str">
        <f aca="false">IF(B90="","",N(G90)+N(H90)+N(I90))</f>
        <v/>
      </c>
      <c r="K90" s="27" t="str">
        <f aca="false">IF(B90="","",UPPER(TRIM(B90))&amp;"|"&amp;UPPER(TRIM(D90)))</f>
        <v/>
      </c>
      <c r="L90" s="7" t="str">
        <f aca="false">IF(B90="","",IF(COUNTIF($V$10:$V$309,K90)=0,"Not in 2B — ITC at risk",IF(ABS(J90-SUMIF($V$10:$V$309,K90,$U$10:$U$309))&lt;=1,"Matched","Tax amount differs")))</f>
        <v/>
      </c>
      <c r="N90" s="5"/>
      <c r="O90" s="5"/>
      <c r="P90" s="16"/>
      <c r="Q90" s="17"/>
      <c r="R90" s="17"/>
      <c r="S90" s="17"/>
      <c r="T90" s="17"/>
      <c r="U90" s="21" t="str">
        <f aca="false">IF(N90="","",N(R90)+N(S90)+N(T90))</f>
        <v/>
      </c>
      <c r="V90" s="27" t="str">
        <f aca="false">IF(N90="","",UPPER(TRIM(N90))&amp;"|"&amp;UPPER(TRIM(O90)))</f>
        <v/>
      </c>
      <c r="W90" s="7" t="str">
        <f aca="false">IF(N90="","",IF(COUNTIF($K$10:$K$309,V90)=0,"In 2B, not in books — check &amp; book",IF(ABS(U90-SUMIF($K$10:$K$309,V90,$J$10:$J$309))&lt;=1,"Matched","Tax amount differs")))</f>
        <v/>
      </c>
    </row>
    <row r="91" customFormat="false" ht="15" hidden="false" customHeight="false" outlineLevel="0" collapsed="false">
      <c r="B91" s="5"/>
      <c r="C91" s="5"/>
      <c r="D91" s="5"/>
      <c r="E91" s="16"/>
      <c r="F91" s="17"/>
      <c r="G91" s="17"/>
      <c r="H91" s="17"/>
      <c r="I91" s="17"/>
      <c r="J91" s="21" t="str">
        <f aca="false">IF(B91="","",N(G91)+N(H91)+N(I91))</f>
        <v/>
      </c>
      <c r="K91" s="27" t="str">
        <f aca="false">IF(B91="","",UPPER(TRIM(B91))&amp;"|"&amp;UPPER(TRIM(D91)))</f>
        <v/>
      </c>
      <c r="L91" s="7" t="str">
        <f aca="false">IF(B91="","",IF(COUNTIF($V$10:$V$309,K91)=0,"Not in 2B — ITC at risk",IF(ABS(J91-SUMIF($V$10:$V$309,K91,$U$10:$U$309))&lt;=1,"Matched","Tax amount differs")))</f>
        <v/>
      </c>
      <c r="N91" s="5"/>
      <c r="O91" s="5"/>
      <c r="P91" s="16"/>
      <c r="Q91" s="17"/>
      <c r="R91" s="17"/>
      <c r="S91" s="17"/>
      <c r="T91" s="17"/>
      <c r="U91" s="21" t="str">
        <f aca="false">IF(N91="","",N(R91)+N(S91)+N(T91))</f>
        <v/>
      </c>
      <c r="V91" s="27" t="str">
        <f aca="false">IF(N91="","",UPPER(TRIM(N91))&amp;"|"&amp;UPPER(TRIM(O91)))</f>
        <v/>
      </c>
      <c r="W91" s="7" t="str">
        <f aca="false">IF(N91="","",IF(COUNTIF($K$10:$K$309,V91)=0,"In 2B, not in books — check &amp; book",IF(ABS(U91-SUMIF($K$10:$K$309,V91,$J$10:$J$309))&lt;=1,"Matched","Tax amount differs")))</f>
        <v/>
      </c>
    </row>
    <row r="92" customFormat="false" ht="15" hidden="false" customHeight="false" outlineLevel="0" collapsed="false">
      <c r="B92" s="5"/>
      <c r="C92" s="5"/>
      <c r="D92" s="5"/>
      <c r="E92" s="16"/>
      <c r="F92" s="17"/>
      <c r="G92" s="17"/>
      <c r="H92" s="17"/>
      <c r="I92" s="17"/>
      <c r="J92" s="21" t="str">
        <f aca="false">IF(B92="","",N(G92)+N(H92)+N(I92))</f>
        <v/>
      </c>
      <c r="K92" s="27" t="str">
        <f aca="false">IF(B92="","",UPPER(TRIM(B92))&amp;"|"&amp;UPPER(TRIM(D92)))</f>
        <v/>
      </c>
      <c r="L92" s="7" t="str">
        <f aca="false">IF(B92="","",IF(COUNTIF($V$10:$V$309,K92)=0,"Not in 2B — ITC at risk",IF(ABS(J92-SUMIF($V$10:$V$309,K92,$U$10:$U$309))&lt;=1,"Matched","Tax amount differs")))</f>
        <v/>
      </c>
      <c r="N92" s="5"/>
      <c r="O92" s="5"/>
      <c r="P92" s="16"/>
      <c r="Q92" s="17"/>
      <c r="R92" s="17"/>
      <c r="S92" s="17"/>
      <c r="T92" s="17"/>
      <c r="U92" s="21" t="str">
        <f aca="false">IF(N92="","",N(R92)+N(S92)+N(T92))</f>
        <v/>
      </c>
      <c r="V92" s="27" t="str">
        <f aca="false">IF(N92="","",UPPER(TRIM(N92))&amp;"|"&amp;UPPER(TRIM(O92)))</f>
        <v/>
      </c>
      <c r="W92" s="7" t="str">
        <f aca="false">IF(N92="","",IF(COUNTIF($K$10:$K$309,V92)=0,"In 2B, not in books — check &amp; book",IF(ABS(U92-SUMIF($K$10:$K$309,V92,$J$10:$J$309))&lt;=1,"Matched","Tax amount differs")))</f>
        <v/>
      </c>
    </row>
    <row r="93" customFormat="false" ht="15" hidden="false" customHeight="false" outlineLevel="0" collapsed="false">
      <c r="B93" s="5"/>
      <c r="C93" s="5"/>
      <c r="D93" s="5"/>
      <c r="E93" s="16"/>
      <c r="F93" s="17"/>
      <c r="G93" s="17"/>
      <c r="H93" s="17"/>
      <c r="I93" s="17"/>
      <c r="J93" s="21" t="str">
        <f aca="false">IF(B93="","",N(G93)+N(H93)+N(I93))</f>
        <v/>
      </c>
      <c r="K93" s="27" t="str">
        <f aca="false">IF(B93="","",UPPER(TRIM(B93))&amp;"|"&amp;UPPER(TRIM(D93)))</f>
        <v/>
      </c>
      <c r="L93" s="7" t="str">
        <f aca="false">IF(B93="","",IF(COUNTIF($V$10:$V$309,K93)=0,"Not in 2B — ITC at risk",IF(ABS(J93-SUMIF($V$10:$V$309,K93,$U$10:$U$309))&lt;=1,"Matched","Tax amount differs")))</f>
        <v/>
      </c>
      <c r="N93" s="5"/>
      <c r="O93" s="5"/>
      <c r="P93" s="16"/>
      <c r="Q93" s="17"/>
      <c r="R93" s="17"/>
      <c r="S93" s="17"/>
      <c r="T93" s="17"/>
      <c r="U93" s="21" t="str">
        <f aca="false">IF(N93="","",N(R93)+N(S93)+N(T93))</f>
        <v/>
      </c>
      <c r="V93" s="27" t="str">
        <f aca="false">IF(N93="","",UPPER(TRIM(N93))&amp;"|"&amp;UPPER(TRIM(O93)))</f>
        <v/>
      </c>
      <c r="W93" s="7" t="str">
        <f aca="false">IF(N93="","",IF(COUNTIF($K$10:$K$309,V93)=0,"In 2B, not in books — check &amp; book",IF(ABS(U93-SUMIF($K$10:$K$309,V93,$J$10:$J$309))&lt;=1,"Matched","Tax amount differs")))</f>
        <v/>
      </c>
    </row>
    <row r="94" customFormat="false" ht="15" hidden="false" customHeight="false" outlineLevel="0" collapsed="false">
      <c r="B94" s="5"/>
      <c r="C94" s="5"/>
      <c r="D94" s="5"/>
      <c r="E94" s="16"/>
      <c r="F94" s="17"/>
      <c r="G94" s="17"/>
      <c r="H94" s="17"/>
      <c r="I94" s="17"/>
      <c r="J94" s="21" t="str">
        <f aca="false">IF(B94="","",N(G94)+N(H94)+N(I94))</f>
        <v/>
      </c>
      <c r="K94" s="27" t="str">
        <f aca="false">IF(B94="","",UPPER(TRIM(B94))&amp;"|"&amp;UPPER(TRIM(D94)))</f>
        <v/>
      </c>
      <c r="L94" s="7" t="str">
        <f aca="false">IF(B94="","",IF(COUNTIF($V$10:$V$309,K94)=0,"Not in 2B — ITC at risk",IF(ABS(J94-SUMIF($V$10:$V$309,K94,$U$10:$U$309))&lt;=1,"Matched","Tax amount differs")))</f>
        <v/>
      </c>
      <c r="N94" s="5"/>
      <c r="O94" s="5"/>
      <c r="P94" s="16"/>
      <c r="Q94" s="17"/>
      <c r="R94" s="17"/>
      <c r="S94" s="17"/>
      <c r="T94" s="17"/>
      <c r="U94" s="21" t="str">
        <f aca="false">IF(N94="","",N(R94)+N(S94)+N(T94))</f>
        <v/>
      </c>
      <c r="V94" s="27" t="str">
        <f aca="false">IF(N94="","",UPPER(TRIM(N94))&amp;"|"&amp;UPPER(TRIM(O94)))</f>
        <v/>
      </c>
      <c r="W94" s="7" t="str">
        <f aca="false">IF(N94="","",IF(COUNTIF($K$10:$K$309,V94)=0,"In 2B, not in books — check &amp; book",IF(ABS(U94-SUMIF($K$10:$K$309,V94,$J$10:$J$309))&lt;=1,"Matched","Tax amount differs")))</f>
        <v/>
      </c>
    </row>
    <row r="95" customFormat="false" ht="15" hidden="false" customHeight="false" outlineLevel="0" collapsed="false">
      <c r="B95" s="5"/>
      <c r="C95" s="5"/>
      <c r="D95" s="5"/>
      <c r="E95" s="16"/>
      <c r="F95" s="17"/>
      <c r="G95" s="17"/>
      <c r="H95" s="17"/>
      <c r="I95" s="17"/>
      <c r="J95" s="21" t="str">
        <f aca="false">IF(B95="","",N(G95)+N(H95)+N(I95))</f>
        <v/>
      </c>
      <c r="K95" s="27" t="str">
        <f aca="false">IF(B95="","",UPPER(TRIM(B95))&amp;"|"&amp;UPPER(TRIM(D95)))</f>
        <v/>
      </c>
      <c r="L95" s="7" t="str">
        <f aca="false">IF(B95="","",IF(COUNTIF($V$10:$V$309,K95)=0,"Not in 2B — ITC at risk",IF(ABS(J95-SUMIF($V$10:$V$309,K95,$U$10:$U$309))&lt;=1,"Matched","Tax amount differs")))</f>
        <v/>
      </c>
      <c r="N95" s="5"/>
      <c r="O95" s="5"/>
      <c r="P95" s="16"/>
      <c r="Q95" s="17"/>
      <c r="R95" s="17"/>
      <c r="S95" s="17"/>
      <c r="T95" s="17"/>
      <c r="U95" s="21" t="str">
        <f aca="false">IF(N95="","",N(R95)+N(S95)+N(T95))</f>
        <v/>
      </c>
      <c r="V95" s="27" t="str">
        <f aca="false">IF(N95="","",UPPER(TRIM(N95))&amp;"|"&amp;UPPER(TRIM(O95)))</f>
        <v/>
      </c>
      <c r="W95" s="7" t="str">
        <f aca="false">IF(N95="","",IF(COUNTIF($K$10:$K$309,V95)=0,"In 2B, not in books — check &amp; book",IF(ABS(U95-SUMIF($K$10:$K$309,V95,$J$10:$J$309))&lt;=1,"Matched","Tax amount differs")))</f>
        <v/>
      </c>
    </row>
    <row r="96" customFormat="false" ht="15" hidden="false" customHeight="false" outlineLevel="0" collapsed="false">
      <c r="B96" s="5"/>
      <c r="C96" s="5"/>
      <c r="D96" s="5"/>
      <c r="E96" s="16"/>
      <c r="F96" s="17"/>
      <c r="G96" s="17"/>
      <c r="H96" s="17"/>
      <c r="I96" s="17"/>
      <c r="J96" s="21" t="str">
        <f aca="false">IF(B96="","",N(G96)+N(H96)+N(I96))</f>
        <v/>
      </c>
      <c r="K96" s="27" t="str">
        <f aca="false">IF(B96="","",UPPER(TRIM(B96))&amp;"|"&amp;UPPER(TRIM(D96)))</f>
        <v/>
      </c>
      <c r="L96" s="7" t="str">
        <f aca="false">IF(B96="","",IF(COUNTIF($V$10:$V$309,K96)=0,"Not in 2B — ITC at risk",IF(ABS(J96-SUMIF($V$10:$V$309,K96,$U$10:$U$309))&lt;=1,"Matched","Tax amount differs")))</f>
        <v/>
      </c>
      <c r="N96" s="5"/>
      <c r="O96" s="5"/>
      <c r="P96" s="16"/>
      <c r="Q96" s="17"/>
      <c r="R96" s="17"/>
      <c r="S96" s="17"/>
      <c r="T96" s="17"/>
      <c r="U96" s="21" t="str">
        <f aca="false">IF(N96="","",N(R96)+N(S96)+N(T96))</f>
        <v/>
      </c>
      <c r="V96" s="27" t="str">
        <f aca="false">IF(N96="","",UPPER(TRIM(N96))&amp;"|"&amp;UPPER(TRIM(O96)))</f>
        <v/>
      </c>
      <c r="W96" s="7" t="str">
        <f aca="false">IF(N96="","",IF(COUNTIF($K$10:$K$309,V96)=0,"In 2B, not in books — check &amp; book",IF(ABS(U96-SUMIF($K$10:$K$309,V96,$J$10:$J$309))&lt;=1,"Matched","Tax amount differs")))</f>
        <v/>
      </c>
    </row>
    <row r="97" customFormat="false" ht="15" hidden="false" customHeight="false" outlineLevel="0" collapsed="false">
      <c r="B97" s="5"/>
      <c r="C97" s="5"/>
      <c r="D97" s="5"/>
      <c r="E97" s="16"/>
      <c r="F97" s="17"/>
      <c r="G97" s="17"/>
      <c r="H97" s="17"/>
      <c r="I97" s="17"/>
      <c r="J97" s="21" t="str">
        <f aca="false">IF(B97="","",N(G97)+N(H97)+N(I97))</f>
        <v/>
      </c>
      <c r="K97" s="27" t="str">
        <f aca="false">IF(B97="","",UPPER(TRIM(B97))&amp;"|"&amp;UPPER(TRIM(D97)))</f>
        <v/>
      </c>
      <c r="L97" s="7" t="str">
        <f aca="false">IF(B97="","",IF(COUNTIF($V$10:$V$309,K97)=0,"Not in 2B — ITC at risk",IF(ABS(J97-SUMIF($V$10:$V$309,K97,$U$10:$U$309))&lt;=1,"Matched","Tax amount differs")))</f>
        <v/>
      </c>
      <c r="N97" s="5"/>
      <c r="O97" s="5"/>
      <c r="P97" s="16"/>
      <c r="Q97" s="17"/>
      <c r="R97" s="17"/>
      <c r="S97" s="17"/>
      <c r="T97" s="17"/>
      <c r="U97" s="21" t="str">
        <f aca="false">IF(N97="","",N(R97)+N(S97)+N(T97))</f>
        <v/>
      </c>
      <c r="V97" s="27" t="str">
        <f aca="false">IF(N97="","",UPPER(TRIM(N97))&amp;"|"&amp;UPPER(TRIM(O97)))</f>
        <v/>
      </c>
      <c r="W97" s="7" t="str">
        <f aca="false">IF(N97="","",IF(COUNTIF($K$10:$K$309,V97)=0,"In 2B, not in books — check &amp; book",IF(ABS(U97-SUMIF($K$10:$K$309,V97,$J$10:$J$309))&lt;=1,"Matched","Tax amount differs")))</f>
        <v/>
      </c>
    </row>
    <row r="98" customFormat="false" ht="15" hidden="false" customHeight="false" outlineLevel="0" collapsed="false">
      <c r="B98" s="5"/>
      <c r="C98" s="5"/>
      <c r="D98" s="5"/>
      <c r="E98" s="16"/>
      <c r="F98" s="17"/>
      <c r="G98" s="17"/>
      <c r="H98" s="17"/>
      <c r="I98" s="17"/>
      <c r="J98" s="21" t="str">
        <f aca="false">IF(B98="","",N(G98)+N(H98)+N(I98))</f>
        <v/>
      </c>
      <c r="K98" s="27" t="str">
        <f aca="false">IF(B98="","",UPPER(TRIM(B98))&amp;"|"&amp;UPPER(TRIM(D98)))</f>
        <v/>
      </c>
      <c r="L98" s="7" t="str">
        <f aca="false">IF(B98="","",IF(COUNTIF($V$10:$V$309,K98)=0,"Not in 2B — ITC at risk",IF(ABS(J98-SUMIF($V$10:$V$309,K98,$U$10:$U$309))&lt;=1,"Matched","Tax amount differs")))</f>
        <v/>
      </c>
      <c r="N98" s="5"/>
      <c r="O98" s="5"/>
      <c r="P98" s="16"/>
      <c r="Q98" s="17"/>
      <c r="R98" s="17"/>
      <c r="S98" s="17"/>
      <c r="T98" s="17"/>
      <c r="U98" s="21" t="str">
        <f aca="false">IF(N98="","",N(R98)+N(S98)+N(T98))</f>
        <v/>
      </c>
      <c r="V98" s="27" t="str">
        <f aca="false">IF(N98="","",UPPER(TRIM(N98))&amp;"|"&amp;UPPER(TRIM(O98)))</f>
        <v/>
      </c>
      <c r="W98" s="7" t="str">
        <f aca="false">IF(N98="","",IF(COUNTIF($K$10:$K$309,V98)=0,"In 2B, not in books — check &amp; book",IF(ABS(U98-SUMIF($K$10:$K$309,V98,$J$10:$J$309))&lt;=1,"Matched","Tax amount differs")))</f>
        <v/>
      </c>
    </row>
    <row r="99" customFormat="false" ht="15" hidden="false" customHeight="false" outlineLevel="0" collapsed="false">
      <c r="B99" s="5"/>
      <c r="C99" s="5"/>
      <c r="D99" s="5"/>
      <c r="E99" s="16"/>
      <c r="F99" s="17"/>
      <c r="G99" s="17"/>
      <c r="H99" s="17"/>
      <c r="I99" s="17"/>
      <c r="J99" s="21" t="str">
        <f aca="false">IF(B99="","",N(G99)+N(H99)+N(I99))</f>
        <v/>
      </c>
      <c r="K99" s="27" t="str">
        <f aca="false">IF(B99="","",UPPER(TRIM(B99))&amp;"|"&amp;UPPER(TRIM(D99)))</f>
        <v/>
      </c>
      <c r="L99" s="7" t="str">
        <f aca="false">IF(B99="","",IF(COUNTIF($V$10:$V$309,K99)=0,"Not in 2B — ITC at risk",IF(ABS(J99-SUMIF($V$10:$V$309,K99,$U$10:$U$309))&lt;=1,"Matched","Tax amount differs")))</f>
        <v/>
      </c>
      <c r="N99" s="5"/>
      <c r="O99" s="5"/>
      <c r="P99" s="16"/>
      <c r="Q99" s="17"/>
      <c r="R99" s="17"/>
      <c r="S99" s="17"/>
      <c r="T99" s="17"/>
      <c r="U99" s="21" t="str">
        <f aca="false">IF(N99="","",N(R99)+N(S99)+N(T99))</f>
        <v/>
      </c>
      <c r="V99" s="27" t="str">
        <f aca="false">IF(N99="","",UPPER(TRIM(N99))&amp;"|"&amp;UPPER(TRIM(O99)))</f>
        <v/>
      </c>
      <c r="W99" s="7" t="str">
        <f aca="false">IF(N99="","",IF(COUNTIF($K$10:$K$309,V99)=0,"In 2B, not in books — check &amp; book",IF(ABS(U99-SUMIF($K$10:$K$309,V99,$J$10:$J$309))&lt;=1,"Matched","Tax amount differs")))</f>
        <v/>
      </c>
    </row>
    <row r="100" customFormat="false" ht="15" hidden="false" customHeight="false" outlineLevel="0" collapsed="false">
      <c r="B100" s="5"/>
      <c r="C100" s="5"/>
      <c r="D100" s="5"/>
      <c r="E100" s="16"/>
      <c r="F100" s="17"/>
      <c r="G100" s="17"/>
      <c r="H100" s="17"/>
      <c r="I100" s="17"/>
      <c r="J100" s="21" t="str">
        <f aca="false">IF(B100="","",N(G100)+N(H100)+N(I100))</f>
        <v/>
      </c>
      <c r="K100" s="27" t="str">
        <f aca="false">IF(B100="","",UPPER(TRIM(B100))&amp;"|"&amp;UPPER(TRIM(D100)))</f>
        <v/>
      </c>
      <c r="L100" s="7" t="str">
        <f aca="false">IF(B100="","",IF(COUNTIF($V$10:$V$309,K100)=0,"Not in 2B — ITC at risk",IF(ABS(J100-SUMIF($V$10:$V$309,K100,$U$10:$U$309))&lt;=1,"Matched","Tax amount differs")))</f>
        <v/>
      </c>
      <c r="N100" s="5"/>
      <c r="O100" s="5"/>
      <c r="P100" s="16"/>
      <c r="Q100" s="17"/>
      <c r="R100" s="17"/>
      <c r="S100" s="17"/>
      <c r="T100" s="17"/>
      <c r="U100" s="21" t="str">
        <f aca="false">IF(N100="","",N(R100)+N(S100)+N(T100))</f>
        <v/>
      </c>
      <c r="V100" s="27" t="str">
        <f aca="false">IF(N100="","",UPPER(TRIM(N100))&amp;"|"&amp;UPPER(TRIM(O100)))</f>
        <v/>
      </c>
      <c r="W100" s="7" t="str">
        <f aca="false">IF(N100="","",IF(COUNTIF($K$10:$K$309,V100)=0,"In 2B, not in books — check &amp; book",IF(ABS(U100-SUMIF($K$10:$K$309,V100,$J$10:$J$309))&lt;=1,"Matched","Tax amount differs")))</f>
        <v/>
      </c>
    </row>
    <row r="101" customFormat="false" ht="15" hidden="false" customHeight="false" outlineLevel="0" collapsed="false">
      <c r="B101" s="5"/>
      <c r="C101" s="5"/>
      <c r="D101" s="5"/>
      <c r="E101" s="16"/>
      <c r="F101" s="17"/>
      <c r="G101" s="17"/>
      <c r="H101" s="17"/>
      <c r="I101" s="17"/>
      <c r="J101" s="21" t="str">
        <f aca="false">IF(B101="","",N(G101)+N(H101)+N(I101))</f>
        <v/>
      </c>
      <c r="K101" s="27" t="str">
        <f aca="false">IF(B101="","",UPPER(TRIM(B101))&amp;"|"&amp;UPPER(TRIM(D101)))</f>
        <v/>
      </c>
      <c r="L101" s="7" t="str">
        <f aca="false">IF(B101="","",IF(COUNTIF($V$10:$V$309,K101)=0,"Not in 2B — ITC at risk",IF(ABS(J101-SUMIF($V$10:$V$309,K101,$U$10:$U$309))&lt;=1,"Matched","Tax amount differs")))</f>
        <v/>
      </c>
      <c r="N101" s="5"/>
      <c r="O101" s="5"/>
      <c r="P101" s="16"/>
      <c r="Q101" s="17"/>
      <c r="R101" s="17"/>
      <c r="S101" s="17"/>
      <c r="T101" s="17"/>
      <c r="U101" s="21" t="str">
        <f aca="false">IF(N101="","",N(R101)+N(S101)+N(T101))</f>
        <v/>
      </c>
      <c r="V101" s="27" t="str">
        <f aca="false">IF(N101="","",UPPER(TRIM(N101))&amp;"|"&amp;UPPER(TRIM(O101)))</f>
        <v/>
      </c>
      <c r="W101" s="7" t="str">
        <f aca="false">IF(N101="","",IF(COUNTIF($K$10:$K$309,V101)=0,"In 2B, not in books — check &amp; book",IF(ABS(U101-SUMIF($K$10:$K$309,V101,$J$10:$J$309))&lt;=1,"Matched","Tax amount differs")))</f>
        <v/>
      </c>
    </row>
    <row r="102" customFormat="false" ht="15" hidden="false" customHeight="false" outlineLevel="0" collapsed="false">
      <c r="B102" s="5"/>
      <c r="C102" s="5"/>
      <c r="D102" s="5"/>
      <c r="E102" s="16"/>
      <c r="F102" s="17"/>
      <c r="G102" s="17"/>
      <c r="H102" s="17"/>
      <c r="I102" s="17"/>
      <c r="J102" s="21" t="str">
        <f aca="false">IF(B102="","",N(G102)+N(H102)+N(I102))</f>
        <v/>
      </c>
      <c r="K102" s="27" t="str">
        <f aca="false">IF(B102="","",UPPER(TRIM(B102))&amp;"|"&amp;UPPER(TRIM(D102)))</f>
        <v/>
      </c>
      <c r="L102" s="7" t="str">
        <f aca="false">IF(B102="","",IF(COUNTIF($V$10:$V$309,K102)=0,"Not in 2B — ITC at risk",IF(ABS(J102-SUMIF($V$10:$V$309,K102,$U$10:$U$309))&lt;=1,"Matched","Tax amount differs")))</f>
        <v/>
      </c>
      <c r="N102" s="5"/>
      <c r="O102" s="5"/>
      <c r="P102" s="16"/>
      <c r="Q102" s="17"/>
      <c r="R102" s="17"/>
      <c r="S102" s="17"/>
      <c r="T102" s="17"/>
      <c r="U102" s="21" t="str">
        <f aca="false">IF(N102="","",N(R102)+N(S102)+N(T102))</f>
        <v/>
      </c>
      <c r="V102" s="27" t="str">
        <f aca="false">IF(N102="","",UPPER(TRIM(N102))&amp;"|"&amp;UPPER(TRIM(O102)))</f>
        <v/>
      </c>
      <c r="W102" s="7" t="str">
        <f aca="false">IF(N102="","",IF(COUNTIF($K$10:$K$309,V102)=0,"In 2B, not in books — check &amp; book",IF(ABS(U102-SUMIF($K$10:$K$309,V102,$J$10:$J$309))&lt;=1,"Matched","Tax amount differs")))</f>
        <v/>
      </c>
    </row>
    <row r="103" customFormat="false" ht="15" hidden="false" customHeight="false" outlineLevel="0" collapsed="false">
      <c r="B103" s="5"/>
      <c r="C103" s="5"/>
      <c r="D103" s="5"/>
      <c r="E103" s="16"/>
      <c r="F103" s="17"/>
      <c r="G103" s="17"/>
      <c r="H103" s="17"/>
      <c r="I103" s="17"/>
      <c r="J103" s="21" t="str">
        <f aca="false">IF(B103="","",N(G103)+N(H103)+N(I103))</f>
        <v/>
      </c>
      <c r="K103" s="27" t="str">
        <f aca="false">IF(B103="","",UPPER(TRIM(B103))&amp;"|"&amp;UPPER(TRIM(D103)))</f>
        <v/>
      </c>
      <c r="L103" s="7" t="str">
        <f aca="false">IF(B103="","",IF(COUNTIF($V$10:$V$309,K103)=0,"Not in 2B — ITC at risk",IF(ABS(J103-SUMIF($V$10:$V$309,K103,$U$10:$U$309))&lt;=1,"Matched","Tax amount differs")))</f>
        <v/>
      </c>
      <c r="N103" s="5"/>
      <c r="O103" s="5"/>
      <c r="P103" s="16"/>
      <c r="Q103" s="17"/>
      <c r="R103" s="17"/>
      <c r="S103" s="17"/>
      <c r="T103" s="17"/>
      <c r="U103" s="21" t="str">
        <f aca="false">IF(N103="","",N(R103)+N(S103)+N(T103))</f>
        <v/>
      </c>
      <c r="V103" s="27" t="str">
        <f aca="false">IF(N103="","",UPPER(TRIM(N103))&amp;"|"&amp;UPPER(TRIM(O103)))</f>
        <v/>
      </c>
      <c r="W103" s="7" t="str">
        <f aca="false">IF(N103="","",IF(COUNTIF($K$10:$K$309,V103)=0,"In 2B, not in books — check &amp; book",IF(ABS(U103-SUMIF($K$10:$K$309,V103,$J$10:$J$309))&lt;=1,"Matched","Tax amount differs")))</f>
        <v/>
      </c>
    </row>
    <row r="104" customFormat="false" ht="15" hidden="false" customHeight="false" outlineLevel="0" collapsed="false">
      <c r="B104" s="5"/>
      <c r="C104" s="5"/>
      <c r="D104" s="5"/>
      <c r="E104" s="16"/>
      <c r="F104" s="17"/>
      <c r="G104" s="17"/>
      <c r="H104" s="17"/>
      <c r="I104" s="17"/>
      <c r="J104" s="21" t="str">
        <f aca="false">IF(B104="","",N(G104)+N(H104)+N(I104))</f>
        <v/>
      </c>
      <c r="K104" s="27" t="str">
        <f aca="false">IF(B104="","",UPPER(TRIM(B104))&amp;"|"&amp;UPPER(TRIM(D104)))</f>
        <v/>
      </c>
      <c r="L104" s="7" t="str">
        <f aca="false">IF(B104="","",IF(COUNTIF($V$10:$V$309,K104)=0,"Not in 2B — ITC at risk",IF(ABS(J104-SUMIF($V$10:$V$309,K104,$U$10:$U$309))&lt;=1,"Matched","Tax amount differs")))</f>
        <v/>
      </c>
      <c r="N104" s="5"/>
      <c r="O104" s="5"/>
      <c r="P104" s="16"/>
      <c r="Q104" s="17"/>
      <c r="R104" s="17"/>
      <c r="S104" s="17"/>
      <c r="T104" s="17"/>
      <c r="U104" s="21" t="str">
        <f aca="false">IF(N104="","",N(R104)+N(S104)+N(T104))</f>
        <v/>
      </c>
      <c r="V104" s="27" t="str">
        <f aca="false">IF(N104="","",UPPER(TRIM(N104))&amp;"|"&amp;UPPER(TRIM(O104)))</f>
        <v/>
      </c>
      <c r="W104" s="7" t="str">
        <f aca="false">IF(N104="","",IF(COUNTIF($K$10:$K$309,V104)=0,"In 2B, not in books — check &amp; book",IF(ABS(U104-SUMIF($K$10:$K$309,V104,$J$10:$J$309))&lt;=1,"Matched","Tax amount differs")))</f>
        <v/>
      </c>
    </row>
    <row r="105" customFormat="false" ht="15" hidden="false" customHeight="false" outlineLevel="0" collapsed="false">
      <c r="B105" s="5"/>
      <c r="C105" s="5"/>
      <c r="D105" s="5"/>
      <c r="E105" s="16"/>
      <c r="F105" s="17"/>
      <c r="G105" s="17"/>
      <c r="H105" s="17"/>
      <c r="I105" s="17"/>
      <c r="J105" s="21" t="str">
        <f aca="false">IF(B105="","",N(G105)+N(H105)+N(I105))</f>
        <v/>
      </c>
      <c r="K105" s="27" t="str">
        <f aca="false">IF(B105="","",UPPER(TRIM(B105))&amp;"|"&amp;UPPER(TRIM(D105)))</f>
        <v/>
      </c>
      <c r="L105" s="7" t="str">
        <f aca="false">IF(B105="","",IF(COUNTIF($V$10:$V$309,K105)=0,"Not in 2B — ITC at risk",IF(ABS(J105-SUMIF($V$10:$V$309,K105,$U$10:$U$309))&lt;=1,"Matched","Tax amount differs")))</f>
        <v/>
      </c>
      <c r="N105" s="5"/>
      <c r="O105" s="5"/>
      <c r="P105" s="16"/>
      <c r="Q105" s="17"/>
      <c r="R105" s="17"/>
      <c r="S105" s="17"/>
      <c r="T105" s="17"/>
      <c r="U105" s="21" t="str">
        <f aca="false">IF(N105="","",N(R105)+N(S105)+N(T105))</f>
        <v/>
      </c>
      <c r="V105" s="27" t="str">
        <f aca="false">IF(N105="","",UPPER(TRIM(N105))&amp;"|"&amp;UPPER(TRIM(O105)))</f>
        <v/>
      </c>
      <c r="W105" s="7" t="str">
        <f aca="false">IF(N105="","",IF(COUNTIF($K$10:$K$309,V105)=0,"In 2B, not in books — check &amp; book",IF(ABS(U105-SUMIF($K$10:$K$309,V105,$J$10:$J$309))&lt;=1,"Matched","Tax amount differs")))</f>
        <v/>
      </c>
    </row>
    <row r="106" customFormat="false" ht="15" hidden="false" customHeight="false" outlineLevel="0" collapsed="false">
      <c r="B106" s="5"/>
      <c r="C106" s="5"/>
      <c r="D106" s="5"/>
      <c r="E106" s="16"/>
      <c r="F106" s="17"/>
      <c r="G106" s="17"/>
      <c r="H106" s="17"/>
      <c r="I106" s="17"/>
      <c r="J106" s="21" t="str">
        <f aca="false">IF(B106="","",N(G106)+N(H106)+N(I106))</f>
        <v/>
      </c>
      <c r="K106" s="27" t="str">
        <f aca="false">IF(B106="","",UPPER(TRIM(B106))&amp;"|"&amp;UPPER(TRIM(D106)))</f>
        <v/>
      </c>
      <c r="L106" s="7" t="str">
        <f aca="false">IF(B106="","",IF(COUNTIF($V$10:$V$309,K106)=0,"Not in 2B — ITC at risk",IF(ABS(J106-SUMIF($V$10:$V$309,K106,$U$10:$U$309))&lt;=1,"Matched","Tax amount differs")))</f>
        <v/>
      </c>
      <c r="N106" s="5"/>
      <c r="O106" s="5"/>
      <c r="P106" s="16"/>
      <c r="Q106" s="17"/>
      <c r="R106" s="17"/>
      <c r="S106" s="17"/>
      <c r="T106" s="17"/>
      <c r="U106" s="21" t="str">
        <f aca="false">IF(N106="","",N(R106)+N(S106)+N(T106))</f>
        <v/>
      </c>
      <c r="V106" s="27" t="str">
        <f aca="false">IF(N106="","",UPPER(TRIM(N106))&amp;"|"&amp;UPPER(TRIM(O106)))</f>
        <v/>
      </c>
      <c r="W106" s="7" t="str">
        <f aca="false">IF(N106="","",IF(COUNTIF($K$10:$K$309,V106)=0,"In 2B, not in books — check &amp; book",IF(ABS(U106-SUMIF($K$10:$K$309,V106,$J$10:$J$309))&lt;=1,"Matched","Tax amount differs")))</f>
        <v/>
      </c>
    </row>
    <row r="107" customFormat="false" ht="15" hidden="false" customHeight="false" outlineLevel="0" collapsed="false">
      <c r="B107" s="5"/>
      <c r="C107" s="5"/>
      <c r="D107" s="5"/>
      <c r="E107" s="16"/>
      <c r="F107" s="17"/>
      <c r="G107" s="17"/>
      <c r="H107" s="17"/>
      <c r="I107" s="17"/>
      <c r="J107" s="21" t="str">
        <f aca="false">IF(B107="","",N(G107)+N(H107)+N(I107))</f>
        <v/>
      </c>
      <c r="K107" s="27" t="str">
        <f aca="false">IF(B107="","",UPPER(TRIM(B107))&amp;"|"&amp;UPPER(TRIM(D107)))</f>
        <v/>
      </c>
      <c r="L107" s="7" t="str">
        <f aca="false">IF(B107="","",IF(COUNTIF($V$10:$V$309,K107)=0,"Not in 2B — ITC at risk",IF(ABS(J107-SUMIF($V$10:$V$309,K107,$U$10:$U$309))&lt;=1,"Matched","Tax amount differs")))</f>
        <v/>
      </c>
      <c r="N107" s="5"/>
      <c r="O107" s="5"/>
      <c r="P107" s="16"/>
      <c r="Q107" s="17"/>
      <c r="R107" s="17"/>
      <c r="S107" s="17"/>
      <c r="T107" s="17"/>
      <c r="U107" s="21" t="str">
        <f aca="false">IF(N107="","",N(R107)+N(S107)+N(T107))</f>
        <v/>
      </c>
      <c r="V107" s="27" t="str">
        <f aca="false">IF(N107="","",UPPER(TRIM(N107))&amp;"|"&amp;UPPER(TRIM(O107)))</f>
        <v/>
      </c>
      <c r="W107" s="7" t="str">
        <f aca="false">IF(N107="","",IF(COUNTIF($K$10:$K$309,V107)=0,"In 2B, not in books — check &amp; book",IF(ABS(U107-SUMIF($K$10:$K$309,V107,$J$10:$J$309))&lt;=1,"Matched","Tax amount differs")))</f>
        <v/>
      </c>
    </row>
    <row r="108" customFormat="false" ht="15" hidden="false" customHeight="false" outlineLevel="0" collapsed="false">
      <c r="B108" s="5"/>
      <c r="C108" s="5"/>
      <c r="D108" s="5"/>
      <c r="E108" s="16"/>
      <c r="F108" s="17"/>
      <c r="G108" s="17"/>
      <c r="H108" s="17"/>
      <c r="I108" s="17"/>
      <c r="J108" s="21" t="str">
        <f aca="false">IF(B108="","",N(G108)+N(H108)+N(I108))</f>
        <v/>
      </c>
      <c r="K108" s="27" t="str">
        <f aca="false">IF(B108="","",UPPER(TRIM(B108))&amp;"|"&amp;UPPER(TRIM(D108)))</f>
        <v/>
      </c>
      <c r="L108" s="7" t="str">
        <f aca="false">IF(B108="","",IF(COUNTIF($V$10:$V$309,K108)=0,"Not in 2B — ITC at risk",IF(ABS(J108-SUMIF($V$10:$V$309,K108,$U$10:$U$309))&lt;=1,"Matched","Tax amount differs")))</f>
        <v/>
      </c>
      <c r="N108" s="5"/>
      <c r="O108" s="5"/>
      <c r="P108" s="16"/>
      <c r="Q108" s="17"/>
      <c r="R108" s="17"/>
      <c r="S108" s="17"/>
      <c r="T108" s="17"/>
      <c r="U108" s="21" t="str">
        <f aca="false">IF(N108="","",N(R108)+N(S108)+N(T108))</f>
        <v/>
      </c>
      <c r="V108" s="27" t="str">
        <f aca="false">IF(N108="","",UPPER(TRIM(N108))&amp;"|"&amp;UPPER(TRIM(O108)))</f>
        <v/>
      </c>
      <c r="W108" s="7" t="str">
        <f aca="false">IF(N108="","",IF(COUNTIF($K$10:$K$309,V108)=0,"In 2B, not in books — check &amp; book",IF(ABS(U108-SUMIF($K$10:$K$309,V108,$J$10:$J$309))&lt;=1,"Matched","Tax amount differs")))</f>
        <v/>
      </c>
    </row>
    <row r="109" customFormat="false" ht="15" hidden="false" customHeight="false" outlineLevel="0" collapsed="false">
      <c r="B109" s="5"/>
      <c r="C109" s="5"/>
      <c r="D109" s="5"/>
      <c r="E109" s="16"/>
      <c r="F109" s="17"/>
      <c r="G109" s="17"/>
      <c r="H109" s="17"/>
      <c r="I109" s="17"/>
      <c r="J109" s="21" t="str">
        <f aca="false">IF(B109="","",N(G109)+N(H109)+N(I109))</f>
        <v/>
      </c>
      <c r="K109" s="27" t="str">
        <f aca="false">IF(B109="","",UPPER(TRIM(B109))&amp;"|"&amp;UPPER(TRIM(D109)))</f>
        <v/>
      </c>
      <c r="L109" s="7" t="str">
        <f aca="false">IF(B109="","",IF(COUNTIF($V$10:$V$309,K109)=0,"Not in 2B — ITC at risk",IF(ABS(J109-SUMIF($V$10:$V$309,K109,$U$10:$U$309))&lt;=1,"Matched","Tax amount differs")))</f>
        <v/>
      </c>
      <c r="N109" s="5"/>
      <c r="O109" s="5"/>
      <c r="P109" s="16"/>
      <c r="Q109" s="17"/>
      <c r="R109" s="17"/>
      <c r="S109" s="17"/>
      <c r="T109" s="17"/>
      <c r="U109" s="21" t="str">
        <f aca="false">IF(N109="","",N(R109)+N(S109)+N(T109))</f>
        <v/>
      </c>
      <c r="V109" s="27" t="str">
        <f aca="false">IF(N109="","",UPPER(TRIM(N109))&amp;"|"&amp;UPPER(TRIM(O109)))</f>
        <v/>
      </c>
      <c r="W109" s="7" t="str">
        <f aca="false">IF(N109="","",IF(COUNTIF($K$10:$K$309,V109)=0,"In 2B, not in books — check &amp; book",IF(ABS(U109-SUMIF($K$10:$K$309,V109,$J$10:$J$309))&lt;=1,"Matched","Tax amount differs")))</f>
        <v/>
      </c>
    </row>
    <row r="110" customFormat="false" ht="15" hidden="false" customHeight="false" outlineLevel="0" collapsed="false">
      <c r="B110" s="5"/>
      <c r="C110" s="5"/>
      <c r="D110" s="5"/>
      <c r="E110" s="16"/>
      <c r="F110" s="17"/>
      <c r="G110" s="17"/>
      <c r="H110" s="17"/>
      <c r="I110" s="17"/>
      <c r="J110" s="21" t="str">
        <f aca="false">IF(B110="","",N(G110)+N(H110)+N(I110))</f>
        <v/>
      </c>
      <c r="K110" s="27" t="str">
        <f aca="false">IF(B110="","",UPPER(TRIM(B110))&amp;"|"&amp;UPPER(TRIM(D110)))</f>
        <v/>
      </c>
      <c r="L110" s="7" t="str">
        <f aca="false">IF(B110="","",IF(COUNTIF($V$10:$V$309,K110)=0,"Not in 2B — ITC at risk",IF(ABS(J110-SUMIF($V$10:$V$309,K110,$U$10:$U$309))&lt;=1,"Matched","Tax amount differs")))</f>
        <v/>
      </c>
      <c r="N110" s="5"/>
      <c r="O110" s="5"/>
      <c r="P110" s="16"/>
      <c r="Q110" s="17"/>
      <c r="R110" s="17"/>
      <c r="S110" s="17"/>
      <c r="T110" s="17"/>
      <c r="U110" s="21" t="str">
        <f aca="false">IF(N110="","",N(R110)+N(S110)+N(T110))</f>
        <v/>
      </c>
      <c r="V110" s="27" t="str">
        <f aca="false">IF(N110="","",UPPER(TRIM(N110))&amp;"|"&amp;UPPER(TRIM(O110)))</f>
        <v/>
      </c>
      <c r="W110" s="7" t="str">
        <f aca="false">IF(N110="","",IF(COUNTIF($K$10:$K$309,V110)=0,"In 2B, not in books — check &amp; book",IF(ABS(U110-SUMIF($K$10:$K$309,V110,$J$10:$J$309))&lt;=1,"Matched","Tax amount differs")))</f>
        <v/>
      </c>
    </row>
    <row r="111" customFormat="false" ht="15" hidden="false" customHeight="false" outlineLevel="0" collapsed="false">
      <c r="B111" s="5"/>
      <c r="C111" s="5"/>
      <c r="D111" s="5"/>
      <c r="E111" s="16"/>
      <c r="F111" s="17"/>
      <c r="G111" s="17"/>
      <c r="H111" s="17"/>
      <c r="I111" s="17"/>
      <c r="J111" s="21" t="str">
        <f aca="false">IF(B111="","",N(G111)+N(H111)+N(I111))</f>
        <v/>
      </c>
      <c r="K111" s="27" t="str">
        <f aca="false">IF(B111="","",UPPER(TRIM(B111))&amp;"|"&amp;UPPER(TRIM(D111)))</f>
        <v/>
      </c>
      <c r="L111" s="7" t="str">
        <f aca="false">IF(B111="","",IF(COUNTIF($V$10:$V$309,K111)=0,"Not in 2B — ITC at risk",IF(ABS(J111-SUMIF($V$10:$V$309,K111,$U$10:$U$309))&lt;=1,"Matched","Tax amount differs")))</f>
        <v/>
      </c>
      <c r="N111" s="5"/>
      <c r="O111" s="5"/>
      <c r="P111" s="16"/>
      <c r="Q111" s="17"/>
      <c r="R111" s="17"/>
      <c r="S111" s="17"/>
      <c r="T111" s="17"/>
      <c r="U111" s="21" t="str">
        <f aca="false">IF(N111="","",N(R111)+N(S111)+N(T111))</f>
        <v/>
      </c>
      <c r="V111" s="27" t="str">
        <f aca="false">IF(N111="","",UPPER(TRIM(N111))&amp;"|"&amp;UPPER(TRIM(O111)))</f>
        <v/>
      </c>
      <c r="W111" s="7" t="str">
        <f aca="false">IF(N111="","",IF(COUNTIF($K$10:$K$309,V111)=0,"In 2B, not in books — check &amp; book",IF(ABS(U111-SUMIF($K$10:$K$309,V111,$J$10:$J$309))&lt;=1,"Matched","Tax amount differs")))</f>
        <v/>
      </c>
    </row>
    <row r="112" customFormat="false" ht="15" hidden="false" customHeight="false" outlineLevel="0" collapsed="false">
      <c r="B112" s="5"/>
      <c r="C112" s="5"/>
      <c r="D112" s="5"/>
      <c r="E112" s="16"/>
      <c r="F112" s="17"/>
      <c r="G112" s="17"/>
      <c r="H112" s="17"/>
      <c r="I112" s="17"/>
      <c r="J112" s="21" t="str">
        <f aca="false">IF(B112="","",N(G112)+N(H112)+N(I112))</f>
        <v/>
      </c>
      <c r="K112" s="27" t="str">
        <f aca="false">IF(B112="","",UPPER(TRIM(B112))&amp;"|"&amp;UPPER(TRIM(D112)))</f>
        <v/>
      </c>
      <c r="L112" s="7" t="str">
        <f aca="false">IF(B112="","",IF(COUNTIF($V$10:$V$309,K112)=0,"Not in 2B — ITC at risk",IF(ABS(J112-SUMIF($V$10:$V$309,K112,$U$10:$U$309))&lt;=1,"Matched","Tax amount differs")))</f>
        <v/>
      </c>
      <c r="N112" s="5"/>
      <c r="O112" s="5"/>
      <c r="P112" s="16"/>
      <c r="Q112" s="17"/>
      <c r="R112" s="17"/>
      <c r="S112" s="17"/>
      <c r="T112" s="17"/>
      <c r="U112" s="21" t="str">
        <f aca="false">IF(N112="","",N(R112)+N(S112)+N(T112))</f>
        <v/>
      </c>
      <c r="V112" s="27" t="str">
        <f aca="false">IF(N112="","",UPPER(TRIM(N112))&amp;"|"&amp;UPPER(TRIM(O112)))</f>
        <v/>
      </c>
      <c r="W112" s="7" t="str">
        <f aca="false">IF(N112="","",IF(COUNTIF($K$10:$K$309,V112)=0,"In 2B, not in books — check &amp; book",IF(ABS(U112-SUMIF($K$10:$K$309,V112,$J$10:$J$309))&lt;=1,"Matched","Tax amount differs")))</f>
        <v/>
      </c>
    </row>
    <row r="113" customFormat="false" ht="15" hidden="false" customHeight="false" outlineLevel="0" collapsed="false">
      <c r="B113" s="5"/>
      <c r="C113" s="5"/>
      <c r="D113" s="5"/>
      <c r="E113" s="16"/>
      <c r="F113" s="17"/>
      <c r="G113" s="17"/>
      <c r="H113" s="17"/>
      <c r="I113" s="17"/>
      <c r="J113" s="21" t="str">
        <f aca="false">IF(B113="","",N(G113)+N(H113)+N(I113))</f>
        <v/>
      </c>
      <c r="K113" s="27" t="str">
        <f aca="false">IF(B113="","",UPPER(TRIM(B113))&amp;"|"&amp;UPPER(TRIM(D113)))</f>
        <v/>
      </c>
      <c r="L113" s="7" t="str">
        <f aca="false">IF(B113="","",IF(COUNTIF($V$10:$V$309,K113)=0,"Not in 2B — ITC at risk",IF(ABS(J113-SUMIF($V$10:$V$309,K113,$U$10:$U$309))&lt;=1,"Matched","Tax amount differs")))</f>
        <v/>
      </c>
      <c r="N113" s="5"/>
      <c r="O113" s="5"/>
      <c r="P113" s="16"/>
      <c r="Q113" s="17"/>
      <c r="R113" s="17"/>
      <c r="S113" s="17"/>
      <c r="T113" s="17"/>
      <c r="U113" s="21" t="str">
        <f aca="false">IF(N113="","",N(R113)+N(S113)+N(T113))</f>
        <v/>
      </c>
      <c r="V113" s="27" t="str">
        <f aca="false">IF(N113="","",UPPER(TRIM(N113))&amp;"|"&amp;UPPER(TRIM(O113)))</f>
        <v/>
      </c>
      <c r="W113" s="7" t="str">
        <f aca="false">IF(N113="","",IF(COUNTIF($K$10:$K$309,V113)=0,"In 2B, not in books — check &amp; book",IF(ABS(U113-SUMIF($K$10:$K$309,V113,$J$10:$J$309))&lt;=1,"Matched","Tax amount differs")))</f>
        <v/>
      </c>
    </row>
    <row r="114" customFormat="false" ht="15" hidden="false" customHeight="false" outlineLevel="0" collapsed="false">
      <c r="B114" s="5"/>
      <c r="C114" s="5"/>
      <c r="D114" s="5"/>
      <c r="E114" s="16"/>
      <c r="F114" s="17"/>
      <c r="G114" s="17"/>
      <c r="H114" s="17"/>
      <c r="I114" s="17"/>
      <c r="J114" s="21" t="str">
        <f aca="false">IF(B114="","",N(G114)+N(H114)+N(I114))</f>
        <v/>
      </c>
      <c r="K114" s="27" t="str">
        <f aca="false">IF(B114="","",UPPER(TRIM(B114))&amp;"|"&amp;UPPER(TRIM(D114)))</f>
        <v/>
      </c>
      <c r="L114" s="7" t="str">
        <f aca="false">IF(B114="","",IF(COUNTIF($V$10:$V$309,K114)=0,"Not in 2B — ITC at risk",IF(ABS(J114-SUMIF($V$10:$V$309,K114,$U$10:$U$309))&lt;=1,"Matched","Tax amount differs")))</f>
        <v/>
      </c>
      <c r="N114" s="5"/>
      <c r="O114" s="5"/>
      <c r="P114" s="16"/>
      <c r="Q114" s="17"/>
      <c r="R114" s="17"/>
      <c r="S114" s="17"/>
      <c r="T114" s="17"/>
      <c r="U114" s="21" t="str">
        <f aca="false">IF(N114="","",N(R114)+N(S114)+N(T114))</f>
        <v/>
      </c>
      <c r="V114" s="27" t="str">
        <f aca="false">IF(N114="","",UPPER(TRIM(N114))&amp;"|"&amp;UPPER(TRIM(O114)))</f>
        <v/>
      </c>
      <c r="W114" s="7" t="str">
        <f aca="false">IF(N114="","",IF(COUNTIF($K$10:$K$309,V114)=0,"In 2B, not in books — check &amp; book",IF(ABS(U114-SUMIF($K$10:$K$309,V114,$J$10:$J$309))&lt;=1,"Matched","Tax amount differs")))</f>
        <v/>
      </c>
    </row>
    <row r="115" customFormat="false" ht="15" hidden="false" customHeight="false" outlineLevel="0" collapsed="false">
      <c r="B115" s="5"/>
      <c r="C115" s="5"/>
      <c r="D115" s="5"/>
      <c r="E115" s="16"/>
      <c r="F115" s="17"/>
      <c r="G115" s="17"/>
      <c r="H115" s="17"/>
      <c r="I115" s="17"/>
      <c r="J115" s="21" t="str">
        <f aca="false">IF(B115="","",N(G115)+N(H115)+N(I115))</f>
        <v/>
      </c>
      <c r="K115" s="27" t="str">
        <f aca="false">IF(B115="","",UPPER(TRIM(B115))&amp;"|"&amp;UPPER(TRIM(D115)))</f>
        <v/>
      </c>
      <c r="L115" s="7" t="str">
        <f aca="false">IF(B115="","",IF(COUNTIF($V$10:$V$309,K115)=0,"Not in 2B — ITC at risk",IF(ABS(J115-SUMIF($V$10:$V$309,K115,$U$10:$U$309))&lt;=1,"Matched","Tax amount differs")))</f>
        <v/>
      </c>
      <c r="N115" s="5"/>
      <c r="O115" s="5"/>
      <c r="P115" s="16"/>
      <c r="Q115" s="17"/>
      <c r="R115" s="17"/>
      <c r="S115" s="17"/>
      <c r="T115" s="17"/>
      <c r="U115" s="21" t="str">
        <f aca="false">IF(N115="","",N(R115)+N(S115)+N(T115))</f>
        <v/>
      </c>
      <c r="V115" s="27" t="str">
        <f aca="false">IF(N115="","",UPPER(TRIM(N115))&amp;"|"&amp;UPPER(TRIM(O115)))</f>
        <v/>
      </c>
      <c r="W115" s="7" t="str">
        <f aca="false">IF(N115="","",IF(COUNTIF($K$10:$K$309,V115)=0,"In 2B, not in books — check &amp; book",IF(ABS(U115-SUMIF($K$10:$K$309,V115,$J$10:$J$309))&lt;=1,"Matched","Tax amount differs")))</f>
        <v/>
      </c>
    </row>
    <row r="116" customFormat="false" ht="15" hidden="false" customHeight="false" outlineLevel="0" collapsed="false">
      <c r="B116" s="5"/>
      <c r="C116" s="5"/>
      <c r="D116" s="5"/>
      <c r="E116" s="16"/>
      <c r="F116" s="17"/>
      <c r="G116" s="17"/>
      <c r="H116" s="17"/>
      <c r="I116" s="17"/>
      <c r="J116" s="21" t="str">
        <f aca="false">IF(B116="","",N(G116)+N(H116)+N(I116))</f>
        <v/>
      </c>
      <c r="K116" s="27" t="str">
        <f aca="false">IF(B116="","",UPPER(TRIM(B116))&amp;"|"&amp;UPPER(TRIM(D116)))</f>
        <v/>
      </c>
      <c r="L116" s="7" t="str">
        <f aca="false">IF(B116="","",IF(COUNTIF($V$10:$V$309,K116)=0,"Not in 2B — ITC at risk",IF(ABS(J116-SUMIF($V$10:$V$309,K116,$U$10:$U$309))&lt;=1,"Matched","Tax amount differs")))</f>
        <v/>
      </c>
      <c r="N116" s="5"/>
      <c r="O116" s="5"/>
      <c r="P116" s="16"/>
      <c r="Q116" s="17"/>
      <c r="R116" s="17"/>
      <c r="S116" s="17"/>
      <c r="T116" s="17"/>
      <c r="U116" s="21" t="str">
        <f aca="false">IF(N116="","",N(R116)+N(S116)+N(T116))</f>
        <v/>
      </c>
      <c r="V116" s="27" t="str">
        <f aca="false">IF(N116="","",UPPER(TRIM(N116))&amp;"|"&amp;UPPER(TRIM(O116)))</f>
        <v/>
      </c>
      <c r="W116" s="7" t="str">
        <f aca="false">IF(N116="","",IF(COUNTIF($K$10:$K$309,V116)=0,"In 2B, not in books — check &amp; book",IF(ABS(U116-SUMIF($K$10:$K$309,V116,$J$10:$J$309))&lt;=1,"Matched","Tax amount differs")))</f>
        <v/>
      </c>
    </row>
    <row r="117" customFormat="false" ht="15" hidden="false" customHeight="false" outlineLevel="0" collapsed="false">
      <c r="B117" s="5"/>
      <c r="C117" s="5"/>
      <c r="D117" s="5"/>
      <c r="E117" s="16"/>
      <c r="F117" s="17"/>
      <c r="G117" s="17"/>
      <c r="H117" s="17"/>
      <c r="I117" s="17"/>
      <c r="J117" s="21" t="str">
        <f aca="false">IF(B117="","",N(G117)+N(H117)+N(I117))</f>
        <v/>
      </c>
      <c r="K117" s="27" t="str">
        <f aca="false">IF(B117="","",UPPER(TRIM(B117))&amp;"|"&amp;UPPER(TRIM(D117)))</f>
        <v/>
      </c>
      <c r="L117" s="7" t="str">
        <f aca="false">IF(B117="","",IF(COUNTIF($V$10:$V$309,K117)=0,"Not in 2B — ITC at risk",IF(ABS(J117-SUMIF($V$10:$V$309,K117,$U$10:$U$309))&lt;=1,"Matched","Tax amount differs")))</f>
        <v/>
      </c>
      <c r="N117" s="5"/>
      <c r="O117" s="5"/>
      <c r="P117" s="16"/>
      <c r="Q117" s="17"/>
      <c r="R117" s="17"/>
      <c r="S117" s="17"/>
      <c r="T117" s="17"/>
      <c r="U117" s="21" t="str">
        <f aca="false">IF(N117="","",N(R117)+N(S117)+N(T117))</f>
        <v/>
      </c>
      <c r="V117" s="27" t="str">
        <f aca="false">IF(N117="","",UPPER(TRIM(N117))&amp;"|"&amp;UPPER(TRIM(O117)))</f>
        <v/>
      </c>
      <c r="W117" s="7" t="str">
        <f aca="false">IF(N117="","",IF(COUNTIF($K$10:$K$309,V117)=0,"In 2B, not in books — check &amp; book",IF(ABS(U117-SUMIF($K$10:$K$309,V117,$J$10:$J$309))&lt;=1,"Matched","Tax amount differs")))</f>
        <v/>
      </c>
    </row>
    <row r="118" customFormat="false" ht="15" hidden="false" customHeight="false" outlineLevel="0" collapsed="false">
      <c r="B118" s="5"/>
      <c r="C118" s="5"/>
      <c r="D118" s="5"/>
      <c r="E118" s="16"/>
      <c r="F118" s="17"/>
      <c r="G118" s="17"/>
      <c r="H118" s="17"/>
      <c r="I118" s="17"/>
      <c r="J118" s="21" t="str">
        <f aca="false">IF(B118="","",N(G118)+N(H118)+N(I118))</f>
        <v/>
      </c>
      <c r="K118" s="27" t="str">
        <f aca="false">IF(B118="","",UPPER(TRIM(B118))&amp;"|"&amp;UPPER(TRIM(D118)))</f>
        <v/>
      </c>
      <c r="L118" s="7" t="str">
        <f aca="false">IF(B118="","",IF(COUNTIF($V$10:$V$309,K118)=0,"Not in 2B — ITC at risk",IF(ABS(J118-SUMIF($V$10:$V$309,K118,$U$10:$U$309))&lt;=1,"Matched","Tax amount differs")))</f>
        <v/>
      </c>
      <c r="N118" s="5"/>
      <c r="O118" s="5"/>
      <c r="P118" s="16"/>
      <c r="Q118" s="17"/>
      <c r="R118" s="17"/>
      <c r="S118" s="17"/>
      <c r="T118" s="17"/>
      <c r="U118" s="21" t="str">
        <f aca="false">IF(N118="","",N(R118)+N(S118)+N(T118))</f>
        <v/>
      </c>
      <c r="V118" s="27" t="str">
        <f aca="false">IF(N118="","",UPPER(TRIM(N118))&amp;"|"&amp;UPPER(TRIM(O118)))</f>
        <v/>
      </c>
      <c r="W118" s="7" t="str">
        <f aca="false">IF(N118="","",IF(COUNTIF($K$10:$K$309,V118)=0,"In 2B, not in books — check &amp; book",IF(ABS(U118-SUMIF($K$10:$K$309,V118,$J$10:$J$309))&lt;=1,"Matched","Tax amount differs")))</f>
        <v/>
      </c>
    </row>
    <row r="119" customFormat="false" ht="15" hidden="false" customHeight="false" outlineLevel="0" collapsed="false">
      <c r="B119" s="5"/>
      <c r="C119" s="5"/>
      <c r="D119" s="5"/>
      <c r="E119" s="16"/>
      <c r="F119" s="17"/>
      <c r="G119" s="17"/>
      <c r="H119" s="17"/>
      <c r="I119" s="17"/>
      <c r="J119" s="21" t="str">
        <f aca="false">IF(B119="","",N(G119)+N(H119)+N(I119))</f>
        <v/>
      </c>
      <c r="K119" s="27" t="str">
        <f aca="false">IF(B119="","",UPPER(TRIM(B119))&amp;"|"&amp;UPPER(TRIM(D119)))</f>
        <v/>
      </c>
      <c r="L119" s="7" t="str">
        <f aca="false">IF(B119="","",IF(COUNTIF($V$10:$V$309,K119)=0,"Not in 2B — ITC at risk",IF(ABS(J119-SUMIF($V$10:$V$309,K119,$U$10:$U$309))&lt;=1,"Matched","Tax amount differs")))</f>
        <v/>
      </c>
      <c r="N119" s="5"/>
      <c r="O119" s="5"/>
      <c r="P119" s="16"/>
      <c r="Q119" s="17"/>
      <c r="R119" s="17"/>
      <c r="S119" s="17"/>
      <c r="T119" s="17"/>
      <c r="U119" s="21" t="str">
        <f aca="false">IF(N119="","",N(R119)+N(S119)+N(T119))</f>
        <v/>
      </c>
      <c r="V119" s="27" t="str">
        <f aca="false">IF(N119="","",UPPER(TRIM(N119))&amp;"|"&amp;UPPER(TRIM(O119)))</f>
        <v/>
      </c>
      <c r="W119" s="7" t="str">
        <f aca="false">IF(N119="","",IF(COUNTIF($K$10:$K$309,V119)=0,"In 2B, not in books — check &amp; book",IF(ABS(U119-SUMIF($K$10:$K$309,V119,$J$10:$J$309))&lt;=1,"Matched","Tax amount differs")))</f>
        <v/>
      </c>
    </row>
    <row r="120" customFormat="false" ht="15" hidden="false" customHeight="false" outlineLevel="0" collapsed="false">
      <c r="B120" s="5"/>
      <c r="C120" s="5"/>
      <c r="D120" s="5"/>
      <c r="E120" s="16"/>
      <c r="F120" s="17"/>
      <c r="G120" s="17"/>
      <c r="H120" s="17"/>
      <c r="I120" s="17"/>
      <c r="J120" s="21" t="str">
        <f aca="false">IF(B120="","",N(G120)+N(H120)+N(I120))</f>
        <v/>
      </c>
      <c r="K120" s="27" t="str">
        <f aca="false">IF(B120="","",UPPER(TRIM(B120))&amp;"|"&amp;UPPER(TRIM(D120)))</f>
        <v/>
      </c>
      <c r="L120" s="7" t="str">
        <f aca="false">IF(B120="","",IF(COUNTIF($V$10:$V$309,K120)=0,"Not in 2B — ITC at risk",IF(ABS(J120-SUMIF($V$10:$V$309,K120,$U$10:$U$309))&lt;=1,"Matched","Tax amount differs")))</f>
        <v/>
      </c>
      <c r="N120" s="5"/>
      <c r="O120" s="5"/>
      <c r="P120" s="16"/>
      <c r="Q120" s="17"/>
      <c r="R120" s="17"/>
      <c r="S120" s="17"/>
      <c r="T120" s="17"/>
      <c r="U120" s="21" t="str">
        <f aca="false">IF(N120="","",N(R120)+N(S120)+N(T120))</f>
        <v/>
      </c>
      <c r="V120" s="27" t="str">
        <f aca="false">IF(N120="","",UPPER(TRIM(N120))&amp;"|"&amp;UPPER(TRIM(O120)))</f>
        <v/>
      </c>
      <c r="W120" s="7" t="str">
        <f aca="false">IF(N120="","",IF(COUNTIF($K$10:$K$309,V120)=0,"In 2B, not in books — check &amp; book",IF(ABS(U120-SUMIF($K$10:$K$309,V120,$J$10:$J$309))&lt;=1,"Matched","Tax amount differs")))</f>
        <v/>
      </c>
    </row>
    <row r="121" customFormat="false" ht="15" hidden="false" customHeight="false" outlineLevel="0" collapsed="false">
      <c r="B121" s="5"/>
      <c r="C121" s="5"/>
      <c r="D121" s="5"/>
      <c r="E121" s="16"/>
      <c r="F121" s="17"/>
      <c r="G121" s="17"/>
      <c r="H121" s="17"/>
      <c r="I121" s="17"/>
      <c r="J121" s="21" t="str">
        <f aca="false">IF(B121="","",N(G121)+N(H121)+N(I121))</f>
        <v/>
      </c>
      <c r="K121" s="27" t="str">
        <f aca="false">IF(B121="","",UPPER(TRIM(B121))&amp;"|"&amp;UPPER(TRIM(D121)))</f>
        <v/>
      </c>
      <c r="L121" s="7" t="str">
        <f aca="false">IF(B121="","",IF(COUNTIF($V$10:$V$309,K121)=0,"Not in 2B — ITC at risk",IF(ABS(J121-SUMIF($V$10:$V$309,K121,$U$10:$U$309))&lt;=1,"Matched","Tax amount differs")))</f>
        <v/>
      </c>
      <c r="N121" s="5"/>
      <c r="O121" s="5"/>
      <c r="P121" s="16"/>
      <c r="Q121" s="17"/>
      <c r="R121" s="17"/>
      <c r="S121" s="17"/>
      <c r="T121" s="17"/>
      <c r="U121" s="21" t="str">
        <f aca="false">IF(N121="","",N(R121)+N(S121)+N(T121))</f>
        <v/>
      </c>
      <c r="V121" s="27" t="str">
        <f aca="false">IF(N121="","",UPPER(TRIM(N121))&amp;"|"&amp;UPPER(TRIM(O121)))</f>
        <v/>
      </c>
      <c r="W121" s="7" t="str">
        <f aca="false">IF(N121="","",IF(COUNTIF($K$10:$K$309,V121)=0,"In 2B, not in books — check &amp; book",IF(ABS(U121-SUMIF($K$10:$K$309,V121,$J$10:$J$309))&lt;=1,"Matched","Tax amount differs")))</f>
        <v/>
      </c>
    </row>
    <row r="122" customFormat="false" ht="15" hidden="false" customHeight="false" outlineLevel="0" collapsed="false">
      <c r="B122" s="5"/>
      <c r="C122" s="5"/>
      <c r="D122" s="5"/>
      <c r="E122" s="16"/>
      <c r="F122" s="17"/>
      <c r="G122" s="17"/>
      <c r="H122" s="17"/>
      <c r="I122" s="17"/>
      <c r="J122" s="21" t="str">
        <f aca="false">IF(B122="","",N(G122)+N(H122)+N(I122))</f>
        <v/>
      </c>
      <c r="K122" s="27" t="str">
        <f aca="false">IF(B122="","",UPPER(TRIM(B122))&amp;"|"&amp;UPPER(TRIM(D122)))</f>
        <v/>
      </c>
      <c r="L122" s="7" t="str">
        <f aca="false">IF(B122="","",IF(COUNTIF($V$10:$V$309,K122)=0,"Not in 2B — ITC at risk",IF(ABS(J122-SUMIF($V$10:$V$309,K122,$U$10:$U$309))&lt;=1,"Matched","Tax amount differs")))</f>
        <v/>
      </c>
      <c r="N122" s="5"/>
      <c r="O122" s="5"/>
      <c r="P122" s="16"/>
      <c r="Q122" s="17"/>
      <c r="R122" s="17"/>
      <c r="S122" s="17"/>
      <c r="T122" s="17"/>
      <c r="U122" s="21" t="str">
        <f aca="false">IF(N122="","",N(R122)+N(S122)+N(T122))</f>
        <v/>
      </c>
      <c r="V122" s="27" t="str">
        <f aca="false">IF(N122="","",UPPER(TRIM(N122))&amp;"|"&amp;UPPER(TRIM(O122)))</f>
        <v/>
      </c>
      <c r="W122" s="7" t="str">
        <f aca="false">IF(N122="","",IF(COUNTIF($K$10:$K$309,V122)=0,"In 2B, not in books — check &amp; book",IF(ABS(U122-SUMIF($K$10:$K$309,V122,$J$10:$J$309))&lt;=1,"Matched","Tax amount differs")))</f>
        <v/>
      </c>
    </row>
    <row r="123" customFormat="false" ht="15" hidden="false" customHeight="false" outlineLevel="0" collapsed="false">
      <c r="B123" s="5"/>
      <c r="C123" s="5"/>
      <c r="D123" s="5"/>
      <c r="E123" s="16"/>
      <c r="F123" s="17"/>
      <c r="G123" s="17"/>
      <c r="H123" s="17"/>
      <c r="I123" s="17"/>
      <c r="J123" s="21" t="str">
        <f aca="false">IF(B123="","",N(G123)+N(H123)+N(I123))</f>
        <v/>
      </c>
      <c r="K123" s="27" t="str">
        <f aca="false">IF(B123="","",UPPER(TRIM(B123))&amp;"|"&amp;UPPER(TRIM(D123)))</f>
        <v/>
      </c>
      <c r="L123" s="7" t="str">
        <f aca="false">IF(B123="","",IF(COUNTIF($V$10:$V$309,K123)=0,"Not in 2B — ITC at risk",IF(ABS(J123-SUMIF($V$10:$V$309,K123,$U$10:$U$309))&lt;=1,"Matched","Tax amount differs")))</f>
        <v/>
      </c>
      <c r="N123" s="5"/>
      <c r="O123" s="5"/>
      <c r="P123" s="16"/>
      <c r="Q123" s="17"/>
      <c r="R123" s="17"/>
      <c r="S123" s="17"/>
      <c r="T123" s="17"/>
      <c r="U123" s="21" t="str">
        <f aca="false">IF(N123="","",N(R123)+N(S123)+N(T123))</f>
        <v/>
      </c>
      <c r="V123" s="27" t="str">
        <f aca="false">IF(N123="","",UPPER(TRIM(N123))&amp;"|"&amp;UPPER(TRIM(O123)))</f>
        <v/>
      </c>
      <c r="W123" s="7" t="str">
        <f aca="false">IF(N123="","",IF(COUNTIF($K$10:$K$309,V123)=0,"In 2B, not in books — check &amp; book",IF(ABS(U123-SUMIF($K$10:$K$309,V123,$J$10:$J$309))&lt;=1,"Matched","Tax amount differs")))</f>
        <v/>
      </c>
    </row>
    <row r="124" customFormat="false" ht="15" hidden="false" customHeight="false" outlineLevel="0" collapsed="false">
      <c r="B124" s="5"/>
      <c r="C124" s="5"/>
      <c r="D124" s="5"/>
      <c r="E124" s="16"/>
      <c r="F124" s="17"/>
      <c r="G124" s="17"/>
      <c r="H124" s="17"/>
      <c r="I124" s="17"/>
      <c r="J124" s="21" t="str">
        <f aca="false">IF(B124="","",N(G124)+N(H124)+N(I124))</f>
        <v/>
      </c>
      <c r="K124" s="27" t="str">
        <f aca="false">IF(B124="","",UPPER(TRIM(B124))&amp;"|"&amp;UPPER(TRIM(D124)))</f>
        <v/>
      </c>
      <c r="L124" s="7" t="str">
        <f aca="false">IF(B124="","",IF(COUNTIF($V$10:$V$309,K124)=0,"Not in 2B — ITC at risk",IF(ABS(J124-SUMIF($V$10:$V$309,K124,$U$10:$U$309))&lt;=1,"Matched","Tax amount differs")))</f>
        <v/>
      </c>
      <c r="N124" s="5"/>
      <c r="O124" s="5"/>
      <c r="P124" s="16"/>
      <c r="Q124" s="17"/>
      <c r="R124" s="17"/>
      <c r="S124" s="17"/>
      <c r="T124" s="17"/>
      <c r="U124" s="21" t="str">
        <f aca="false">IF(N124="","",N(R124)+N(S124)+N(T124))</f>
        <v/>
      </c>
      <c r="V124" s="27" t="str">
        <f aca="false">IF(N124="","",UPPER(TRIM(N124))&amp;"|"&amp;UPPER(TRIM(O124)))</f>
        <v/>
      </c>
      <c r="W124" s="7" t="str">
        <f aca="false">IF(N124="","",IF(COUNTIF($K$10:$K$309,V124)=0,"In 2B, not in books — check &amp; book",IF(ABS(U124-SUMIF($K$10:$K$309,V124,$J$10:$J$309))&lt;=1,"Matched","Tax amount differs")))</f>
        <v/>
      </c>
    </row>
    <row r="125" customFormat="false" ht="15" hidden="false" customHeight="false" outlineLevel="0" collapsed="false">
      <c r="B125" s="5"/>
      <c r="C125" s="5"/>
      <c r="D125" s="5"/>
      <c r="E125" s="16"/>
      <c r="F125" s="17"/>
      <c r="G125" s="17"/>
      <c r="H125" s="17"/>
      <c r="I125" s="17"/>
      <c r="J125" s="21" t="str">
        <f aca="false">IF(B125="","",N(G125)+N(H125)+N(I125))</f>
        <v/>
      </c>
      <c r="K125" s="27" t="str">
        <f aca="false">IF(B125="","",UPPER(TRIM(B125))&amp;"|"&amp;UPPER(TRIM(D125)))</f>
        <v/>
      </c>
      <c r="L125" s="7" t="str">
        <f aca="false">IF(B125="","",IF(COUNTIF($V$10:$V$309,K125)=0,"Not in 2B — ITC at risk",IF(ABS(J125-SUMIF($V$10:$V$309,K125,$U$10:$U$309))&lt;=1,"Matched","Tax amount differs")))</f>
        <v/>
      </c>
      <c r="N125" s="5"/>
      <c r="O125" s="5"/>
      <c r="P125" s="16"/>
      <c r="Q125" s="17"/>
      <c r="R125" s="17"/>
      <c r="S125" s="17"/>
      <c r="T125" s="17"/>
      <c r="U125" s="21" t="str">
        <f aca="false">IF(N125="","",N(R125)+N(S125)+N(T125))</f>
        <v/>
      </c>
      <c r="V125" s="27" t="str">
        <f aca="false">IF(N125="","",UPPER(TRIM(N125))&amp;"|"&amp;UPPER(TRIM(O125)))</f>
        <v/>
      </c>
      <c r="W125" s="7" t="str">
        <f aca="false">IF(N125="","",IF(COUNTIF($K$10:$K$309,V125)=0,"In 2B, not in books — check &amp; book",IF(ABS(U125-SUMIF($K$10:$K$309,V125,$J$10:$J$309))&lt;=1,"Matched","Tax amount differs")))</f>
        <v/>
      </c>
    </row>
    <row r="126" customFormat="false" ht="15" hidden="false" customHeight="false" outlineLevel="0" collapsed="false">
      <c r="B126" s="5"/>
      <c r="C126" s="5"/>
      <c r="D126" s="5"/>
      <c r="E126" s="16"/>
      <c r="F126" s="17"/>
      <c r="G126" s="17"/>
      <c r="H126" s="17"/>
      <c r="I126" s="17"/>
      <c r="J126" s="21" t="str">
        <f aca="false">IF(B126="","",N(G126)+N(H126)+N(I126))</f>
        <v/>
      </c>
      <c r="K126" s="27" t="str">
        <f aca="false">IF(B126="","",UPPER(TRIM(B126))&amp;"|"&amp;UPPER(TRIM(D126)))</f>
        <v/>
      </c>
      <c r="L126" s="7" t="str">
        <f aca="false">IF(B126="","",IF(COUNTIF($V$10:$V$309,K126)=0,"Not in 2B — ITC at risk",IF(ABS(J126-SUMIF($V$10:$V$309,K126,$U$10:$U$309))&lt;=1,"Matched","Tax amount differs")))</f>
        <v/>
      </c>
      <c r="N126" s="5"/>
      <c r="O126" s="5"/>
      <c r="P126" s="16"/>
      <c r="Q126" s="17"/>
      <c r="R126" s="17"/>
      <c r="S126" s="17"/>
      <c r="T126" s="17"/>
      <c r="U126" s="21" t="str">
        <f aca="false">IF(N126="","",N(R126)+N(S126)+N(T126))</f>
        <v/>
      </c>
      <c r="V126" s="27" t="str">
        <f aca="false">IF(N126="","",UPPER(TRIM(N126))&amp;"|"&amp;UPPER(TRIM(O126)))</f>
        <v/>
      </c>
      <c r="W126" s="7" t="str">
        <f aca="false">IF(N126="","",IF(COUNTIF($K$10:$K$309,V126)=0,"In 2B, not in books — check &amp; book",IF(ABS(U126-SUMIF($K$10:$K$309,V126,$J$10:$J$309))&lt;=1,"Matched","Tax amount differs")))</f>
        <v/>
      </c>
    </row>
    <row r="127" customFormat="false" ht="15" hidden="false" customHeight="false" outlineLevel="0" collapsed="false">
      <c r="B127" s="5"/>
      <c r="C127" s="5"/>
      <c r="D127" s="5"/>
      <c r="E127" s="16"/>
      <c r="F127" s="17"/>
      <c r="G127" s="17"/>
      <c r="H127" s="17"/>
      <c r="I127" s="17"/>
      <c r="J127" s="21" t="str">
        <f aca="false">IF(B127="","",N(G127)+N(H127)+N(I127))</f>
        <v/>
      </c>
      <c r="K127" s="27" t="str">
        <f aca="false">IF(B127="","",UPPER(TRIM(B127))&amp;"|"&amp;UPPER(TRIM(D127)))</f>
        <v/>
      </c>
      <c r="L127" s="7" t="str">
        <f aca="false">IF(B127="","",IF(COUNTIF($V$10:$V$309,K127)=0,"Not in 2B — ITC at risk",IF(ABS(J127-SUMIF($V$10:$V$309,K127,$U$10:$U$309))&lt;=1,"Matched","Tax amount differs")))</f>
        <v/>
      </c>
      <c r="N127" s="5"/>
      <c r="O127" s="5"/>
      <c r="P127" s="16"/>
      <c r="Q127" s="17"/>
      <c r="R127" s="17"/>
      <c r="S127" s="17"/>
      <c r="T127" s="17"/>
      <c r="U127" s="21" t="str">
        <f aca="false">IF(N127="","",N(R127)+N(S127)+N(T127))</f>
        <v/>
      </c>
      <c r="V127" s="27" t="str">
        <f aca="false">IF(N127="","",UPPER(TRIM(N127))&amp;"|"&amp;UPPER(TRIM(O127)))</f>
        <v/>
      </c>
      <c r="W127" s="7" t="str">
        <f aca="false">IF(N127="","",IF(COUNTIF($K$10:$K$309,V127)=0,"In 2B, not in books — check &amp; book",IF(ABS(U127-SUMIF($K$10:$K$309,V127,$J$10:$J$309))&lt;=1,"Matched","Tax amount differs")))</f>
        <v/>
      </c>
    </row>
    <row r="128" customFormat="false" ht="15" hidden="false" customHeight="false" outlineLevel="0" collapsed="false">
      <c r="B128" s="5"/>
      <c r="C128" s="5"/>
      <c r="D128" s="5"/>
      <c r="E128" s="16"/>
      <c r="F128" s="17"/>
      <c r="G128" s="17"/>
      <c r="H128" s="17"/>
      <c r="I128" s="17"/>
      <c r="J128" s="21" t="str">
        <f aca="false">IF(B128="","",N(G128)+N(H128)+N(I128))</f>
        <v/>
      </c>
      <c r="K128" s="27" t="str">
        <f aca="false">IF(B128="","",UPPER(TRIM(B128))&amp;"|"&amp;UPPER(TRIM(D128)))</f>
        <v/>
      </c>
      <c r="L128" s="7" t="str">
        <f aca="false">IF(B128="","",IF(COUNTIF($V$10:$V$309,K128)=0,"Not in 2B — ITC at risk",IF(ABS(J128-SUMIF($V$10:$V$309,K128,$U$10:$U$309))&lt;=1,"Matched","Tax amount differs")))</f>
        <v/>
      </c>
      <c r="N128" s="5"/>
      <c r="O128" s="5"/>
      <c r="P128" s="16"/>
      <c r="Q128" s="17"/>
      <c r="R128" s="17"/>
      <c r="S128" s="17"/>
      <c r="T128" s="17"/>
      <c r="U128" s="21" t="str">
        <f aca="false">IF(N128="","",N(R128)+N(S128)+N(T128))</f>
        <v/>
      </c>
      <c r="V128" s="27" t="str">
        <f aca="false">IF(N128="","",UPPER(TRIM(N128))&amp;"|"&amp;UPPER(TRIM(O128)))</f>
        <v/>
      </c>
      <c r="W128" s="7" t="str">
        <f aca="false">IF(N128="","",IF(COUNTIF($K$10:$K$309,V128)=0,"In 2B, not in books — check &amp; book",IF(ABS(U128-SUMIF($K$10:$K$309,V128,$J$10:$J$309))&lt;=1,"Matched","Tax amount differs")))</f>
        <v/>
      </c>
    </row>
    <row r="129" customFormat="false" ht="15" hidden="false" customHeight="false" outlineLevel="0" collapsed="false">
      <c r="B129" s="5"/>
      <c r="C129" s="5"/>
      <c r="D129" s="5"/>
      <c r="E129" s="16"/>
      <c r="F129" s="17"/>
      <c r="G129" s="17"/>
      <c r="H129" s="17"/>
      <c r="I129" s="17"/>
      <c r="J129" s="21" t="str">
        <f aca="false">IF(B129="","",N(G129)+N(H129)+N(I129))</f>
        <v/>
      </c>
      <c r="K129" s="27" t="str">
        <f aca="false">IF(B129="","",UPPER(TRIM(B129))&amp;"|"&amp;UPPER(TRIM(D129)))</f>
        <v/>
      </c>
      <c r="L129" s="7" t="str">
        <f aca="false">IF(B129="","",IF(COUNTIF($V$10:$V$309,K129)=0,"Not in 2B — ITC at risk",IF(ABS(J129-SUMIF($V$10:$V$309,K129,$U$10:$U$309))&lt;=1,"Matched","Tax amount differs")))</f>
        <v/>
      </c>
      <c r="N129" s="5"/>
      <c r="O129" s="5"/>
      <c r="P129" s="16"/>
      <c r="Q129" s="17"/>
      <c r="R129" s="17"/>
      <c r="S129" s="17"/>
      <c r="T129" s="17"/>
      <c r="U129" s="21" t="str">
        <f aca="false">IF(N129="","",N(R129)+N(S129)+N(T129))</f>
        <v/>
      </c>
      <c r="V129" s="27" t="str">
        <f aca="false">IF(N129="","",UPPER(TRIM(N129))&amp;"|"&amp;UPPER(TRIM(O129)))</f>
        <v/>
      </c>
      <c r="W129" s="7" t="str">
        <f aca="false">IF(N129="","",IF(COUNTIF($K$10:$K$309,V129)=0,"In 2B, not in books — check &amp; book",IF(ABS(U129-SUMIF($K$10:$K$309,V129,$J$10:$J$309))&lt;=1,"Matched","Tax amount differs")))</f>
        <v/>
      </c>
    </row>
    <row r="130" customFormat="false" ht="15" hidden="false" customHeight="false" outlineLevel="0" collapsed="false">
      <c r="B130" s="5"/>
      <c r="C130" s="5"/>
      <c r="D130" s="5"/>
      <c r="E130" s="16"/>
      <c r="F130" s="17"/>
      <c r="G130" s="17"/>
      <c r="H130" s="17"/>
      <c r="I130" s="17"/>
      <c r="J130" s="21" t="str">
        <f aca="false">IF(B130="","",N(G130)+N(H130)+N(I130))</f>
        <v/>
      </c>
      <c r="K130" s="27" t="str">
        <f aca="false">IF(B130="","",UPPER(TRIM(B130))&amp;"|"&amp;UPPER(TRIM(D130)))</f>
        <v/>
      </c>
      <c r="L130" s="7" t="str">
        <f aca="false">IF(B130="","",IF(COUNTIF($V$10:$V$309,K130)=0,"Not in 2B — ITC at risk",IF(ABS(J130-SUMIF($V$10:$V$309,K130,$U$10:$U$309))&lt;=1,"Matched","Tax amount differs")))</f>
        <v/>
      </c>
      <c r="N130" s="5"/>
      <c r="O130" s="5"/>
      <c r="P130" s="16"/>
      <c r="Q130" s="17"/>
      <c r="R130" s="17"/>
      <c r="S130" s="17"/>
      <c r="T130" s="17"/>
      <c r="U130" s="21" t="str">
        <f aca="false">IF(N130="","",N(R130)+N(S130)+N(T130))</f>
        <v/>
      </c>
      <c r="V130" s="27" t="str">
        <f aca="false">IF(N130="","",UPPER(TRIM(N130))&amp;"|"&amp;UPPER(TRIM(O130)))</f>
        <v/>
      </c>
      <c r="W130" s="7" t="str">
        <f aca="false">IF(N130="","",IF(COUNTIF($K$10:$K$309,V130)=0,"In 2B, not in books — check &amp; book",IF(ABS(U130-SUMIF($K$10:$K$309,V130,$J$10:$J$309))&lt;=1,"Matched","Tax amount differs")))</f>
        <v/>
      </c>
    </row>
    <row r="131" customFormat="false" ht="15" hidden="false" customHeight="false" outlineLevel="0" collapsed="false">
      <c r="B131" s="5"/>
      <c r="C131" s="5"/>
      <c r="D131" s="5"/>
      <c r="E131" s="16"/>
      <c r="F131" s="17"/>
      <c r="G131" s="17"/>
      <c r="H131" s="17"/>
      <c r="I131" s="17"/>
      <c r="J131" s="21" t="str">
        <f aca="false">IF(B131="","",N(G131)+N(H131)+N(I131))</f>
        <v/>
      </c>
      <c r="K131" s="27" t="str">
        <f aca="false">IF(B131="","",UPPER(TRIM(B131))&amp;"|"&amp;UPPER(TRIM(D131)))</f>
        <v/>
      </c>
      <c r="L131" s="7" t="str">
        <f aca="false">IF(B131="","",IF(COUNTIF($V$10:$V$309,K131)=0,"Not in 2B — ITC at risk",IF(ABS(J131-SUMIF($V$10:$V$309,K131,$U$10:$U$309))&lt;=1,"Matched","Tax amount differs")))</f>
        <v/>
      </c>
      <c r="N131" s="5"/>
      <c r="O131" s="5"/>
      <c r="P131" s="16"/>
      <c r="Q131" s="17"/>
      <c r="R131" s="17"/>
      <c r="S131" s="17"/>
      <c r="T131" s="17"/>
      <c r="U131" s="21" t="str">
        <f aca="false">IF(N131="","",N(R131)+N(S131)+N(T131))</f>
        <v/>
      </c>
      <c r="V131" s="27" t="str">
        <f aca="false">IF(N131="","",UPPER(TRIM(N131))&amp;"|"&amp;UPPER(TRIM(O131)))</f>
        <v/>
      </c>
      <c r="W131" s="7" t="str">
        <f aca="false">IF(N131="","",IF(COUNTIF($K$10:$K$309,V131)=0,"In 2B, not in books — check &amp; book",IF(ABS(U131-SUMIF($K$10:$K$309,V131,$J$10:$J$309))&lt;=1,"Matched","Tax amount differs")))</f>
        <v/>
      </c>
    </row>
    <row r="132" customFormat="false" ht="15" hidden="false" customHeight="false" outlineLevel="0" collapsed="false">
      <c r="B132" s="5"/>
      <c r="C132" s="5"/>
      <c r="D132" s="5"/>
      <c r="E132" s="16"/>
      <c r="F132" s="17"/>
      <c r="G132" s="17"/>
      <c r="H132" s="17"/>
      <c r="I132" s="17"/>
      <c r="J132" s="21" t="str">
        <f aca="false">IF(B132="","",N(G132)+N(H132)+N(I132))</f>
        <v/>
      </c>
      <c r="K132" s="27" t="str">
        <f aca="false">IF(B132="","",UPPER(TRIM(B132))&amp;"|"&amp;UPPER(TRIM(D132)))</f>
        <v/>
      </c>
      <c r="L132" s="7" t="str">
        <f aca="false">IF(B132="","",IF(COUNTIF($V$10:$V$309,K132)=0,"Not in 2B — ITC at risk",IF(ABS(J132-SUMIF($V$10:$V$309,K132,$U$10:$U$309))&lt;=1,"Matched","Tax amount differs")))</f>
        <v/>
      </c>
      <c r="N132" s="5"/>
      <c r="O132" s="5"/>
      <c r="P132" s="16"/>
      <c r="Q132" s="17"/>
      <c r="R132" s="17"/>
      <c r="S132" s="17"/>
      <c r="T132" s="17"/>
      <c r="U132" s="21" t="str">
        <f aca="false">IF(N132="","",N(R132)+N(S132)+N(T132))</f>
        <v/>
      </c>
      <c r="V132" s="27" t="str">
        <f aca="false">IF(N132="","",UPPER(TRIM(N132))&amp;"|"&amp;UPPER(TRIM(O132)))</f>
        <v/>
      </c>
      <c r="W132" s="7" t="str">
        <f aca="false">IF(N132="","",IF(COUNTIF($K$10:$K$309,V132)=0,"In 2B, not in books — check &amp; book",IF(ABS(U132-SUMIF($K$10:$K$309,V132,$J$10:$J$309))&lt;=1,"Matched","Tax amount differs")))</f>
        <v/>
      </c>
    </row>
    <row r="133" customFormat="false" ht="15" hidden="false" customHeight="false" outlineLevel="0" collapsed="false">
      <c r="B133" s="5"/>
      <c r="C133" s="5"/>
      <c r="D133" s="5"/>
      <c r="E133" s="16"/>
      <c r="F133" s="17"/>
      <c r="G133" s="17"/>
      <c r="H133" s="17"/>
      <c r="I133" s="17"/>
      <c r="J133" s="21" t="str">
        <f aca="false">IF(B133="","",N(G133)+N(H133)+N(I133))</f>
        <v/>
      </c>
      <c r="K133" s="27" t="str">
        <f aca="false">IF(B133="","",UPPER(TRIM(B133))&amp;"|"&amp;UPPER(TRIM(D133)))</f>
        <v/>
      </c>
      <c r="L133" s="7" t="str">
        <f aca="false">IF(B133="","",IF(COUNTIF($V$10:$V$309,K133)=0,"Not in 2B — ITC at risk",IF(ABS(J133-SUMIF($V$10:$V$309,K133,$U$10:$U$309))&lt;=1,"Matched","Tax amount differs")))</f>
        <v/>
      </c>
      <c r="N133" s="5"/>
      <c r="O133" s="5"/>
      <c r="P133" s="16"/>
      <c r="Q133" s="17"/>
      <c r="R133" s="17"/>
      <c r="S133" s="17"/>
      <c r="T133" s="17"/>
      <c r="U133" s="21" t="str">
        <f aca="false">IF(N133="","",N(R133)+N(S133)+N(T133))</f>
        <v/>
      </c>
      <c r="V133" s="27" t="str">
        <f aca="false">IF(N133="","",UPPER(TRIM(N133))&amp;"|"&amp;UPPER(TRIM(O133)))</f>
        <v/>
      </c>
      <c r="W133" s="7" t="str">
        <f aca="false">IF(N133="","",IF(COUNTIF($K$10:$K$309,V133)=0,"In 2B, not in books — check &amp; book",IF(ABS(U133-SUMIF($K$10:$K$309,V133,$J$10:$J$309))&lt;=1,"Matched","Tax amount differs")))</f>
        <v/>
      </c>
    </row>
    <row r="134" customFormat="false" ht="15" hidden="false" customHeight="false" outlineLevel="0" collapsed="false">
      <c r="B134" s="5"/>
      <c r="C134" s="5"/>
      <c r="D134" s="5"/>
      <c r="E134" s="16"/>
      <c r="F134" s="17"/>
      <c r="G134" s="17"/>
      <c r="H134" s="17"/>
      <c r="I134" s="17"/>
      <c r="J134" s="21" t="str">
        <f aca="false">IF(B134="","",N(G134)+N(H134)+N(I134))</f>
        <v/>
      </c>
      <c r="K134" s="27" t="str">
        <f aca="false">IF(B134="","",UPPER(TRIM(B134))&amp;"|"&amp;UPPER(TRIM(D134)))</f>
        <v/>
      </c>
      <c r="L134" s="7" t="str">
        <f aca="false">IF(B134="","",IF(COUNTIF($V$10:$V$309,K134)=0,"Not in 2B — ITC at risk",IF(ABS(J134-SUMIF($V$10:$V$309,K134,$U$10:$U$309))&lt;=1,"Matched","Tax amount differs")))</f>
        <v/>
      </c>
      <c r="N134" s="5"/>
      <c r="O134" s="5"/>
      <c r="P134" s="16"/>
      <c r="Q134" s="17"/>
      <c r="R134" s="17"/>
      <c r="S134" s="17"/>
      <c r="T134" s="17"/>
      <c r="U134" s="21" t="str">
        <f aca="false">IF(N134="","",N(R134)+N(S134)+N(T134))</f>
        <v/>
      </c>
      <c r="V134" s="27" t="str">
        <f aca="false">IF(N134="","",UPPER(TRIM(N134))&amp;"|"&amp;UPPER(TRIM(O134)))</f>
        <v/>
      </c>
      <c r="W134" s="7" t="str">
        <f aca="false">IF(N134="","",IF(COUNTIF($K$10:$K$309,V134)=0,"In 2B, not in books — check &amp; book",IF(ABS(U134-SUMIF($K$10:$K$309,V134,$J$10:$J$309))&lt;=1,"Matched","Tax amount differs")))</f>
        <v/>
      </c>
    </row>
    <row r="135" customFormat="false" ht="15" hidden="false" customHeight="false" outlineLevel="0" collapsed="false">
      <c r="B135" s="5"/>
      <c r="C135" s="5"/>
      <c r="D135" s="5"/>
      <c r="E135" s="16"/>
      <c r="F135" s="17"/>
      <c r="G135" s="17"/>
      <c r="H135" s="17"/>
      <c r="I135" s="17"/>
      <c r="J135" s="21" t="str">
        <f aca="false">IF(B135="","",N(G135)+N(H135)+N(I135))</f>
        <v/>
      </c>
      <c r="K135" s="27" t="str">
        <f aca="false">IF(B135="","",UPPER(TRIM(B135))&amp;"|"&amp;UPPER(TRIM(D135)))</f>
        <v/>
      </c>
      <c r="L135" s="7" t="str">
        <f aca="false">IF(B135="","",IF(COUNTIF($V$10:$V$309,K135)=0,"Not in 2B — ITC at risk",IF(ABS(J135-SUMIF($V$10:$V$309,K135,$U$10:$U$309))&lt;=1,"Matched","Tax amount differs")))</f>
        <v/>
      </c>
      <c r="N135" s="5"/>
      <c r="O135" s="5"/>
      <c r="P135" s="16"/>
      <c r="Q135" s="17"/>
      <c r="R135" s="17"/>
      <c r="S135" s="17"/>
      <c r="T135" s="17"/>
      <c r="U135" s="21" t="str">
        <f aca="false">IF(N135="","",N(R135)+N(S135)+N(T135))</f>
        <v/>
      </c>
      <c r="V135" s="27" t="str">
        <f aca="false">IF(N135="","",UPPER(TRIM(N135))&amp;"|"&amp;UPPER(TRIM(O135)))</f>
        <v/>
      </c>
      <c r="W135" s="7" t="str">
        <f aca="false">IF(N135="","",IF(COUNTIF($K$10:$K$309,V135)=0,"In 2B, not in books — check &amp; book",IF(ABS(U135-SUMIF($K$10:$K$309,V135,$J$10:$J$309))&lt;=1,"Matched","Tax amount differs")))</f>
        <v/>
      </c>
    </row>
    <row r="136" customFormat="false" ht="15" hidden="false" customHeight="false" outlineLevel="0" collapsed="false">
      <c r="B136" s="5"/>
      <c r="C136" s="5"/>
      <c r="D136" s="5"/>
      <c r="E136" s="16"/>
      <c r="F136" s="17"/>
      <c r="G136" s="17"/>
      <c r="H136" s="17"/>
      <c r="I136" s="17"/>
      <c r="J136" s="21" t="str">
        <f aca="false">IF(B136="","",N(G136)+N(H136)+N(I136))</f>
        <v/>
      </c>
      <c r="K136" s="27" t="str">
        <f aca="false">IF(B136="","",UPPER(TRIM(B136))&amp;"|"&amp;UPPER(TRIM(D136)))</f>
        <v/>
      </c>
      <c r="L136" s="7" t="str">
        <f aca="false">IF(B136="","",IF(COUNTIF($V$10:$V$309,K136)=0,"Not in 2B — ITC at risk",IF(ABS(J136-SUMIF($V$10:$V$309,K136,$U$10:$U$309))&lt;=1,"Matched","Tax amount differs")))</f>
        <v/>
      </c>
      <c r="N136" s="5"/>
      <c r="O136" s="5"/>
      <c r="P136" s="16"/>
      <c r="Q136" s="17"/>
      <c r="R136" s="17"/>
      <c r="S136" s="17"/>
      <c r="T136" s="17"/>
      <c r="U136" s="21" t="str">
        <f aca="false">IF(N136="","",N(R136)+N(S136)+N(T136))</f>
        <v/>
      </c>
      <c r="V136" s="27" t="str">
        <f aca="false">IF(N136="","",UPPER(TRIM(N136))&amp;"|"&amp;UPPER(TRIM(O136)))</f>
        <v/>
      </c>
      <c r="W136" s="7" t="str">
        <f aca="false">IF(N136="","",IF(COUNTIF($K$10:$K$309,V136)=0,"In 2B, not in books — check &amp; book",IF(ABS(U136-SUMIF($K$10:$K$309,V136,$J$10:$J$309))&lt;=1,"Matched","Tax amount differs")))</f>
        <v/>
      </c>
    </row>
    <row r="137" customFormat="false" ht="15" hidden="false" customHeight="false" outlineLevel="0" collapsed="false">
      <c r="B137" s="5"/>
      <c r="C137" s="5"/>
      <c r="D137" s="5"/>
      <c r="E137" s="16"/>
      <c r="F137" s="17"/>
      <c r="G137" s="17"/>
      <c r="H137" s="17"/>
      <c r="I137" s="17"/>
      <c r="J137" s="21" t="str">
        <f aca="false">IF(B137="","",N(G137)+N(H137)+N(I137))</f>
        <v/>
      </c>
      <c r="K137" s="27" t="str">
        <f aca="false">IF(B137="","",UPPER(TRIM(B137))&amp;"|"&amp;UPPER(TRIM(D137)))</f>
        <v/>
      </c>
      <c r="L137" s="7" t="str">
        <f aca="false">IF(B137="","",IF(COUNTIF($V$10:$V$309,K137)=0,"Not in 2B — ITC at risk",IF(ABS(J137-SUMIF($V$10:$V$309,K137,$U$10:$U$309))&lt;=1,"Matched","Tax amount differs")))</f>
        <v/>
      </c>
      <c r="N137" s="5"/>
      <c r="O137" s="5"/>
      <c r="P137" s="16"/>
      <c r="Q137" s="17"/>
      <c r="R137" s="17"/>
      <c r="S137" s="17"/>
      <c r="T137" s="17"/>
      <c r="U137" s="21" t="str">
        <f aca="false">IF(N137="","",N(R137)+N(S137)+N(T137))</f>
        <v/>
      </c>
      <c r="V137" s="27" t="str">
        <f aca="false">IF(N137="","",UPPER(TRIM(N137))&amp;"|"&amp;UPPER(TRIM(O137)))</f>
        <v/>
      </c>
      <c r="W137" s="7" t="str">
        <f aca="false">IF(N137="","",IF(COUNTIF($K$10:$K$309,V137)=0,"In 2B, not in books — check &amp; book",IF(ABS(U137-SUMIF($K$10:$K$309,V137,$J$10:$J$309))&lt;=1,"Matched","Tax amount differs")))</f>
        <v/>
      </c>
    </row>
    <row r="138" customFormat="false" ht="15" hidden="false" customHeight="false" outlineLevel="0" collapsed="false">
      <c r="B138" s="5"/>
      <c r="C138" s="5"/>
      <c r="D138" s="5"/>
      <c r="E138" s="16"/>
      <c r="F138" s="17"/>
      <c r="G138" s="17"/>
      <c r="H138" s="17"/>
      <c r="I138" s="17"/>
      <c r="J138" s="21" t="str">
        <f aca="false">IF(B138="","",N(G138)+N(H138)+N(I138))</f>
        <v/>
      </c>
      <c r="K138" s="27" t="str">
        <f aca="false">IF(B138="","",UPPER(TRIM(B138))&amp;"|"&amp;UPPER(TRIM(D138)))</f>
        <v/>
      </c>
      <c r="L138" s="7" t="str">
        <f aca="false">IF(B138="","",IF(COUNTIF($V$10:$V$309,K138)=0,"Not in 2B — ITC at risk",IF(ABS(J138-SUMIF($V$10:$V$309,K138,$U$10:$U$309))&lt;=1,"Matched","Tax amount differs")))</f>
        <v/>
      </c>
      <c r="N138" s="5"/>
      <c r="O138" s="5"/>
      <c r="P138" s="16"/>
      <c r="Q138" s="17"/>
      <c r="R138" s="17"/>
      <c r="S138" s="17"/>
      <c r="T138" s="17"/>
      <c r="U138" s="21" t="str">
        <f aca="false">IF(N138="","",N(R138)+N(S138)+N(T138))</f>
        <v/>
      </c>
      <c r="V138" s="27" t="str">
        <f aca="false">IF(N138="","",UPPER(TRIM(N138))&amp;"|"&amp;UPPER(TRIM(O138)))</f>
        <v/>
      </c>
      <c r="W138" s="7" t="str">
        <f aca="false">IF(N138="","",IF(COUNTIF($K$10:$K$309,V138)=0,"In 2B, not in books — check &amp; book",IF(ABS(U138-SUMIF($K$10:$K$309,V138,$J$10:$J$309))&lt;=1,"Matched","Tax amount differs")))</f>
        <v/>
      </c>
    </row>
    <row r="139" customFormat="false" ht="15" hidden="false" customHeight="false" outlineLevel="0" collapsed="false">
      <c r="B139" s="5"/>
      <c r="C139" s="5"/>
      <c r="D139" s="5"/>
      <c r="E139" s="16"/>
      <c r="F139" s="17"/>
      <c r="G139" s="17"/>
      <c r="H139" s="17"/>
      <c r="I139" s="17"/>
      <c r="J139" s="21" t="str">
        <f aca="false">IF(B139="","",N(G139)+N(H139)+N(I139))</f>
        <v/>
      </c>
      <c r="K139" s="27" t="str">
        <f aca="false">IF(B139="","",UPPER(TRIM(B139))&amp;"|"&amp;UPPER(TRIM(D139)))</f>
        <v/>
      </c>
      <c r="L139" s="7" t="str">
        <f aca="false">IF(B139="","",IF(COUNTIF($V$10:$V$309,K139)=0,"Not in 2B — ITC at risk",IF(ABS(J139-SUMIF($V$10:$V$309,K139,$U$10:$U$309))&lt;=1,"Matched","Tax amount differs")))</f>
        <v/>
      </c>
      <c r="N139" s="5"/>
      <c r="O139" s="5"/>
      <c r="P139" s="16"/>
      <c r="Q139" s="17"/>
      <c r="R139" s="17"/>
      <c r="S139" s="17"/>
      <c r="T139" s="17"/>
      <c r="U139" s="21" t="str">
        <f aca="false">IF(N139="","",N(R139)+N(S139)+N(T139))</f>
        <v/>
      </c>
      <c r="V139" s="27" t="str">
        <f aca="false">IF(N139="","",UPPER(TRIM(N139))&amp;"|"&amp;UPPER(TRIM(O139)))</f>
        <v/>
      </c>
      <c r="W139" s="7" t="str">
        <f aca="false">IF(N139="","",IF(COUNTIF($K$10:$K$309,V139)=0,"In 2B, not in books — check &amp; book",IF(ABS(U139-SUMIF($K$10:$K$309,V139,$J$10:$J$309))&lt;=1,"Matched","Tax amount differs")))</f>
        <v/>
      </c>
    </row>
    <row r="140" customFormat="false" ht="15" hidden="false" customHeight="false" outlineLevel="0" collapsed="false">
      <c r="B140" s="5"/>
      <c r="C140" s="5"/>
      <c r="D140" s="5"/>
      <c r="E140" s="16"/>
      <c r="F140" s="17"/>
      <c r="G140" s="17"/>
      <c r="H140" s="17"/>
      <c r="I140" s="17"/>
      <c r="J140" s="21" t="str">
        <f aca="false">IF(B140="","",N(G140)+N(H140)+N(I140))</f>
        <v/>
      </c>
      <c r="K140" s="27" t="str">
        <f aca="false">IF(B140="","",UPPER(TRIM(B140))&amp;"|"&amp;UPPER(TRIM(D140)))</f>
        <v/>
      </c>
      <c r="L140" s="7" t="str">
        <f aca="false">IF(B140="","",IF(COUNTIF($V$10:$V$309,K140)=0,"Not in 2B — ITC at risk",IF(ABS(J140-SUMIF($V$10:$V$309,K140,$U$10:$U$309))&lt;=1,"Matched","Tax amount differs")))</f>
        <v/>
      </c>
      <c r="N140" s="5"/>
      <c r="O140" s="5"/>
      <c r="P140" s="16"/>
      <c r="Q140" s="17"/>
      <c r="R140" s="17"/>
      <c r="S140" s="17"/>
      <c r="T140" s="17"/>
      <c r="U140" s="21" t="str">
        <f aca="false">IF(N140="","",N(R140)+N(S140)+N(T140))</f>
        <v/>
      </c>
      <c r="V140" s="27" t="str">
        <f aca="false">IF(N140="","",UPPER(TRIM(N140))&amp;"|"&amp;UPPER(TRIM(O140)))</f>
        <v/>
      </c>
      <c r="W140" s="7" t="str">
        <f aca="false">IF(N140="","",IF(COUNTIF($K$10:$K$309,V140)=0,"In 2B, not in books — check &amp; book",IF(ABS(U140-SUMIF($K$10:$K$309,V140,$J$10:$J$309))&lt;=1,"Matched","Tax amount differs")))</f>
        <v/>
      </c>
    </row>
    <row r="141" customFormat="false" ht="15" hidden="false" customHeight="false" outlineLevel="0" collapsed="false">
      <c r="B141" s="5"/>
      <c r="C141" s="5"/>
      <c r="D141" s="5"/>
      <c r="E141" s="16"/>
      <c r="F141" s="17"/>
      <c r="G141" s="17"/>
      <c r="H141" s="17"/>
      <c r="I141" s="17"/>
      <c r="J141" s="21" t="str">
        <f aca="false">IF(B141="","",N(G141)+N(H141)+N(I141))</f>
        <v/>
      </c>
      <c r="K141" s="27" t="str">
        <f aca="false">IF(B141="","",UPPER(TRIM(B141))&amp;"|"&amp;UPPER(TRIM(D141)))</f>
        <v/>
      </c>
      <c r="L141" s="7" t="str">
        <f aca="false">IF(B141="","",IF(COUNTIF($V$10:$V$309,K141)=0,"Not in 2B — ITC at risk",IF(ABS(J141-SUMIF($V$10:$V$309,K141,$U$10:$U$309))&lt;=1,"Matched","Tax amount differs")))</f>
        <v/>
      </c>
      <c r="N141" s="5"/>
      <c r="O141" s="5"/>
      <c r="P141" s="16"/>
      <c r="Q141" s="17"/>
      <c r="R141" s="17"/>
      <c r="S141" s="17"/>
      <c r="T141" s="17"/>
      <c r="U141" s="21" t="str">
        <f aca="false">IF(N141="","",N(R141)+N(S141)+N(T141))</f>
        <v/>
      </c>
      <c r="V141" s="27" t="str">
        <f aca="false">IF(N141="","",UPPER(TRIM(N141))&amp;"|"&amp;UPPER(TRIM(O141)))</f>
        <v/>
      </c>
      <c r="W141" s="7" t="str">
        <f aca="false">IF(N141="","",IF(COUNTIF($K$10:$K$309,V141)=0,"In 2B, not in books — check &amp; book",IF(ABS(U141-SUMIF($K$10:$K$309,V141,$J$10:$J$309))&lt;=1,"Matched","Tax amount differs")))</f>
        <v/>
      </c>
    </row>
    <row r="142" customFormat="false" ht="15" hidden="false" customHeight="false" outlineLevel="0" collapsed="false">
      <c r="B142" s="5"/>
      <c r="C142" s="5"/>
      <c r="D142" s="5"/>
      <c r="E142" s="16"/>
      <c r="F142" s="17"/>
      <c r="G142" s="17"/>
      <c r="H142" s="17"/>
      <c r="I142" s="17"/>
      <c r="J142" s="21" t="str">
        <f aca="false">IF(B142="","",N(G142)+N(H142)+N(I142))</f>
        <v/>
      </c>
      <c r="K142" s="27" t="str">
        <f aca="false">IF(B142="","",UPPER(TRIM(B142))&amp;"|"&amp;UPPER(TRIM(D142)))</f>
        <v/>
      </c>
      <c r="L142" s="7" t="str">
        <f aca="false">IF(B142="","",IF(COUNTIF($V$10:$V$309,K142)=0,"Not in 2B — ITC at risk",IF(ABS(J142-SUMIF($V$10:$V$309,K142,$U$10:$U$309))&lt;=1,"Matched","Tax amount differs")))</f>
        <v/>
      </c>
      <c r="N142" s="5"/>
      <c r="O142" s="5"/>
      <c r="P142" s="16"/>
      <c r="Q142" s="17"/>
      <c r="R142" s="17"/>
      <c r="S142" s="17"/>
      <c r="T142" s="17"/>
      <c r="U142" s="21" t="str">
        <f aca="false">IF(N142="","",N(R142)+N(S142)+N(T142))</f>
        <v/>
      </c>
      <c r="V142" s="27" t="str">
        <f aca="false">IF(N142="","",UPPER(TRIM(N142))&amp;"|"&amp;UPPER(TRIM(O142)))</f>
        <v/>
      </c>
      <c r="W142" s="7" t="str">
        <f aca="false">IF(N142="","",IF(COUNTIF($K$10:$K$309,V142)=0,"In 2B, not in books — check &amp; book",IF(ABS(U142-SUMIF($K$10:$K$309,V142,$J$10:$J$309))&lt;=1,"Matched","Tax amount differs")))</f>
        <v/>
      </c>
    </row>
    <row r="143" customFormat="false" ht="15" hidden="false" customHeight="false" outlineLevel="0" collapsed="false">
      <c r="B143" s="5"/>
      <c r="C143" s="5"/>
      <c r="D143" s="5"/>
      <c r="E143" s="16"/>
      <c r="F143" s="17"/>
      <c r="G143" s="17"/>
      <c r="H143" s="17"/>
      <c r="I143" s="17"/>
      <c r="J143" s="21" t="str">
        <f aca="false">IF(B143="","",N(G143)+N(H143)+N(I143))</f>
        <v/>
      </c>
      <c r="K143" s="27" t="str">
        <f aca="false">IF(B143="","",UPPER(TRIM(B143))&amp;"|"&amp;UPPER(TRIM(D143)))</f>
        <v/>
      </c>
      <c r="L143" s="7" t="str">
        <f aca="false">IF(B143="","",IF(COUNTIF($V$10:$V$309,K143)=0,"Not in 2B — ITC at risk",IF(ABS(J143-SUMIF($V$10:$V$309,K143,$U$10:$U$309))&lt;=1,"Matched","Tax amount differs")))</f>
        <v/>
      </c>
      <c r="N143" s="5"/>
      <c r="O143" s="5"/>
      <c r="P143" s="16"/>
      <c r="Q143" s="17"/>
      <c r="R143" s="17"/>
      <c r="S143" s="17"/>
      <c r="T143" s="17"/>
      <c r="U143" s="21" t="str">
        <f aca="false">IF(N143="","",N(R143)+N(S143)+N(T143))</f>
        <v/>
      </c>
      <c r="V143" s="27" t="str">
        <f aca="false">IF(N143="","",UPPER(TRIM(N143))&amp;"|"&amp;UPPER(TRIM(O143)))</f>
        <v/>
      </c>
      <c r="W143" s="7" t="str">
        <f aca="false">IF(N143="","",IF(COUNTIF($K$10:$K$309,V143)=0,"In 2B, not in books — check &amp; book",IF(ABS(U143-SUMIF($K$10:$K$309,V143,$J$10:$J$309))&lt;=1,"Matched","Tax amount differs")))</f>
        <v/>
      </c>
    </row>
    <row r="144" customFormat="false" ht="15" hidden="false" customHeight="false" outlineLevel="0" collapsed="false">
      <c r="B144" s="5"/>
      <c r="C144" s="5"/>
      <c r="D144" s="5"/>
      <c r="E144" s="16"/>
      <c r="F144" s="17"/>
      <c r="G144" s="17"/>
      <c r="H144" s="17"/>
      <c r="I144" s="17"/>
      <c r="J144" s="21" t="str">
        <f aca="false">IF(B144="","",N(G144)+N(H144)+N(I144))</f>
        <v/>
      </c>
      <c r="K144" s="27" t="str">
        <f aca="false">IF(B144="","",UPPER(TRIM(B144))&amp;"|"&amp;UPPER(TRIM(D144)))</f>
        <v/>
      </c>
      <c r="L144" s="7" t="str">
        <f aca="false">IF(B144="","",IF(COUNTIF($V$10:$V$309,K144)=0,"Not in 2B — ITC at risk",IF(ABS(J144-SUMIF($V$10:$V$309,K144,$U$10:$U$309))&lt;=1,"Matched","Tax amount differs")))</f>
        <v/>
      </c>
      <c r="N144" s="5"/>
      <c r="O144" s="5"/>
      <c r="P144" s="16"/>
      <c r="Q144" s="17"/>
      <c r="R144" s="17"/>
      <c r="S144" s="17"/>
      <c r="T144" s="17"/>
      <c r="U144" s="21" t="str">
        <f aca="false">IF(N144="","",N(R144)+N(S144)+N(T144))</f>
        <v/>
      </c>
      <c r="V144" s="27" t="str">
        <f aca="false">IF(N144="","",UPPER(TRIM(N144))&amp;"|"&amp;UPPER(TRIM(O144)))</f>
        <v/>
      </c>
      <c r="W144" s="7" t="str">
        <f aca="false">IF(N144="","",IF(COUNTIF($K$10:$K$309,V144)=0,"In 2B, not in books — check &amp; book",IF(ABS(U144-SUMIF($K$10:$K$309,V144,$J$10:$J$309))&lt;=1,"Matched","Tax amount differs")))</f>
        <v/>
      </c>
    </row>
    <row r="145" customFormat="false" ht="15" hidden="false" customHeight="false" outlineLevel="0" collapsed="false">
      <c r="B145" s="5"/>
      <c r="C145" s="5"/>
      <c r="D145" s="5"/>
      <c r="E145" s="16"/>
      <c r="F145" s="17"/>
      <c r="G145" s="17"/>
      <c r="H145" s="17"/>
      <c r="I145" s="17"/>
      <c r="J145" s="21" t="str">
        <f aca="false">IF(B145="","",N(G145)+N(H145)+N(I145))</f>
        <v/>
      </c>
      <c r="K145" s="27" t="str">
        <f aca="false">IF(B145="","",UPPER(TRIM(B145))&amp;"|"&amp;UPPER(TRIM(D145)))</f>
        <v/>
      </c>
      <c r="L145" s="7" t="str">
        <f aca="false">IF(B145="","",IF(COUNTIF($V$10:$V$309,K145)=0,"Not in 2B — ITC at risk",IF(ABS(J145-SUMIF($V$10:$V$309,K145,$U$10:$U$309))&lt;=1,"Matched","Tax amount differs")))</f>
        <v/>
      </c>
      <c r="N145" s="5"/>
      <c r="O145" s="5"/>
      <c r="P145" s="16"/>
      <c r="Q145" s="17"/>
      <c r="R145" s="17"/>
      <c r="S145" s="17"/>
      <c r="T145" s="17"/>
      <c r="U145" s="21" t="str">
        <f aca="false">IF(N145="","",N(R145)+N(S145)+N(T145))</f>
        <v/>
      </c>
      <c r="V145" s="27" t="str">
        <f aca="false">IF(N145="","",UPPER(TRIM(N145))&amp;"|"&amp;UPPER(TRIM(O145)))</f>
        <v/>
      </c>
      <c r="W145" s="7" t="str">
        <f aca="false">IF(N145="","",IF(COUNTIF($K$10:$K$309,V145)=0,"In 2B, not in books — check &amp; book",IF(ABS(U145-SUMIF($K$10:$K$309,V145,$J$10:$J$309))&lt;=1,"Matched","Tax amount differs")))</f>
        <v/>
      </c>
    </row>
    <row r="146" customFormat="false" ht="15" hidden="false" customHeight="false" outlineLevel="0" collapsed="false">
      <c r="B146" s="5"/>
      <c r="C146" s="5"/>
      <c r="D146" s="5"/>
      <c r="E146" s="16"/>
      <c r="F146" s="17"/>
      <c r="G146" s="17"/>
      <c r="H146" s="17"/>
      <c r="I146" s="17"/>
      <c r="J146" s="21" t="str">
        <f aca="false">IF(B146="","",N(G146)+N(H146)+N(I146))</f>
        <v/>
      </c>
      <c r="K146" s="27" t="str">
        <f aca="false">IF(B146="","",UPPER(TRIM(B146))&amp;"|"&amp;UPPER(TRIM(D146)))</f>
        <v/>
      </c>
      <c r="L146" s="7" t="str">
        <f aca="false">IF(B146="","",IF(COUNTIF($V$10:$V$309,K146)=0,"Not in 2B — ITC at risk",IF(ABS(J146-SUMIF($V$10:$V$309,K146,$U$10:$U$309))&lt;=1,"Matched","Tax amount differs")))</f>
        <v/>
      </c>
      <c r="N146" s="5"/>
      <c r="O146" s="5"/>
      <c r="P146" s="16"/>
      <c r="Q146" s="17"/>
      <c r="R146" s="17"/>
      <c r="S146" s="17"/>
      <c r="T146" s="17"/>
      <c r="U146" s="21" t="str">
        <f aca="false">IF(N146="","",N(R146)+N(S146)+N(T146))</f>
        <v/>
      </c>
      <c r="V146" s="27" t="str">
        <f aca="false">IF(N146="","",UPPER(TRIM(N146))&amp;"|"&amp;UPPER(TRIM(O146)))</f>
        <v/>
      </c>
      <c r="W146" s="7" t="str">
        <f aca="false">IF(N146="","",IF(COUNTIF($K$10:$K$309,V146)=0,"In 2B, not in books — check &amp; book",IF(ABS(U146-SUMIF($K$10:$K$309,V146,$J$10:$J$309))&lt;=1,"Matched","Tax amount differs")))</f>
        <v/>
      </c>
    </row>
    <row r="147" customFormat="false" ht="15" hidden="false" customHeight="false" outlineLevel="0" collapsed="false">
      <c r="B147" s="5"/>
      <c r="C147" s="5"/>
      <c r="D147" s="5"/>
      <c r="E147" s="16"/>
      <c r="F147" s="17"/>
      <c r="G147" s="17"/>
      <c r="H147" s="17"/>
      <c r="I147" s="17"/>
      <c r="J147" s="21" t="str">
        <f aca="false">IF(B147="","",N(G147)+N(H147)+N(I147))</f>
        <v/>
      </c>
      <c r="K147" s="27" t="str">
        <f aca="false">IF(B147="","",UPPER(TRIM(B147))&amp;"|"&amp;UPPER(TRIM(D147)))</f>
        <v/>
      </c>
      <c r="L147" s="7" t="str">
        <f aca="false">IF(B147="","",IF(COUNTIF($V$10:$V$309,K147)=0,"Not in 2B — ITC at risk",IF(ABS(J147-SUMIF($V$10:$V$309,K147,$U$10:$U$309))&lt;=1,"Matched","Tax amount differs")))</f>
        <v/>
      </c>
      <c r="N147" s="5"/>
      <c r="O147" s="5"/>
      <c r="P147" s="16"/>
      <c r="Q147" s="17"/>
      <c r="R147" s="17"/>
      <c r="S147" s="17"/>
      <c r="T147" s="17"/>
      <c r="U147" s="21" t="str">
        <f aca="false">IF(N147="","",N(R147)+N(S147)+N(T147))</f>
        <v/>
      </c>
      <c r="V147" s="27" t="str">
        <f aca="false">IF(N147="","",UPPER(TRIM(N147))&amp;"|"&amp;UPPER(TRIM(O147)))</f>
        <v/>
      </c>
      <c r="W147" s="7" t="str">
        <f aca="false">IF(N147="","",IF(COUNTIF($K$10:$K$309,V147)=0,"In 2B, not in books — check &amp; book",IF(ABS(U147-SUMIF($K$10:$K$309,V147,$J$10:$J$309))&lt;=1,"Matched","Tax amount differs")))</f>
        <v/>
      </c>
    </row>
    <row r="148" customFormat="false" ht="15" hidden="false" customHeight="false" outlineLevel="0" collapsed="false">
      <c r="B148" s="5"/>
      <c r="C148" s="5"/>
      <c r="D148" s="5"/>
      <c r="E148" s="16"/>
      <c r="F148" s="17"/>
      <c r="G148" s="17"/>
      <c r="H148" s="17"/>
      <c r="I148" s="17"/>
      <c r="J148" s="21" t="str">
        <f aca="false">IF(B148="","",N(G148)+N(H148)+N(I148))</f>
        <v/>
      </c>
      <c r="K148" s="27" t="str">
        <f aca="false">IF(B148="","",UPPER(TRIM(B148))&amp;"|"&amp;UPPER(TRIM(D148)))</f>
        <v/>
      </c>
      <c r="L148" s="7" t="str">
        <f aca="false">IF(B148="","",IF(COUNTIF($V$10:$V$309,K148)=0,"Not in 2B — ITC at risk",IF(ABS(J148-SUMIF($V$10:$V$309,K148,$U$10:$U$309))&lt;=1,"Matched","Tax amount differs")))</f>
        <v/>
      </c>
      <c r="N148" s="5"/>
      <c r="O148" s="5"/>
      <c r="P148" s="16"/>
      <c r="Q148" s="17"/>
      <c r="R148" s="17"/>
      <c r="S148" s="17"/>
      <c r="T148" s="17"/>
      <c r="U148" s="21" t="str">
        <f aca="false">IF(N148="","",N(R148)+N(S148)+N(T148))</f>
        <v/>
      </c>
      <c r="V148" s="27" t="str">
        <f aca="false">IF(N148="","",UPPER(TRIM(N148))&amp;"|"&amp;UPPER(TRIM(O148)))</f>
        <v/>
      </c>
      <c r="W148" s="7" t="str">
        <f aca="false">IF(N148="","",IF(COUNTIF($K$10:$K$309,V148)=0,"In 2B, not in books — check &amp; book",IF(ABS(U148-SUMIF($K$10:$K$309,V148,$J$10:$J$309))&lt;=1,"Matched","Tax amount differs")))</f>
        <v/>
      </c>
    </row>
    <row r="149" customFormat="false" ht="15" hidden="false" customHeight="false" outlineLevel="0" collapsed="false">
      <c r="B149" s="5"/>
      <c r="C149" s="5"/>
      <c r="D149" s="5"/>
      <c r="E149" s="16"/>
      <c r="F149" s="17"/>
      <c r="G149" s="17"/>
      <c r="H149" s="17"/>
      <c r="I149" s="17"/>
      <c r="J149" s="21" t="str">
        <f aca="false">IF(B149="","",N(G149)+N(H149)+N(I149))</f>
        <v/>
      </c>
      <c r="K149" s="27" t="str">
        <f aca="false">IF(B149="","",UPPER(TRIM(B149))&amp;"|"&amp;UPPER(TRIM(D149)))</f>
        <v/>
      </c>
      <c r="L149" s="7" t="str">
        <f aca="false">IF(B149="","",IF(COUNTIF($V$10:$V$309,K149)=0,"Not in 2B — ITC at risk",IF(ABS(J149-SUMIF($V$10:$V$309,K149,$U$10:$U$309))&lt;=1,"Matched","Tax amount differs")))</f>
        <v/>
      </c>
      <c r="N149" s="5"/>
      <c r="O149" s="5"/>
      <c r="P149" s="16"/>
      <c r="Q149" s="17"/>
      <c r="R149" s="17"/>
      <c r="S149" s="17"/>
      <c r="T149" s="17"/>
      <c r="U149" s="21" t="str">
        <f aca="false">IF(N149="","",N(R149)+N(S149)+N(T149))</f>
        <v/>
      </c>
      <c r="V149" s="27" t="str">
        <f aca="false">IF(N149="","",UPPER(TRIM(N149))&amp;"|"&amp;UPPER(TRIM(O149)))</f>
        <v/>
      </c>
      <c r="W149" s="7" t="str">
        <f aca="false">IF(N149="","",IF(COUNTIF($K$10:$K$309,V149)=0,"In 2B, not in books — check &amp; book",IF(ABS(U149-SUMIF($K$10:$K$309,V149,$J$10:$J$309))&lt;=1,"Matched","Tax amount differs")))</f>
        <v/>
      </c>
    </row>
    <row r="150" customFormat="false" ht="15" hidden="false" customHeight="false" outlineLevel="0" collapsed="false">
      <c r="B150" s="5"/>
      <c r="C150" s="5"/>
      <c r="D150" s="5"/>
      <c r="E150" s="16"/>
      <c r="F150" s="17"/>
      <c r="G150" s="17"/>
      <c r="H150" s="17"/>
      <c r="I150" s="17"/>
      <c r="J150" s="21" t="str">
        <f aca="false">IF(B150="","",N(G150)+N(H150)+N(I150))</f>
        <v/>
      </c>
      <c r="K150" s="27" t="str">
        <f aca="false">IF(B150="","",UPPER(TRIM(B150))&amp;"|"&amp;UPPER(TRIM(D150)))</f>
        <v/>
      </c>
      <c r="L150" s="7" t="str">
        <f aca="false">IF(B150="","",IF(COUNTIF($V$10:$V$309,K150)=0,"Not in 2B — ITC at risk",IF(ABS(J150-SUMIF($V$10:$V$309,K150,$U$10:$U$309))&lt;=1,"Matched","Tax amount differs")))</f>
        <v/>
      </c>
      <c r="N150" s="5"/>
      <c r="O150" s="5"/>
      <c r="P150" s="16"/>
      <c r="Q150" s="17"/>
      <c r="R150" s="17"/>
      <c r="S150" s="17"/>
      <c r="T150" s="17"/>
      <c r="U150" s="21" t="str">
        <f aca="false">IF(N150="","",N(R150)+N(S150)+N(T150))</f>
        <v/>
      </c>
      <c r="V150" s="27" t="str">
        <f aca="false">IF(N150="","",UPPER(TRIM(N150))&amp;"|"&amp;UPPER(TRIM(O150)))</f>
        <v/>
      </c>
      <c r="W150" s="7" t="str">
        <f aca="false">IF(N150="","",IF(COUNTIF($K$10:$K$309,V150)=0,"In 2B, not in books — check &amp; book",IF(ABS(U150-SUMIF($K$10:$K$309,V150,$J$10:$J$309))&lt;=1,"Matched","Tax amount differs")))</f>
        <v/>
      </c>
    </row>
    <row r="151" customFormat="false" ht="15" hidden="false" customHeight="false" outlineLevel="0" collapsed="false">
      <c r="B151" s="5"/>
      <c r="C151" s="5"/>
      <c r="D151" s="5"/>
      <c r="E151" s="16"/>
      <c r="F151" s="17"/>
      <c r="G151" s="17"/>
      <c r="H151" s="17"/>
      <c r="I151" s="17"/>
      <c r="J151" s="21" t="str">
        <f aca="false">IF(B151="","",N(G151)+N(H151)+N(I151))</f>
        <v/>
      </c>
      <c r="K151" s="27" t="str">
        <f aca="false">IF(B151="","",UPPER(TRIM(B151))&amp;"|"&amp;UPPER(TRIM(D151)))</f>
        <v/>
      </c>
      <c r="L151" s="7" t="str">
        <f aca="false">IF(B151="","",IF(COUNTIF($V$10:$V$309,K151)=0,"Not in 2B — ITC at risk",IF(ABS(J151-SUMIF($V$10:$V$309,K151,$U$10:$U$309))&lt;=1,"Matched","Tax amount differs")))</f>
        <v/>
      </c>
      <c r="N151" s="5"/>
      <c r="O151" s="5"/>
      <c r="P151" s="16"/>
      <c r="Q151" s="17"/>
      <c r="R151" s="17"/>
      <c r="S151" s="17"/>
      <c r="T151" s="17"/>
      <c r="U151" s="21" t="str">
        <f aca="false">IF(N151="","",N(R151)+N(S151)+N(T151))</f>
        <v/>
      </c>
      <c r="V151" s="27" t="str">
        <f aca="false">IF(N151="","",UPPER(TRIM(N151))&amp;"|"&amp;UPPER(TRIM(O151)))</f>
        <v/>
      </c>
      <c r="W151" s="7" t="str">
        <f aca="false">IF(N151="","",IF(COUNTIF($K$10:$K$309,V151)=0,"In 2B, not in books — check &amp; book",IF(ABS(U151-SUMIF($K$10:$K$309,V151,$J$10:$J$309))&lt;=1,"Matched","Tax amount differs")))</f>
        <v/>
      </c>
    </row>
    <row r="152" customFormat="false" ht="15" hidden="false" customHeight="false" outlineLevel="0" collapsed="false">
      <c r="B152" s="5"/>
      <c r="C152" s="5"/>
      <c r="D152" s="5"/>
      <c r="E152" s="16"/>
      <c r="F152" s="17"/>
      <c r="G152" s="17"/>
      <c r="H152" s="17"/>
      <c r="I152" s="17"/>
      <c r="J152" s="21" t="str">
        <f aca="false">IF(B152="","",N(G152)+N(H152)+N(I152))</f>
        <v/>
      </c>
      <c r="K152" s="27" t="str">
        <f aca="false">IF(B152="","",UPPER(TRIM(B152))&amp;"|"&amp;UPPER(TRIM(D152)))</f>
        <v/>
      </c>
      <c r="L152" s="7" t="str">
        <f aca="false">IF(B152="","",IF(COUNTIF($V$10:$V$309,K152)=0,"Not in 2B — ITC at risk",IF(ABS(J152-SUMIF($V$10:$V$309,K152,$U$10:$U$309))&lt;=1,"Matched","Tax amount differs")))</f>
        <v/>
      </c>
      <c r="N152" s="5"/>
      <c r="O152" s="5"/>
      <c r="P152" s="16"/>
      <c r="Q152" s="17"/>
      <c r="R152" s="17"/>
      <c r="S152" s="17"/>
      <c r="T152" s="17"/>
      <c r="U152" s="21" t="str">
        <f aca="false">IF(N152="","",N(R152)+N(S152)+N(T152))</f>
        <v/>
      </c>
      <c r="V152" s="27" t="str">
        <f aca="false">IF(N152="","",UPPER(TRIM(N152))&amp;"|"&amp;UPPER(TRIM(O152)))</f>
        <v/>
      </c>
      <c r="W152" s="7" t="str">
        <f aca="false">IF(N152="","",IF(COUNTIF($K$10:$K$309,V152)=0,"In 2B, not in books — check &amp; book",IF(ABS(U152-SUMIF($K$10:$K$309,V152,$J$10:$J$309))&lt;=1,"Matched","Tax amount differs")))</f>
        <v/>
      </c>
    </row>
    <row r="153" customFormat="false" ht="15" hidden="false" customHeight="false" outlineLevel="0" collapsed="false">
      <c r="B153" s="5"/>
      <c r="C153" s="5"/>
      <c r="D153" s="5"/>
      <c r="E153" s="16"/>
      <c r="F153" s="17"/>
      <c r="G153" s="17"/>
      <c r="H153" s="17"/>
      <c r="I153" s="17"/>
      <c r="J153" s="21" t="str">
        <f aca="false">IF(B153="","",N(G153)+N(H153)+N(I153))</f>
        <v/>
      </c>
      <c r="K153" s="27" t="str">
        <f aca="false">IF(B153="","",UPPER(TRIM(B153))&amp;"|"&amp;UPPER(TRIM(D153)))</f>
        <v/>
      </c>
      <c r="L153" s="7" t="str">
        <f aca="false">IF(B153="","",IF(COUNTIF($V$10:$V$309,K153)=0,"Not in 2B — ITC at risk",IF(ABS(J153-SUMIF($V$10:$V$309,K153,$U$10:$U$309))&lt;=1,"Matched","Tax amount differs")))</f>
        <v/>
      </c>
      <c r="N153" s="5"/>
      <c r="O153" s="5"/>
      <c r="P153" s="16"/>
      <c r="Q153" s="17"/>
      <c r="R153" s="17"/>
      <c r="S153" s="17"/>
      <c r="T153" s="17"/>
      <c r="U153" s="21" t="str">
        <f aca="false">IF(N153="","",N(R153)+N(S153)+N(T153))</f>
        <v/>
      </c>
      <c r="V153" s="27" t="str">
        <f aca="false">IF(N153="","",UPPER(TRIM(N153))&amp;"|"&amp;UPPER(TRIM(O153)))</f>
        <v/>
      </c>
      <c r="W153" s="7" t="str">
        <f aca="false">IF(N153="","",IF(COUNTIF($K$10:$K$309,V153)=0,"In 2B, not in books — check &amp; book",IF(ABS(U153-SUMIF($K$10:$K$309,V153,$J$10:$J$309))&lt;=1,"Matched","Tax amount differs")))</f>
        <v/>
      </c>
    </row>
    <row r="154" customFormat="false" ht="15" hidden="false" customHeight="false" outlineLevel="0" collapsed="false">
      <c r="B154" s="5"/>
      <c r="C154" s="5"/>
      <c r="D154" s="5"/>
      <c r="E154" s="16"/>
      <c r="F154" s="17"/>
      <c r="G154" s="17"/>
      <c r="H154" s="17"/>
      <c r="I154" s="17"/>
      <c r="J154" s="21" t="str">
        <f aca="false">IF(B154="","",N(G154)+N(H154)+N(I154))</f>
        <v/>
      </c>
      <c r="K154" s="27" t="str">
        <f aca="false">IF(B154="","",UPPER(TRIM(B154))&amp;"|"&amp;UPPER(TRIM(D154)))</f>
        <v/>
      </c>
      <c r="L154" s="7" t="str">
        <f aca="false">IF(B154="","",IF(COUNTIF($V$10:$V$309,K154)=0,"Not in 2B — ITC at risk",IF(ABS(J154-SUMIF($V$10:$V$309,K154,$U$10:$U$309))&lt;=1,"Matched","Tax amount differs")))</f>
        <v/>
      </c>
      <c r="N154" s="5"/>
      <c r="O154" s="5"/>
      <c r="P154" s="16"/>
      <c r="Q154" s="17"/>
      <c r="R154" s="17"/>
      <c r="S154" s="17"/>
      <c r="T154" s="17"/>
      <c r="U154" s="21" t="str">
        <f aca="false">IF(N154="","",N(R154)+N(S154)+N(T154))</f>
        <v/>
      </c>
      <c r="V154" s="27" t="str">
        <f aca="false">IF(N154="","",UPPER(TRIM(N154))&amp;"|"&amp;UPPER(TRIM(O154)))</f>
        <v/>
      </c>
      <c r="W154" s="7" t="str">
        <f aca="false">IF(N154="","",IF(COUNTIF($K$10:$K$309,V154)=0,"In 2B, not in books — check &amp; book",IF(ABS(U154-SUMIF($K$10:$K$309,V154,$J$10:$J$309))&lt;=1,"Matched","Tax amount differs")))</f>
        <v/>
      </c>
    </row>
    <row r="155" customFormat="false" ht="15" hidden="false" customHeight="false" outlineLevel="0" collapsed="false">
      <c r="B155" s="5"/>
      <c r="C155" s="5"/>
      <c r="D155" s="5"/>
      <c r="E155" s="16"/>
      <c r="F155" s="17"/>
      <c r="G155" s="17"/>
      <c r="H155" s="17"/>
      <c r="I155" s="17"/>
      <c r="J155" s="21" t="str">
        <f aca="false">IF(B155="","",N(G155)+N(H155)+N(I155))</f>
        <v/>
      </c>
      <c r="K155" s="27" t="str">
        <f aca="false">IF(B155="","",UPPER(TRIM(B155))&amp;"|"&amp;UPPER(TRIM(D155)))</f>
        <v/>
      </c>
      <c r="L155" s="7" t="str">
        <f aca="false">IF(B155="","",IF(COUNTIF($V$10:$V$309,K155)=0,"Not in 2B — ITC at risk",IF(ABS(J155-SUMIF($V$10:$V$309,K155,$U$10:$U$309))&lt;=1,"Matched","Tax amount differs")))</f>
        <v/>
      </c>
      <c r="N155" s="5"/>
      <c r="O155" s="5"/>
      <c r="P155" s="16"/>
      <c r="Q155" s="17"/>
      <c r="R155" s="17"/>
      <c r="S155" s="17"/>
      <c r="T155" s="17"/>
      <c r="U155" s="21" t="str">
        <f aca="false">IF(N155="","",N(R155)+N(S155)+N(T155))</f>
        <v/>
      </c>
      <c r="V155" s="27" t="str">
        <f aca="false">IF(N155="","",UPPER(TRIM(N155))&amp;"|"&amp;UPPER(TRIM(O155)))</f>
        <v/>
      </c>
      <c r="W155" s="7" t="str">
        <f aca="false">IF(N155="","",IF(COUNTIF($K$10:$K$309,V155)=0,"In 2B, not in books — check &amp; book",IF(ABS(U155-SUMIF($K$10:$K$309,V155,$J$10:$J$309))&lt;=1,"Matched","Tax amount differs")))</f>
        <v/>
      </c>
    </row>
    <row r="156" customFormat="false" ht="15" hidden="false" customHeight="false" outlineLevel="0" collapsed="false">
      <c r="B156" s="5"/>
      <c r="C156" s="5"/>
      <c r="D156" s="5"/>
      <c r="E156" s="16"/>
      <c r="F156" s="17"/>
      <c r="G156" s="17"/>
      <c r="H156" s="17"/>
      <c r="I156" s="17"/>
      <c r="J156" s="21" t="str">
        <f aca="false">IF(B156="","",N(G156)+N(H156)+N(I156))</f>
        <v/>
      </c>
      <c r="K156" s="27" t="str">
        <f aca="false">IF(B156="","",UPPER(TRIM(B156))&amp;"|"&amp;UPPER(TRIM(D156)))</f>
        <v/>
      </c>
      <c r="L156" s="7" t="str">
        <f aca="false">IF(B156="","",IF(COUNTIF($V$10:$V$309,K156)=0,"Not in 2B — ITC at risk",IF(ABS(J156-SUMIF($V$10:$V$309,K156,$U$10:$U$309))&lt;=1,"Matched","Tax amount differs")))</f>
        <v/>
      </c>
      <c r="N156" s="5"/>
      <c r="O156" s="5"/>
      <c r="P156" s="16"/>
      <c r="Q156" s="17"/>
      <c r="R156" s="17"/>
      <c r="S156" s="17"/>
      <c r="T156" s="17"/>
      <c r="U156" s="21" t="str">
        <f aca="false">IF(N156="","",N(R156)+N(S156)+N(T156))</f>
        <v/>
      </c>
      <c r="V156" s="27" t="str">
        <f aca="false">IF(N156="","",UPPER(TRIM(N156))&amp;"|"&amp;UPPER(TRIM(O156)))</f>
        <v/>
      </c>
      <c r="W156" s="7" t="str">
        <f aca="false">IF(N156="","",IF(COUNTIF($K$10:$K$309,V156)=0,"In 2B, not in books — check &amp; book",IF(ABS(U156-SUMIF($K$10:$K$309,V156,$J$10:$J$309))&lt;=1,"Matched","Tax amount differs")))</f>
        <v/>
      </c>
    </row>
    <row r="157" customFormat="false" ht="15" hidden="false" customHeight="false" outlineLevel="0" collapsed="false">
      <c r="B157" s="5"/>
      <c r="C157" s="5"/>
      <c r="D157" s="5"/>
      <c r="E157" s="16"/>
      <c r="F157" s="17"/>
      <c r="G157" s="17"/>
      <c r="H157" s="17"/>
      <c r="I157" s="17"/>
      <c r="J157" s="21" t="str">
        <f aca="false">IF(B157="","",N(G157)+N(H157)+N(I157))</f>
        <v/>
      </c>
      <c r="K157" s="27" t="str">
        <f aca="false">IF(B157="","",UPPER(TRIM(B157))&amp;"|"&amp;UPPER(TRIM(D157)))</f>
        <v/>
      </c>
      <c r="L157" s="7" t="str">
        <f aca="false">IF(B157="","",IF(COUNTIF($V$10:$V$309,K157)=0,"Not in 2B — ITC at risk",IF(ABS(J157-SUMIF($V$10:$V$309,K157,$U$10:$U$309))&lt;=1,"Matched","Tax amount differs")))</f>
        <v/>
      </c>
      <c r="N157" s="5"/>
      <c r="O157" s="5"/>
      <c r="P157" s="16"/>
      <c r="Q157" s="17"/>
      <c r="R157" s="17"/>
      <c r="S157" s="17"/>
      <c r="T157" s="17"/>
      <c r="U157" s="21" t="str">
        <f aca="false">IF(N157="","",N(R157)+N(S157)+N(T157))</f>
        <v/>
      </c>
      <c r="V157" s="27" t="str">
        <f aca="false">IF(N157="","",UPPER(TRIM(N157))&amp;"|"&amp;UPPER(TRIM(O157)))</f>
        <v/>
      </c>
      <c r="W157" s="7" t="str">
        <f aca="false">IF(N157="","",IF(COUNTIF($K$10:$K$309,V157)=0,"In 2B, not in books — check &amp; book",IF(ABS(U157-SUMIF($K$10:$K$309,V157,$J$10:$J$309))&lt;=1,"Matched","Tax amount differs")))</f>
        <v/>
      </c>
    </row>
    <row r="158" customFormat="false" ht="15" hidden="false" customHeight="false" outlineLevel="0" collapsed="false">
      <c r="B158" s="5"/>
      <c r="C158" s="5"/>
      <c r="D158" s="5"/>
      <c r="E158" s="16"/>
      <c r="F158" s="17"/>
      <c r="G158" s="17"/>
      <c r="H158" s="17"/>
      <c r="I158" s="17"/>
      <c r="J158" s="21" t="str">
        <f aca="false">IF(B158="","",N(G158)+N(H158)+N(I158))</f>
        <v/>
      </c>
      <c r="K158" s="27" t="str">
        <f aca="false">IF(B158="","",UPPER(TRIM(B158))&amp;"|"&amp;UPPER(TRIM(D158)))</f>
        <v/>
      </c>
      <c r="L158" s="7" t="str">
        <f aca="false">IF(B158="","",IF(COUNTIF($V$10:$V$309,K158)=0,"Not in 2B — ITC at risk",IF(ABS(J158-SUMIF($V$10:$V$309,K158,$U$10:$U$309))&lt;=1,"Matched","Tax amount differs")))</f>
        <v/>
      </c>
      <c r="N158" s="5"/>
      <c r="O158" s="5"/>
      <c r="P158" s="16"/>
      <c r="Q158" s="17"/>
      <c r="R158" s="17"/>
      <c r="S158" s="17"/>
      <c r="T158" s="17"/>
      <c r="U158" s="21" t="str">
        <f aca="false">IF(N158="","",N(R158)+N(S158)+N(T158))</f>
        <v/>
      </c>
      <c r="V158" s="27" t="str">
        <f aca="false">IF(N158="","",UPPER(TRIM(N158))&amp;"|"&amp;UPPER(TRIM(O158)))</f>
        <v/>
      </c>
      <c r="W158" s="7" t="str">
        <f aca="false">IF(N158="","",IF(COUNTIF($K$10:$K$309,V158)=0,"In 2B, not in books — check &amp; book",IF(ABS(U158-SUMIF($K$10:$K$309,V158,$J$10:$J$309))&lt;=1,"Matched","Tax amount differs")))</f>
        <v/>
      </c>
    </row>
    <row r="159" customFormat="false" ht="15" hidden="false" customHeight="false" outlineLevel="0" collapsed="false">
      <c r="B159" s="5"/>
      <c r="C159" s="5"/>
      <c r="D159" s="5"/>
      <c r="E159" s="16"/>
      <c r="F159" s="17"/>
      <c r="G159" s="17"/>
      <c r="H159" s="17"/>
      <c r="I159" s="17"/>
      <c r="J159" s="21" t="str">
        <f aca="false">IF(B159="","",N(G159)+N(H159)+N(I159))</f>
        <v/>
      </c>
      <c r="K159" s="27" t="str">
        <f aca="false">IF(B159="","",UPPER(TRIM(B159))&amp;"|"&amp;UPPER(TRIM(D159)))</f>
        <v/>
      </c>
      <c r="L159" s="7" t="str">
        <f aca="false">IF(B159="","",IF(COUNTIF($V$10:$V$309,K159)=0,"Not in 2B — ITC at risk",IF(ABS(J159-SUMIF($V$10:$V$309,K159,$U$10:$U$309))&lt;=1,"Matched","Tax amount differs")))</f>
        <v/>
      </c>
      <c r="N159" s="5"/>
      <c r="O159" s="5"/>
      <c r="P159" s="16"/>
      <c r="Q159" s="17"/>
      <c r="R159" s="17"/>
      <c r="S159" s="17"/>
      <c r="T159" s="17"/>
      <c r="U159" s="21" t="str">
        <f aca="false">IF(N159="","",N(R159)+N(S159)+N(T159))</f>
        <v/>
      </c>
      <c r="V159" s="27" t="str">
        <f aca="false">IF(N159="","",UPPER(TRIM(N159))&amp;"|"&amp;UPPER(TRIM(O159)))</f>
        <v/>
      </c>
      <c r="W159" s="7" t="str">
        <f aca="false">IF(N159="","",IF(COUNTIF($K$10:$K$309,V159)=0,"In 2B, not in books — check &amp; book",IF(ABS(U159-SUMIF($K$10:$K$309,V159,$J$10:$J$309))&lt;=1,"Matched","Tax amount differs")))</f>
        <v/>
      </c>
    </row>
    <row r="160" customFormat="false" ht="15" hidden="false" customHeight="false" outlineLevel="0" collapsed="false">
      <c r="B160" s="5"/>
      <c r="C160" s="5"/>
      <c r="D160" s="5"/>
      <c r="E160" s="16"/>
      <c r="F160" s="17"/>
      <c r="G160" s="17"/>
      <c r="H160" s="17"/>
      <c r="I160" s="17"/>
      <c r="J160" s="21" t="str">
        <f aca="false">IF(B160="","",N(G160)+N(H160)+N(I160))</f>
        <v/>
      </c>
      <c r="K160" s="27" t="str">
        <f aca="false">IF(B160="","",UPPER(TRIM(B160))&amp;"|"&amp;UPPER(TRIM(D160)))</f>
        <v/>
      </c>
      <c r="L160" s="7" t="str">
        <f aca="false">IF(B160="","",IF(COUNTIF($V$10:$V$309,K160)=0,"Not in 2B — ITC at risk",IF(ABS(J160-SUMIF($V$10:$V$309,K160,$U$10:$U$309))&lt;=1,"Matched","Tax amount differs")))</f>
        <v/>
      </c>
      <c r="N160" s="5"/>
      <c r="O160" s="5"/>
      <c r="P160" s="16"/>
      <c r="Q160" s="17"/>
      <c r="R160" s="17"/>
      <c r="S160" s="17"/>
      <c r="T160" s="17"/>
      <c r="U160" s="21" t="str">
        <f aca="false">IF(N160="","",N(R160)+N(S160)+N(T160))</f>
        <v/>
      </c>
      <c r="V160" s="27" t="str">
        <f aca="false">IF(N160="","",UPPER(TRIM(N160))&amp;"|"&amp;UPPER(TRIM(O160)))</f>
        <v/>
      </c>
      <c r="W160" s="7" t="str">
        <f aca="false">IF(N160="","",IF(COUNTIF($K$10:$K$309,V160)=0,"In 2B, not in books — check &amp; book",IF(ABS(U160-SUMIF($K$10:$K$309,V160,$J$10:$J$309))&lt;=1,"Matched","Tax amount differs")))</f>
        <v/>
      </c>
    </row>
    <row r="161" customFormat="false" ht="15" hidden="false" customHeight="false" outlineLevel="0" collapsed="false">
      <c r="B161" s="5"/>
      <c r="C161" s="5"/>
      <c r="D161" s="5"/>
      <c r="E161" s="16"/>
      <c r="F161" s="17"/>
      <c r="G161" s="17"/>
      <c r="H161" s="17"/>
      <c r="I161" s="17"/>
      <c r="J161" s="21" t="str">
        <f aca="false">IF(B161="","",N(G161)+N(H161)+N(I161))</f>
        <v/>
      </c>
      <c r="K161" s="27" t="str">
        <f aca="false">IF(B161="","",UPPER(TRIM(B161))&amp;"|"&amp;UPPER(TRIM(D161)))</f>
        <v/>
      </c>
      <c r="L161" s="7" t="str">
        <f aca="false">IF(B161="","",IF(COUNTIF($V$10:$V$309,K161)=0,"Not in 2B — ITC at risk",IF(ABS(J161-SUMIF($V$10:$V$309,K161,$U$10:$U$309))&lt;=1,"Matched","Tax amount differs")))</f>
        <v/>
      </c>
      <c r="N161" s="5"/>
      <c r="O161" s="5"/>
      <c r="P161" s="16"/>
      <c r="Q161" s="17"/>
      <c r="R161" s="17"/>
      <c r="S161" s="17"/>
      <c r="T161" s="17"/>
      <c r="U161" s="21" t="str">
        <f aca="false">IF(N161="","",N(R161)+N(S161)+N(T161))</f>
        <v/>
      </c>
      <c r="V161" s="27" t="str">
        <f aca="false">IF(N161="","",UPPER(TRIM(N161))&amp;"|"&amp;UPPER(TRIM(O161)))</f>
        <v/>
      </c>
      <c r="W161" s="7" t="str">
        <f aca="false">IF(N161="","",IF(COUNTIF($K$10:$K$309,V161)=0,"In 2B, not in books — check &amp; book",IF(ABS(U161-SUMIF($K$10:$K$309,V161,$J$10:$J$309))&lt;=1,"Matched","Tax amount differs")))</f>
        <v/>
      </c>
    </row>
    <row r="162" customFormat="false" ht="15" hidden="false" customHeight="false" outlineLevel="0" collapsed="false">
      <c r="B162" s="5"/>
      <c r="C162" s="5"/>
      <c r="D162" s="5"/>
      <c r="E162" s="16"/>
      <c r="F162" s="17"/>
      <c r="G162" s="17"/>
      <c r="H162" s="17"/>
      <c r="I162" s="17"/>
      <c r="J162" s="21" t="str">
        <f aca="false">IF(B162="","",N(G162)+N(H162)+N(I162))</f>
        <v/>
      </c>
      <c r="K162" s="27" t="str">
        <f aca="false">IF(B162="","",UPPER(TRIM(B162))&amp;"|"&amp;UPPER(TRIM(D162)))</f>
        <v/>
      </c>
      <c r="L162" s="7" t="str">
        <f aca="false">IF(B162="","",IF(COUNTIF($V$10:$V$309,K162)=0,"Not in 2B — ITC at risk",IF(ABS(J162-SUMIF($V$10:$V$309,K162,$U$10:$U$309))&lt;=1,"Matched","Tax amount differs")))</f>
        <v/>
      </c>
      <c r="N162" s="5"/>
      <c r="O162" s="5"/>
      <c r="P162" s="16"/>
      <c r="Q162" s="17"/>
      <c r="R162" s="17"/>
      <c r="S162" s="17"/>
      <c r="T162" s="17"/>
      <c r="U162" s="21" t="str">
        <f aca="false">IF(N162="","",N(R162)+N(S162)+N(T162))</f>
        <v/>
      </c>
      <c r="V162" s="27" t="str">
        <f aca="false">IF(N162="","",UPPER(TRIM(N162))&amp;"|"&amp;UPPER(TRIM(O162)))</f>
        <v/>
      </c>
      <c r="W162" s="7" t="str">
        <f aca="false">IF(N162="","",IF(COUNTIF($K$10:$K$309,V162)=0,"In 2B, not in books — check &amp; book",IF(ABS(U162-SUMIF($K$10:$K$309,V162,$J$10:$J$309))&lt;=1,"Matched","Tax amount differs")))</f>
        <v/>
      </c>
    </row>
    <row r="163" customFormat="false" ht="15" hidden="false" customHeight="false" outlineLevel="0" collapsed="false">
      <c r="B163" s="5"/>
      <c r="C163" s="5"/>
      <c r="D163" s="5"/>
      <c r="E163" s="16"/>
      <c r="F163" s="17"/>
      <c r="G163" s="17"/>
      <c r="H163" s="17"/>
      <c r="I163" s="17"/>
      <c r="J163" s="21" t="str">
        <f aca="false">IF(B163="","",N(G163)+N(H163)+N(I163))</f>
        <v/>
      </c>
      <c r="K163" s="27" t="str">
        <f aca="false">IF(B163="","",UPPER(TRIM(B163))&amp;"|"&amp;UPPER(TRIM(D163)))</f>
        <v/>
      </c>
      <c r="L163" s="7" t="str">
        <f aca="false">IF(B163="","",IF(COUNTIF($V$10:$V$309,K163)=0,"Not in 2B — ITC at risk",IF(ABS(J163-SUMIF($V$10:$V$309,K163,$U$10:$U$309))&lt;=1,"Matched","Tax amount differs")))</f>
        <v/>
      </c>
      <c r="N163" s="5"/>
      <c r="O163" s="5"/>
      <c r="P163" s="16"/>
      <c r="Q163" s="17"/>
      <c r="R163" s="17"/>
      <c r="S163" s="17"/>
      <c r="T163" s="17"/>
      <c r="U163" s="21" t="str">
        <f aca="false">IF(N163="","",N(R163)+N(S163)+N(T163))</f>
        <v/>
      </c>
      <c r="V163" s="27" t="str">
        <f aca="false">IF(N163="","",UPPER(TRIM(N163))&amp;"|"&amp;UPPER(TRIM(O163)))</f>
        <v/>
      </c>
      <c r="W163" s="7" t="str">
        <f aca="false">IF(N163="","",IF(COUNTIF($K$10:$K$309,V163)=0,"In 2B, not in books — check &amp; book",IF(ABS(U163-SUMIF($K$10:$K$309,V163,$J$10:$J$309))&lt;=1,"Matched","Tax amount differs")))</f>
        <v/>
      </c>
    </row>
    <row r="164" customFormat="false" ht="15" hidden="false" customHeight="false" outlineLevel="0" collapsed="false">
      <c r="B164" s="5"/>
      <c r="C164" s="5"/>
      <c r="D164" s="5"/>
      <c r="E164" s="16"/>
      <c r="F164" s="17"/>
      <c r="G164" s="17"/>
      <c r="H164" s="17"/>
      <c r="I164" s="17"/>
      <c r="J164" s="21" t="str">
        <f aca="false">IF(B164="","",N(G164)+N(H164)+N(I164))</f>
        <v/>
      </c>
      <c r="K164" s="27" t="str">
        <f aca="false">IF(B164="","",UPPER(TRIM(B164))&amp;"|"&amp;UPPER(TRIM(D164)))</f>
        <v/>
      </c>
      <c r="L164" s="7" t="str">
        <f aca="false">IF(B164="","",IF(COUNTIF($V$10:$V$309,K164)=0,"Not in 2B — ITC at risk",IF(ABS(J164-SUMIF($V$10:$V$309,K164,$U$10:$U$309))&lt;=1,"Matched","Tax amount differs")))</f>
        <v/>
      </c>
      <c r="N164" s="5"/>
      <c r="O164" s="5"/>
      <c r="P164" s="16"/>
      <c r="Q164" s="17"/>
      <c r="R164" s="17"/>
      <c r="S164" s="17"/>
      <c r="T164" s="17"/>
      <c r="U164" s="21" t="str">
        <f aca="false">IF(N164="","",N(R164)+N(S164)+N(T164))</f>
        <v/>
      </c>
      <c r="V164" s="27" t="str">
        <f aca="false">IF(N164="","",UPPER(TRIM(N164))&amp;"|"&amp;UPPER(TRIM(O164)))</f>
        <v/>
      </c>
      <c r="W164" s="7" t="str">
        <f aca="false">IF(N164="","",IF(COUNTIF($K$10:$K$309,V164)=0,"In 2B, not in books — check &amp; book",IF(ABS(U164-SUMIF($K$10:$K$309,V164,$J$10:$J$309))&lt;=1,"Matched","Tax amount differs")))</f>
        <v/>
      </c>
    </row>
    <row r="165" customFormat="false" ht="15" hidden="false" customHeight="false" outlineLevel="0" collapsed="false">
      <c r="B165" s="5"/>
      <c r="C165" s="5"/>
      <c r="D165" s="5"/>
      <c r="E165" s="16"/>
      <c r="F165" s="17"/>
      <c r="G165" s="17"/>
      <c r="H165" s="17"/>
      <c r="I165" s="17"/>
      <c r="J165" s="21" t="str">
        <f aca="false">IF(B165="","",N(G165)+N(H165)+N(I165))</f>
        <v/>
      </c>
      <c r="K165" s="27" t="str">
        <f aca="false">IF(B165="","",UPPER(TRIM(B165))&amp;"|"&amp;UPPER(TRIM(D165)))</f>
        <v/>
      </c>
      <c r="L165" s="7" t="str">
        <f aca="false">IF(B165="","",IF(COUNTIF($V$10:$V$309,K165)=0,"Not in 2B — ITC at risk",IF(ABS(J165-SUMIF($V$10:$V$309,K165,$U$10:$U$309))&lt;=1,"Matched","Tax amount differs")))</f>
        <v/>
      </c>
      <c r="N165" s="5"/>
      <c r="O165" s="5"/>
      <c r="P165" s="16"/>
      <c r="Q165" s="17"/>
      <c r="R165" s="17"/>
      <c r="S165" s="17"/>
      <c r="T165" s="17"/>
      <c r="U165" s="21" t="str">
        <f aca="false">IF(N165="","",N(R165)+N(S165)+N(T165))</f>
        <v/>
      </c>
      <c r="V165" s="27" t="str">
        <f aca="false">IF(N165="","",UPPER(TRIM(N165))&amp;"|"&amp;UPPER(TRIM(O165)))</f>
        <v/>
      </c>
      <c r="W165" s="7" t="str">
        <f aca="false">IF(N165="","",IF(COUNTIF($K$10:$K$309,V165)=0,"In 2B, not in books — check &amp; book",IF(ABS(U165-SUMIF($K$10:$K$309,V165,$J$10:$J$309))&lt;=1,"Matched","Tax amount differs")))</f>
        <v/>
      </c>
    </row>
    <row r="166" customFormat="false" ht="15" hidden="false" customHeight="false" outlineLevel="0" collapsed="false">
      <c r="B166" s="5"/>
      <c r="C166" s="5"/>
      <c r="D166" s="5"/>
      <c r="E166" s="16"/>
      <c r="F166" s="17"/>
      <c r="G166" s="17"/>
      <c r="H166" s="17"/>
      <c r="I166" s="17"/>
      <c r="J166" s="21" t="str">
        <f aca="false">IF(B166="","",N(G166)+N(H166)+N(I166))</f>
        <v/>
      </c>
      <c r="K166" s="27" t="str">
        <f aca="false">IF(B166="","",UPPER(TRIM(B166))&amp;"|"&amp;UPPER(TRIM(D166)))</f>
        <v/>
      </c>
      <c r="L166" s="7" t="str">
        <f aca="false">IF(B166="","",IF(COUNTIF($V$10:$V$309,K166)=0,"Not in 2B — ITC at risk",IF(ABS(J166-SUMIF($V$10:$V$309,K166,$U$10:$U$309))&lt;=1,"Matched","Tax amount differs")))</f>
        <v/>
      </c>
      <c r="N166" s="5"/>
      <c r="O166" s="5"/>
      <c r="P166" s="16"/>
      <c r="Q166" s="17"/>
      <c r="R166" s="17"/>
      <c r="S166" s="17"/>
      <c r="T166" s="17"/>
      <c r="U166" s="21" t="str">
        <f aca="false">IF(N166="","",N(R166)+N(S166)+N(T166))</f>
        <v/>
      </c>
      <c r="V166" s="27" t="str">
        <f aca="false">IF(N166="","",UPPER(TRIM(N166))&amp;"|"&amp;UPPER(TRIM(O166)))</f>
        <v/>
      </c>
      <c r="W166" s="7" t="str">
        <f aca="false">IF(N166="","",IF(COUNTIF($K$10:$K$309,V166)=0,"In 2B, not in books — check &amp; book",IF(ABS(U166-SUMIF($K$10:$K$309,V166,$J$10:$J$309))&lt;=1,"Matched","Tax amount differs")))</f>
        <v/>
      </c>
    </row>
    <row r="167" customFormat="false" ht="15" hidden="false" customHeight="false" outlineLevel="0" collapsed="false">
      <c r="B167" s="5"/>
      <c r="C167" s="5"/>
      <c r="D167" s="5"/>
      <c r="E167" s="16"/>
      <c r="F167" s="17"/>
      <c r="G167" s="17"/>
      <c r="H167" s="17"/>
      <c r="I167" s="17"/>
      <c r="J167" s="21" t="str">
        <f aca="false">IF(B167="","",N(G167)+N(H167)+N(I167))</f>
        <v/>
      </c>
      <c r="K167" s="27" t="str">
        <f aca="false">IF(B167="","",UPPER(TRIM(B167))&amp;"|"&amp;UPPER(TRIM(D167)))</f>
        <v/>
      </c>
      <c r="L167" s="7" t="str">
        <f aca="false">IF(B167="","",IF(COUNTIF($V$10:$V$309,K167)=0,"Not in 2B — ITC at risk",IF(ABS(J167-SUMIF($V$10:$V$309,K167,$U$10:$U$309))&lt;=1,"Matched","Tax amount differs")))</f>
        <v/>
      </c>
      <c r="N167" s="5"/>
      <c r="O167" s="5"/>
      <c r="P167" s="16"/>
      <c r="Q167" s="17"/>
      <c r="R167" s="17"/>
      <c r="S167" s="17"/>
      <c r="T167" s="17"/>
      <c r="U167" s="21" t="str">
        <f aca="false">IF(N167="","",N(R167)+N(S167)+N(T167))</f>
        <v/>
      </c>
      <c r="V167" s="27" t="str">
        <f aca="false">IF(N167="","",UPPER(TRIM(N167))&amp;"|"&amp;UPPER(TRIM(O167)))</f>
        <v/>
      </c>
      <c r="W167" s="7" t="str">
        <f aca="false">IF(N167="","",IF(COUNTIF($K$10:$K$309,V167)=0,"In 2B, not in books — check &amp; book",IF(ABS(U167-SUMIF($K$10:$K$309,V167,$J$10:$J$309))&lt;=1,"Matched","Tax amount differs")))</f>
        <v/>
      </c>
    </row>
    <row r="168" customFormat="false" ht="15" hidden="false" customHeight="false" outlineLevel="0" collapsed="false">
      <c r="B168" s="5"/>
      <c r="C168" s="5"/>
      <c r="D168" s="5"/>
      <c r="E168" s="16"/>
      <c r="F168" s="17"/>
      <c r="G168" s="17"/>
      <c r="H168" s="17"/>
      <c r="I168" s="17"/>
      <c r="J168" s="21" t="str">
        <f aca="false">IF(B168="","",N(G168)+N(H168)+N(I168))</f>
        <v/>
      </c>
      <c r="K168" s="27" t="str">
        <f aca="false">IF(B168="","",UPPER(TRIM(B168))&amp;"|"&amp;UPPER(TRIM(D168)))</f>
        <v/>
      </c>
      <c r="L168" s="7" t="str">
        <f aca="false">IF(B168="","",IF(COUNTIF($V$10:$V$309,K168)=0,"Not in 2B — ITC at risk",IF(ABS(J168-SUMIF($V$10:$V$309,K168,$U$10:$U$309))&lt;=1,"Matched","Tax amount differs")))</f>
        <v/>
      </c>
      <c r="N168" s="5"/>
      <c r="O168" s="5"/>
      <c r="P168" s="16"/>
      <c r="Q168" s="17"/>
      <c r="R168" s="17"/>
      <c r="S168" s="17"/>
      <c r="T168" s="17"/>
      <c r="U168" s="21" t="str">
        <f aca="false">IF(N168="","",N(R168)+N(S168)+N(T168))</f>
        <v/>
      </c>
      <c r="V168" s="27" t="str">
        <f aca="false">IF(N168="","",UPPER(TRIM(N168))&amp;"|"&amp;UPPER(TRIM(O168)))</f>
        <v/>
      </c>
      <c r="W168" s="7" t="str">
        <f aca="false">IF(N168="","",IF(COUNTIF($K$10:$K$309,V168)=0,"In 2B, not in books — check &amp; book",IF(ABS(U168-SUMIF($K$10:$K$309,V168,$J$10:$J$309))&lt;=1,"Matched","Tax amount differs")))</f>
        <v/>
      </c>
    </row>
    <row r="169" customFormat="false" ht="15" hidden="false" customHeight="false" outlineLevel="0" collapsed="false">
      <c r="B169" s="5"/>
      <c r="C169" s="5"/>
      <c r="D169" s="5"/>
      <c r="E169" s="16"/>
      <c r="F169" s="17"/>
      <c r="G169" s="17"/>
      <c r="H169" s="17"/>
      <c r="I169" s="17"/>
      <c r="J169" s="21" t="str">
        <f aca="false">IF(B169="","",N(G169)+N(H169)+N(I169))</f>
        <v/>
      </c>
      <c r="K169" s="27" t="str">
        <f aca="false">IF(B169="","",UPPER(TRIM(B169))&amp;"|"&amp;UPPER(TRIM(D169)))</f>
        <v/>
      </c>
      <c r="L169" s="7" t="str">
        <f aca="false">IF(B169="","",IF(COUNTIF($V$10:$V$309,K169)=0,"Not in 2B — ITC at risk",IF(ABS(J169-SUMIF($V$10:$V$309,K169,$U$10:$U$309))&lt;=1,"Matched","Tax amount differs")))</f>
        <v/>
      </c>
      <c r="N169" s="5"/>
      <c r="O169" s="5"/>
      <c r="P169" s="16"/>
      <c r="Q169" s="17"/>
      <c r="R169" s="17"/>
      <c r="S169" s="17"/>
      <c r="T169" s="17"/>
      <c r="U169" s="21" t="str">
        <f aca="false">IF(N169="","",N(R169)+N(S169)+N(T169))</f>
        <v/>
      </c>
      <c r="V169" s="27" t="str">
        <f aca="false">IF(N169="","",UPPER(TRIM(N169))&amp;"|"&amp;UPPER(TRIM(O169)))</f>
        <v/>
      </c>
      <c r="W169" s="7" t="str">
        <f aca="false">IF(N169="","",IF(COUNTIF($K$10:$K$309,V169)=0,"In 2B, not in books — check &amp; book",IF(ABS(U169-SUMIF($K$10:$K$309,V169,$J$10:$J$309))&lt;=1,"Matched","Tax amount differs")))</f>
        <v/>
      </c>
    </row>
    <row r="170" customFormat="false" ht="15" hidden="false" customHeight="false" outlineLevel="0" collapsed="false">
      <c r="B170" s="5"/>
      <c r="C170" s="5"/>
      <c r="D170" s="5"/>
      <c r="E170" s="16"/>
      <c r="F170" s="17"/>
      <c r="G170" s="17"/>
      <c r="H170" s="17"/>
      <c r="I170" s="17"/>
      <c r="J170" s="21" t="str">
        <f aca="false">IF(B170="","",N(G170)+N(H170)+N(I170))</f>
        <v/>
      </c>
      <c r="K170" s="27" t="str">
        <f aca="false">IF(B170="","",UPPER(TRIM(B170))&amp;"|"&amp;UPPER(TRIM(D170)))</f>
        <v/>
      </c>
      <c r="L170" s="7" t="str">
        <f aca="false">IF(B170="","",IF(COUNTIF($V$10:$V$309,K170)=0,"Not in 2B — ITC at risk",IF(ABS(J170-SUMIF($V$10:$V$309,K170,$U$10:$U$309))&lt;=1,"Matched","Tax amount differs")))</f>
        <v/>
      </c>
      <c r="N170" s="5"/>
      <c r="O170" s="5"/>
      <c r="P170" s="16"/>
      <c r="Q170" s="17"/>
      <c r="R170" s="17"/>
      <c r="S170" s="17"/>
      <c r="T170" s="17"/>
      <c r="U170" s="21" t="str">
        <f aca="false">IF(N170="","",N(R170)+N(S170)+N(T170))</f>
        <v/>
      </c>
      <c r="V170" s="27" t="str">
        <f aca="false">IF(N170="","",UPPER(TRIM(N170))&amp;"|"&amp;UPPER(TRIM(O170)))</f>
        <v/>
      </c>
      <c r="W170" s="7" t="str">
        <f aca="false">IF(N170="","",IF(COUNTIF($K$10:$K$309,V170)=0,"In 2B, not in books — check &amp; book",IF(ABS(U170-SUMIF($K$10:$K$309,V170,$J$10:$J$309))&lt;=1,"Matched","Tax amount differs")))</f>
        <v/>
      </c>
    </row>
    <row r="171" customFormat="false" ht="15" hidden="false" customHeight="false" outlineLevel="0" collapsed="false">
      <c r="B171" s="5"/>
      <c r="C171" s="5"/>
      <c r="D171" s="5"/>
      <c r="E171" s="16"/>
      <c r="F171" s="17"/>
      <c r="G171" s="17"/>
      <c r="H171" s="17"/>
      <c r="I171" s="17"/>
      <c r="J171" s="21" t="str">
        <f aca="false">IF(B171="","",N(G171)+N(H171)+N(I171))</f>
        <v/>
      </c>
      <c r="K171" s="27" t="str">
        <f aca="false">IF(B171="","",UPPER(TRIM(B171))&amp;"|"&amp;UPPER(TRIM(D171)))</f>
        <v/>
      </c>
      <c r="L171" s="7" t="str">
        <f aca="false">IF(B171="","",IF(COUNTIF($V$10:$V$309,K171)=0,"Not in 2B — ITC at risk",IF(ABS(J171-SUMIF($V$10:$V$309,K171,$U$10:$U$309))&lt;=1,"Matched","Tax amount differs")))</f>
        <v/>
      </c>
      <c r="N171" s="5"/>
      <c r="O171" s="5"/>
      <c r="P171" s="16"/>
      <c r="Q171" s="17"/>
      <c r="R171" s="17"/>
      <c r="S171" s="17"/>
      <c r="T171" s="17"/>
      <c r="U171" s="21" t="str">
        <f aca="false">IF(N171="","",N(R171)+N(S171)+N(T171))</f>
        <v/>
      </c>
      <c r="V171" s="27" t="str">
        <f aca="false">IF(N171="","",UPPER(TRIM(N171))&amp;"|"&amp;UPPER(TRIM(O171)))</f>
        <v/>
      </c>
      <c r="W171" s="7" t="str">
        <f aca="false">IF(N171="","",IF(COUNTIF($K$10:$K$309,V171)=0,"In 2B, not in books — check &amp; book",IF(ABS(U171-SUMIF($K$10:$K$309,V171,$J$10:$J$309))&lt;=1,"Matched","Tax amount differs")))</f>
        <v/>
      </c>
    </row>
    <row r="172" customFormat="false" ht="15" hidden="false" customHeight="false" outlineLevel="0" collapsed="false">
      <c r="B172" s="5"/>
      <c r="C172" s="5"/>
      <c r="D172" s="5"/>
      <c r="E172" s="16"/>
      <c r="F172" s="17"/>
      <c r="G172" s="17"/>
      <c r="H172" s="17"/>
      <c r="I172" s="17"/>
      <c r="J172" s="21" t="str">
        <f aca="false">IF(B172="","",N(G172)+N(H172)+N(I172))</f>
        <v/>
      </c>
      <c r="K172" s="27" t="str">
        <f aca="false">IF(B172="","",UPPER(TRIM(B172))&amp;"|"&amp;UPPER(TRIM(D172)))</f>
        <v/>
      </c>
      <c r="L172" s="7" t="str">
        <f aca="false">IF(B172="","",IF(COUNTIF($V$10:$V$309,K172)=0,"Not in 2B — ITC at risk",IF(ABS(J172-SUMIF($V$10:$V$309,K172,$U$10:$U$309))&lt;=1,"Matched","Tax amount differs")))</f>
        <v/>
      </c>
      <c r="N172" s="5"/>
      <c r="O172" s="5"/>
      <c r="P172" s="16"/>
      <c r="Q172" s="17"/>
      <c r="R172" s="17"/>
      <c r="S172" s="17"/>
      <c r="T172" s="17"/>
      <c r="U172" s="21" t="str">
        <f aca="false">IF(N172="","",N(R172)+N(S172)+N(T172))</f>
        <v/>
      </c>
      <c r="V172" s="27" t="str">
        <f aca="false">IF(N172="","",UPPER(TRIM(N172))&amp;"|"&amp;UPPER(TRIM(O172)))</f>
        <v/>
      </c>
      <c r="W172" s="7" t="str">
        <f aca="false">IF(N172="","",IF(COUNTIF($K$10:$K$309,V172)=0,"In 2B, not in books — check &amp; book",IF(ABS(U172-SUMIF($K$10:$K$309,V172,$J$10:$J$309))&lt;=1,"Matched","Tax amount differs")))</f>
        <v/>
      </c>
    </row>
    <row r="173" customFormat="false" ht="15" hidden="false" customHeight="false" outlineLevel="0" collapsed="false">
      <c r="B173" s="5"/>
      <c r="C173" s="5"/>
      <c r="D173" s="5"/>
      <c r="E173" s="16"/>
      <c r="F173" s="17"/>
      <c r="G173" s="17"/>
      <c r="H173" s="17"/>
      <c r="I173" s="17"/>
      <c r="J173" s="21" t="str">
        <f aca="false">IF(B173="","",N(G173)+N(H173)+N(I173))</f>
        <v/>
      </c>
      <c r="K173" s="27" t="str">
        <f aca="false">IF(B173="","",UPPER(TRIM(B173))&amp;"|"&amp;UPPER(TRIM(D173)))</f>
        <v/>
      </c>
      <c r="L173" s="7" t="str">
        <f aca="false">IF(B173="","",IF(COUNTIF($V$10:$V$309,K173)=0,"Not in 2B — ITC at risk",IF(ABS(J173-SUMIF($V$10:$V$309,K173,$U$10:$U$309))&lt;=1,"Matched","Tax amount differs")))</f>
        <v/>
      </c>
      <c r="N173" s="5"/>
      <c r="O173" s="5"/>
      <c r="P173" s="16"/>
      <c r="Q173" s="17"/>
      <c r="R173" s="17"/>
      <c r="S173" s="17"/>
      <c r="T173" s="17"/>
      <c r="U173" s="21" t="str">
        <f aca="false">IF(N173="","",N(R173)+N(S173)+N(T173))</f>
        <v/>
      </c>
      <c r="V173" s="27" t="str">
        <f aca="false">IF(N173="","",UPPER(TRIM(N173))&amp;"|"&amp;UPPER(TRIM(O173)))</f>
        <v/>
      </c>
      <c r="W173" s="7" t="str">
        <f aca="false">IF(N173="","",IF(COUNTIF($K$10:$K$309,V173)=0,"In 2B, not in books — check &amp; book",IF(ABS(U173-SUMIF($K$10:$K$309,V173,$J$10:$J$309))&lt;=1,"Matched","Tax amount differs")))</f>
        <v/>
      </c>
    </row>
    <row r="174" customFormat="false" ht="15" hidden="false" customHeight="false" outlineLevel="0" collapsed="false">
      <c r="B174" s="5"/>
      <c r="C174" s="5"/>
      <c r="D174" s="5"/>
      <c r="E174" s="16"/>
      <c r="F174" s="17"/>
      <c r="G174" s="17"/>
      <c r="H174" s="17"/>
      <c r="I174" s="17"/>
      <c r="J174" s="21" t="str">
        <f aca="false">IF(B174="","",N(G174)+N(H174)+N(I174))</f>
        <v/>
      </c>
      <c r="K174" s="27" t="str">
        <f aca="false">IF(B174="","",UPPER(TRIM(B174))&amp;"|"&amp;UPPER(TRIM(D174)))</f>
        <v/>
      </c>
      <c r="L174" s="7" t="str">
        <f aca="false">IF(B174="","",IF(COUNTIF($V$10:$V$309,K174)=0,"Not in 2B — ITC at risk",IF(ABS(J174-SUMIF($V$10:$V$309,K174,$U$10:$U$309))&lt;=1,"Matched","Tax amount differs")))</f>
        <v/>
      </c>
      <c r="N174" s="5"/>
      <c r="O174" s="5"/>
      <c r="P174" s="16"/>
      <c r="Q174" s="17"/>
      <c r="R174" s="17"/>
      <c r="S174" s="17"/>
      <c r="T174" s="17"/>
      <c r="U174" s="21" t="str">
        <f aca="false">IF(N174="","",N(R174)+N(S174)+N(T174))</f>
        <v/>
      </c>
      <c r="V174" s="27" t="str">
        <f aca="false">IF(N174="","",UPPER(TRIM(N174))&amp;"|"&amp;UPPER(TRIM(O174)))</f>
        <v/>
      </c>
      <c r="W174" s="7" t="str">
        <f aca="false">IF(N174="","",IF(COUNTIF($K$10:$K$309,V174)=0,"In 2B, not in books — check &amp; book",IF(ABS(U174-SUMIF($K$10:$K$309,V174,$J$10:$J$309))&lt;=1,"Matched","Tax amount differs")))</f>
        <v/>
      </c>
    </row>
    <row r="175" customFormat="false" ht="15" hidden="false" customHeight="false" outlineLevel="0" collapsed="false">
      <c r="B175" s="5"/>
      <c r="C175" s="5"/>
      <c r="D175" s="5"/>
      <c r="E175" s="16"/>
      <c r="F175" s="17"/>
      <c r="G175" s="17"/>
      <c r="H175" s="17"/>
      <c r="I175" s="17"/>
      <c r="J175" s="21" t="str">
        <f aca="false">IF(B175="","",N(G175)+N(H175)+N(I175))</f>
        <v/>
      </c>
      <c r="K175" s="27" t="str">
        <f aca="false">IF(B175="","",UPPER(TRIM(B175))&amp;"|"&amp;UPPER(TRIM(D175)))</f>
        <v/>
      </c>
      <c r="L175" s="7" t="str">
        <f aca="false">IF(B175="","",IF(COUNTIF($V$10:$V$309,K175)=0,"Not in 2B — ITC at risk",IF(ABS(J175-SUMIF($V$10:$V$309,K175,$U$10:$U$309))&lt;=1,"Matched","Tax amount differs")))</f>
        <v/>
      </c>
      <c r="N175" s="5"/>
      <c r="O175" s="5"/>
      <c r="P175" s="16"/>
      <c r="Q175" s="17"/>
      <c r="R175" s="17"/>
      <c r="S175" s="17"/>
      <c r="T175" s="17"/>
      <c r="U175" s="21" t="str">
        <f aca="false">IF(N175="","",N(R175)+N(S175)+N(T175))</f>
        <v/>
      </c>
      <c r="V175" s="27" t="str">
        <f aca="false">IF(N175="","",UPPER(TRIM(N175))&amp;"|"&amp;UPPER(TRIM(O175)))</f>
        <v/>
      </c>
      <c r="W175" s="7" t="str">
        <f aca="false">IF(N175="","",IF(COUNTIF($K$10:$K$309,V175)=0,"In 2B, not in books — check &amp; book",IF(ABS(U175-SUMIF($K$10:$K$309,V175,$J$10:$J$309))&lt;=1,"Matched","Tax amount differs")))</f>
        <v/>
      </c>
    </row>
    <row r="176" customFormat="false" ht="15" hidden="false" customHeight="false" outlineLevel="0" collapsed="false">
      <c r="B176" s="5"/>
      <c r="C176" s="5"/>
      <c r="D176" s="5"/>
      <c r="E176" s="16"/>
      <c r="F176" s="17"/>
      <c r="G176" s="17"/>
      <c r="H176" s="17"/>
      <c r="I176" s="17"/>
      <c r="J176" s="21" t="str">
        <f aca="false">IF(B176="","",N(G176)+N(H176)+N(I176))</f>
        <v/>
      </c>
      <c r="K176" s="27" t="str">
        <f aca="false">IF(B176="","",UPPER(TRIM(B176))&amp;"|"&amp;UPPER(TRIM(D176)))</f>
        <v/>
      </c>
      <c r="L176" s="7" t="str">
        <f aca="false">IF(B176="","",IF(COUNTIF($V$10:$V$309,K176)=0,"Not in 2B — ITC at risk",IF(ABS(J176-SUMIF($V$10:$V$309,K176,$U$10:$U$309))&lt;=1,"Matched","Tax amount differs")))</f>
        <v/>
      </c>
      <c r="N176" s="5"/>
      <c r="O176" s="5"/>
      <c r="P176" s="16"/>
      <c r="Q176" s="17"/>
      <c r="R176" s="17"/>
      <c r="S176" s="17"/>
      <c r="T176" s="17"/>
      <c r="U176" s="21" t="str">
        <f aca="false">IF(N176="","",N(R176)+N(S176)+N(T176))</f>
        <v/>
      </c>
      <c r="V176" s="27" t="str">
        <f aca="false">IF(N176="","",UPPER(TRIM(N176))&amp;"|"&amp;UPPER(TRIM(O176)))</f>
        <v/>
      </c>
      <c r="W176" s="7" t="str">
        <f aca="false">IF(N176="","",IF(COUNTIF($K$10:$K$309,V176)=0,"In 2B, not in books — check &amp; book",IF(ABS(U176-SUMIF($K$10:$K$309,V176,$J$10:$J$309))&lt;=1,"Matched","Tax amount differs")))</f>
        <v/>
      </c>
    </row>
    <row r="177" customFormat="false" ht="15" hidden="false" customHeight="false" outlineLevel="0" collapsed="false">
      <c r="B177" s="5"/>
      <c r="C177" s="5"/>
      <c r="D177" s="5"/>
      <c r="E177" s="16"/>
      <c r="F177" s="17"/>
      <c r="G177" s="17"/>
      <c r="H177" s="17"/>
      <c r="I177" s="17"/>
      <c r="J177" s="21" t="str">
        <f aca="false">IF(B177="","",N(G177)+N(H177)+N(I177))</f>
        <v/>
      </c>
      <c r="K177" s="27" t="str">
        <f aca="false">IF(B177="","",UPPER(TRIM(B177))&amp;"|"&amp;UPPER(TRIM(D177)))</f>
        <v/>
      </c>
      <c r="L177" s="7" t="str">
        <f aca="false">IF(B177="","",IF(COUNTIF($V$10:$V$309,K177)=0,"Not in 2B — ITC at risk",IF(ABS(J177-SUMIF($V$10:$V$309,K177,$U$10:$U$309))&lt;=1,"Matched","Tax amount differs")))</f>
        <v/>
      </c>
      <c r="N177" s="5"/>
      <c r="O177" s="5"/>
      <c r="P177" s="16"/>
      <c r="Q177" s="17"/>
      <c r="R177" s="17"/>
      <c r="S177" s="17"/>
      <c r="T177" s="17"/>
      <c r="U177" s="21" t="str">
        <f aca="false">IF(N177="","",N(R177)+N(S177)+N(T177))</f>
        <v/>
      </c>
      <c r="V177" s="27" t="str">
        <f aca="false">IF(N177="","",UPPER(TRIM(N177))&amp;"|"&amp;UPPER(TRIM(O177)))</f>
        <v/>
      </c>
      <c r="W177" s="7" t="str">
        <f aca="false">IF(N177="","",IF(COUNTIF($K$10:$K$309,V177)=0,"In 2B, not in books — check &amp; book",IF(ABS(U177-SUMIF($K$10:$K$309,V177,$J$10:$J$309))&lt;=1,"Matched","Tax amount differs")))</f>
        <v/>
      </c>
    </row>
    <row r="178" customFormat="false" ht="15" hidden="false" customHeight="false" outlineLevel="0" collapsed="false">
      <c r="B178" s="5"/>
      <c r="C178" s="5"/>
      <c r="D178" s="5"/>
      <c r="E178" s="16"/>
      <c r="F178" s="17"/>
      <c r="G178" s="17"/>
      <c r="H178" s="17"/>
      <c r="I178" s="17"/>
      <c r="J178" s="21" t="str">
        <f aca="false">IF(B178="","",N(G178)+N(H178)+N(I178))</f>
        <v/>
      </c>
      <c r="K178" s="27" t="str">
        <f aca="false">IF(B178="","",UPPER(TRIM(B178))&amp;"|"&amp;UPPER(TRIM(D178)))</f>
        <v/>
      </c>
      <c r="L178" s="7" t="str">
        <f aca="false">IF(B178="","",IF(COUNTIF($V$10:$V$309,K178)=0,"Not in 2B — ITC at risk",IF(ABS(J178-SUMIF($V$10:$V$309,K178,$U$10:$U$309))&lt;=1,"Matched","Tax amount differs")))</f>
        <v/>
      </c>
      <c r="N178" s="5"/>
      <c r="O178" s="5"/>
      <c r="P178" s="16"/>
      <c r="Q178" s="17"/>
      <c r="R178" s="17"/>
      <c r="S178" s="17"/>
      <c r="T178" s="17"/>
      <c r="U178" s="21" t="str">
        <f aca="false">IF(N178="","",N(R178)+N(S178)+N(T178))</f>
        <v/>
      </c>
      <c r="V178" s="27" t="str">
        <f aca="false">IF(N178="","",UPPER(TRIM(N178))&amp;"|"&amp;UPPER(TRIM(O178)))</f>
        <v/>
      </c>
      <c r="W178" s="7" t="str">
        <f aca="false">IF(N178="","",IF(COUNTIF($K$10:$K$309,V178)=0,"In 2B, not in books — check &amp; book",IF(ABS(U178-SUMIF($K$10:$K$309,V178,$J$10:$J$309))&lt;=1,"Matched","Tax amount differs")))</f>
        <v/>
      </c>
    </row>
    <row r="179" customFormat="false" ht="15" hidden="false" customHeight="false" outlineLevel="0" collapsed="false">
      <c r="B179" s="5"/>
      <c r="C179" s="5"/>
      <c r="D179" s="5"/>
      <c r="E179" s="16"/>
      <c r="F179" s="17"/>
      <c r="G179" s="17"/>
      <c r="H179" s="17"/>
      <c r="I179" s="17"/>
      <c r="J179" s="21" t="str">
        <f aca="false">IF(B179="","",N(G179)+N(H179)+N(I179))</f>
        <v/>
      </c>
      <c r="K179" s="27" t="str">
        <f aca="false">IF(B179="","",UPPER(TRIM(B179))&amp;"|"&amp;UPPER(TRIM(D179)))</f>
        <v/>
      </c>
      <c r="L179" s="7" t="str">
        <f aca="false">IF(B179="","",IF(COUNTIF($V$10:$V$309,K179)=0,"Not in 2B — ITC at risk",IF(ABS(J179-SUMIF($V$10:$V$309,K179,$U$10:$U$309))&lt;=1,"Matched","Tax amount differs")))</f>
        <v/>
      </c>
      <c r="N179" s="5"/>
      <c r="O179" s="5"/>
      <c r="P179" s="16"/>
      <c r="Q179" s="17"/>
      <c r="R179" s="17"/>
      <c r="S179" s="17"/>
      <c r="T179" s="17"/>
      <c r="U179" s="21" t="str">
        <f aca="false">IF(N179="","",N(R179)+N(S179)+N(T179))</f>
        <v/>
      </c>
      <c r="V179" s="27" t="str">
        <f aca="false">IF(N179="","",UPPER(TRIM(N179))&amp;"|"&amp;UPPER(TRIM(O179)))</f>
        <v/>
      </c>
      <c r="W179" s="7" t="str">
        <f aca="false">IF(N179="","",IF(COUNTIF($K$10:$K$309,V179)=0,"In 2B, not in books — check &amp; book",IF(ABS(U179-SUMIF($K$10:$K$309,V179,$J$10:$J$309))&lt;=1,"Matched","Tax amount differs")))</f>
        <v/>
      </c>
    </row>
    <row r="180" customFormat="false" ht="15" hidden="false" customHeight="false" outlineLevel="0" collapsed="false">
      <c r="B180" s="5"/>
      <c r="C180" s="5"/>
      <c r="D180" s="5"/>
      <c r="E180" s="16"/>
      <c r="F180" s="17"/>
      <c r="G180" s="17"/>
      <c r="H180" s="17"/>
      <c r="I180" s="17"/>
      <c r="J180" s="21" t="str">
        <f aca="false">IF(B180="","",N(G180)+N(H180)+N(I180))</f>
        <v/>
      </c>
      <c r="K180" s="27" t="str">
        <f aca="false">IF(B180="","",UPPER(TRIM(B180))&amp;"|"&amp;UPPER(TRIM(D180)))</f>
        <v/>
      </c>
      <c r="L180" s="7" t="str">
        <f aca="false">IF(B180="","",IF(COUNTIF($V$10:$V$309,K180)=0,"Not in 2B — ITC at risk",IF(ABS(J180-SUMIF($V$10:$V$309,K180,$U$10:$U$309))&lt;=1,"Matched","Tax amount differs")))</f>
        <v/>
      </c>
      <c r="N180" s="5"/>
      <c r="O180" s="5"/>
      <c r="P180" s="16"/>
      <c r="Q180" s="17"/>
      <c r="R180" s="17"/>
      <c r="S180" s="17"/>
      <c r="T180" s="17"/>
      <c r="U180" s="21" t="str">
        <f aca="false">IF(N180="","",N(R180)+N(S180)+N(T180))</f>
        <v/>
      </c>
      <c r="V180" s="27" t="str">
        <f aca="false">IF(N180="","",UPPER(TRIM(N180))&amp;"|"&amp;UPPER(TRIM(O180)))</f>
        <v/>
      </c>
      <c r="W180" s="7" t="str">
        <f aca="false">IF(N180="","",IF(COUNTIF($K$10:$K$309,V180)=0,"In 2B, not in books — check &amp; book",IF(ABS(U180-SUMIF($K$10:$K$309,V180,$J$10:$J$309))&lt;=1,"Matched","Tax amount differs")))</f>
        <v/>
      </c>
    </row>
    <row r="181" customFormat="false" ht="15" hidden="false" customHeight="false" outlineLevel="0" collapsed="false">
      <c r="B181" s="5"/>
      <c r="C181" s="5"/>
      <c r="D181" s="5"/>
      <c r="E181" s="16"/>
      <c r="F181" s="17"/>
      <c r="G181" s="17"/>
      <c r="H181" s="17"/>
      <c r="I181" s="17"/>
      <c r="J181" s="21" t="str">
        <f aca="false">IF(B181="","",N(G181)+N(H181)+N(I181))</f>
        <v/>
      </c>
      <c r="K181" s="27" t="str">
        <f aca="false">IF(B181="","",UPPER(TRIM(B181))&amp;"|"&amp;UPPER(TRIM(D181)))</f>
        <v/>
      </c>
      <c r="L181" s="7" t="str">
        <f aca="false">IF(B181="","",IF(COUNTIF($V$10:$V$309,K181)=0,"Not in 2B — ITC at risk",IF(ABS(J181-SUMIF($V$10:$V$309,K181,$U$10:$U$309))&lt;=1,"Matched","Tax amount differs")))</f>
        <v/>
      </c>
      <c r="N181" s="5"/>
      <c r="O181" s="5"/>
      <c r="P181" s="16"/>
      <c r="Q181" s="17"/>
      <c r="R181" s="17"/>
      <c r="S181" s="17"/>
      <c r="T181" s="17"/>
      <c r="U181" s="21" t="str">
        <f aca="false">IF(N181="","",N(R181)+N(S181)+N(T181))</f>
        <v/>
      </c>
      <c r="V181" s="27" t="str">
        <f aca="false">IF(N181="","",UPPER(TRIM(N181))&amp;"|"&amp;UPPER(TRIM(O181)))</f>
        <v/>
      </c>
      <c r="W181" s="7" t="str">
        <f aca="false">IF(N181="","",IF(COUNTIF($K$10:$K$309,V181)=0,"In 2B, not in books — check &amp; book",IF(ABS(U181-SUMIF($K$10:$K$309,V181,$J$10:$J$309))&lt;=1,"Matched","Tax amount differs")))</f>
        <v/>
      </c>
    </row>
    <row r="182" customFormat="false" ht="15" hidden="false" customHeight="false" outlineLevel="0" collapsed="false">
      <c r="B182" s="5"/>
      <c r="C182" s="5"/>
      <c r="D182" s="5"/>
      <c r="E182" s="16"/>
      <c r="F182" s="17"/>
      <c r="G182" s="17"/>
      <c r="H182" s="17"/>
      <c r="I182" s="17"/>
      <c r="J182" s="21" t="str">
        <f aca="false">IF(B182="","",N(G182)+N(H182)+N(I182))</f>
        <v/>
      </c>
      <c r="K182" s="27" t="str">
        <f aca="false">IF(B182="","",UPPER(TRIM(B182))&amp;"|"&amp;UPPER(TRIM(D182)))</f>
        <v/>
      </c>
      <c r="L182" s="7" t="str">
        <f aca="false">IF(B182="","",IF(COUNTIF($V$10:$V$309,K182)=0,"Not in 2B — ITC at risk",IF(ABS(J182-SUMIF($V$10:$V$309,K182,$U$10:$U$309))&lt;=1,"Matched","Tax amount differs")))</f>
        <v/>
      </c>
      <c r="N182" s="5"/>
      <c r="O182" s="5"/>
      <c r="P182" s="16"/>
      <c r="Q182" s="17"/>
      <c r="R182" s="17"/>
      <c r="S182" s="17"/>
      <c r="T182" s="17"/>
      <c r="U182" s="21" t="str">
        <f aca="false">IF(N182="","",N(R182)+N(S182)+N(T182))</f>
        <v/>
      </c>
      <c r="V182" s="27" t="str">
        <f aca="false">IF(N182="","",UPPER(TRIM(N182))&amp;"|"&amp;UPPER(TRIM(O182)))</f>
        <v/>
      </c>
      <c r="W182" s="7" t="str">
        <f aca="false">IF(N182="","",IF(COUNTIF($K$10:$K$309,V182)=0,"In 2B, not in books — check &amp; book",IF(ABS(U182-SUMIF($K$10:$K$309,V182,$J$10:$J$309))&lt;=1,"Matched","Tax amount differs")))</f>
        <v/>
      </c>
    </row>
    <row r="183" customFormat="false" ht="15" hidden="false" customHeight="false" outlineLevel="0" collapsed="false">
      <c r="B183" s="5"/>
      <c r="C183" s="5"/>
      <c r="D183" s="5"/>
      <c r="E183" s="16"/>
      <c r="F183" s="17"/>
      <c r="G183" s="17"/>
      <c r="H183" s="17"/>
      <c r="I183" s="17"/>
      <c r="J183" s="21" t="str">
        <f aca="false">IF(B183="","",N(G183)+N(H183)+N(I183))</f>
        <v/>
      </c>
      <c r="K183" s="27" t="str">
        <f aca="false">IF(B183="","",UPPER(TRIM(B183))&amp;"|"&amp;UPPER(TRIM(D183)))</f>
        <v/>
      </c>
      <c r="L183" s="7" t="str">
        <f aca="false">IF(B183="","",IF(COUNTIF($V$10:$V$309,K183)=0,"Not in 2B — ITC at risk",IF(ABS(J183-SUMIF($V$10:$V$309,K183,$U$10:$U$309))&lt;=1,"Matched","Tax amount differs")))</f>
        <v/>
      </c>
      <c r="N183" s="5"/>
      <c r="O183" s="5"/>
      <c r="P183" s="16"/>
      <c r="Q183" s="17"/>
      <c r="R183" s="17"/>
      <c r="S183" s="17"/>
      <c r="T183" s="17"/>
      <c r="U183" s="21" t="str">
        <f aca="false">IF(N183="","",N(R183)+N(S183)+N(T183))</f>
        <v/>
      </c>
      <c r="V183" s="27" t="str">
        <f aca="false">IF(N183="","",UPPER(TRIM(N183))&amp;"|"&amp;UPPER(TRIM(O183)))</f>
        <v/>
      </c>
      <c r="W183" s="7" t="str">
        <f aca="false">IF(N183="","",IF(COUNTIF($K$10:$K$309,V183)=0,"In 2B, not in books — check &amp; book",IF(ABS(U183-SUMIF($K$10:$K$309,V183,$J$10:$J$309))&lt;=1,"Matched","Tax amount differs")))</f>
        <v/>
      </c>
    </row>
    <row r="184" customFormat="false" ht="15" hidden="false" customHeight="false" outlineLevel="0" collapsed="false">
      <c r="B184" s="5"/>
      <c r="C184" s="5"/>
      <c r="D184" s="5"/>
      <c r="E184" s="16"/>
      <c r="F184" s="17"/>
      <c r="G184" s="17"/>
      <c r="H184" s="17"/>
      <c r="I184" s="17"/>
      <c r="J184" s="21" t="str">
        <f aca="false">IF(B184="","",N(G184)+N(H184)+N(I184))</f>
        <v/>
      </c>
      <c r="K184" s="27" t="str">
        <f aca="false">IF(B184="","",UPPER(TRIM(B184))&amp;"|"&amp;UPPER(TRIM(D184)))</f>
        <v/>
      </c>
      <c r="L184" s="7" t="str">
        <f aca="false">IF(B184="","",IF(COUNTIF($V$10:$V$309,K184)=0,"Not in 2B — ITC at risk",IF(ABS(J184-SUMIF($V$10:$V$309,K184,$U$10:$U$309))&lt;=1,"Matched","Tax amount differs")))</f>
        <v/>
      </c>
      <c r="N184" s="5"/>
      <c r="O184" s="5"/>
      <c r="P184" s="16"/>
      <c r="Q184" s="17"/>
      <c r="R184" s="17"/>
      <c r="S184" s="17"/>
      <c r="T184" s="17"/>
      <c r="U184" s="21" t="str">
        <f aca="false">IF(N184="","",N(R184)+N(S184)+N(T184))</f>
        <v/>
      </c>
      <c r="V184" s="27" t="str">
        <f aca="false">IF(N184="","",UPPER(TRIM(N184))&amp;"|"&amp;UPPER(TRIM(O184)))</f>
        <v/>
      </c>
      <c r="W184" s="7" t="str">
        <f aca="false">IF(N184="","",IF(COUNTIF($K$10:$K$309,V184)=0,"In 2B, not in books — check &amp; book",IF(ABS(U184-SUMIF($K$10:$K$309,V184,$J$10:$J$309))&lt;=1,"Matched","Tax amount differs")))</f>
        <v/>
      </c>
    </row>
    <row r="185" customFormat="false" ht="15" hidden="false" customHeight="false" outlineLevel="0" collapsed="false">
      <c r="B185" s="5"/>
      <c r="C185" s="5"/>
      <c r="D185" s="5"/>
      <c r="E185" s="16"/>
      <c r="F185" s="17"/>
      <c r="G185" s="17"/>
      <c r="H185" s="17"/>
      <c r="I185" s="17"/>
      <c r="J185" s="21" t="str">
        <f aca="false">IF(B185="","",N(G185)+N(H185)+N(I185))</f>
        <v/>
      </c>
      <c r="K185" s="27" t="str">
        <f aca="false">IF(B185="","",UPPER(TRIM(B185))&amp;"|"&amp;UPPER(TRIM(D185)))</f>
        <v/>
      </c>
      <c r="L185" s="7" t="str">
        <f aca="false">IF(B185="","",IF(COUNTIF($V$10:$V$309,K185)=0,"Not in 2B — ITC at risk",IF(ABS(J185-SUMIF($V$10:$V$309,K185,$U$10:$U$309))&lt;=1,"Matched","Tax amount differs")))</f>
        <v/>
      </c>
      <c r="N185" s="5"/>
      <c r="O185" s="5"/>
      <c r="P185" s="16"/>
      <c r="Q185" s="17"/>
      <c r="R185" s="17"/>
      <c r="S185" s="17"/>
      <c r="T185" s="17"/>
      <c r="U185" s="21" t="str">
        <f aca="false">IF(N185="","",N(R185)+N(S185)+N(T185))</f>
        <v/>
      </c>
      <c r="V185" s="27" t="str">
        <f aca="false">IF(N185="","",UPPER(TRIM(N185))&amp;"|"&amp;UPPER(TRIM(O185)))</f>
        <v/>
      </c>
      <c r="W185" s="7" t="str">
        <f aca="false">IF(N185="","",IF(COUNTIF($K$10:$K$309,V185)=0,"In 2B, not in books — check &amp; book",IF(ABS(U185-SUMIF($K$10:$K$309,V185,$J$10:$J$309))&lt;=1,"Matched","Tax amount differs")))</f>
        <v/>
      </c>
    </row>
    <row r="186" customFormat="false" ht="15" hidden="false" customHeight="false" outlineLevel="0" collapsed="false">
      <c r="B186" s="5"/>
      <c r="C186" s="5"/>
      <c r="D186" s="5"/>
      <c r="E186" s="16"/>
      <c r="F186" s="17"/>
      <c r="G186" s="17"/>
      <c r="H186" s="17"/>
      <c r="I186" s="17"/>
      <c r="J186" s="21" t="str">
        <f aca="false">IF(B186="","",N(G186)+N(H186)+N(I186))</f>
        <v/>
      </c>
      <c r="K186" s="27" t="str">
        <f aca="false">IF(B186="","",UPPER(TRIM(B186))&amp;"|"&amp;UPPER(TRIM(D186)))</f>
        <v/>
      </c>
      <c r="L186" s="7" t="str">
        <f aca="false">IF(B186="","",IF(COUNTIF($V$10:$V$309,K186)=0,"Not in 2B — ITC at risk",IF(ABS(J186-SUMIF($V$10:$V$309,K186,$U$10:$U$309))&lt;=1,"Matched","Tax amount differs")))</f>
        <v/>
      </c>
      <c r="N186" s="5"/>
      <c r="O186" s="5"/>
      <c r="P186" s="16"/>
      <c r="Q186" s="17"/>
      <c r="R186" s="17"/>
      <c r="S186" s="17"/>
      <c r="T186" s="17"/>
      <c r="U186" s="21" t="str">
        <f aca="false">IF(N186="","",N(R186)+N(S186)+N(T186))</f>
        <v/>
      </c>
      <c r="V186" s="27" t="str">
        <f aca="false">IF(N186="","",UPPER(TRIM(N186))&amp;"|"&amp;UPPER(TRIM(O186)))</f>
        <v/>
      </c>
      <c r="W186" s="7" t="str">
        <f aca="false">IF(N186="","",IF(COUNTIF($K$10:$K$309,V186)=0,"In 2B, not in books — check &amp; book",IF(ABS(U186-SUMIF($K$10:$K$309,V186,$J$10:$J$309))&lt;=1,"Matched","Tax amount differs")))</f>
        <v/>
      </c>
    </row>
    <row r="187" customFormat="false" ht="15" hidden="false" customHeight="false" outlineLevel="0" collapsed="false">
      <c r="B187" s="5"/>
      <c r="C187" s="5"/>
      <c r="D187" s="5"/>
      <c r="E187" s="16"/>
      <c r="F187" s="17"/>
      <c r="G187" s="17"/>
      <c r="H187" s="17"/>
      <c r="I187" s="17"/>
      <c r="J187" s="21" t="str">
        <f aca="false">IF(B187="","",N(G187)+N(H187)+N(I187))</f>
        <v/>
      </c>
      <c r="K187" s="27" t="str">
        <f aca="false">IF(B187="","",UPPER(TRIM(B187))&amp;"|"&amp;UPPER(TRIM(D187)))</f>
        <v/>
      </c>
      <c r="L187" s="7" t="str">
        <f aca="false">IF(B187="","",IF(COUNTIF($V$10:$V$309,K187)=0,"Not in 2B — ITC at risk",IF(ABS(J187-SUMIF($V$10:$V$309,K187,$U$10:$U$309))&lt;=1,"Matched","Tax amount differs")))</f>
        <v/>
      </c>
      <c r="N187" s="5"/>
      <c r="O187" s="5"/>
      <c r="P187" s="16"/>
      <c r="Q187" s="17"/>
      <c r="R187" s="17"/>
      <c r="S187" s="17"/>
      <c r="T187" s="17"/>
      <c r="U187" s="21" t="str">
        <f aca="false">IF(N187="","",N(R187)+N(S187)+N(T187))</f>
        <v/>
      </c>
      <c r="V187" s="27" t="str">
        <f aca="false">IF(N187="","",UPPER(TRIM(N187))&amp;"|"&amp;UPPER(TRIM(O187)))</f>
        <v/>
      </c>
      <c r="W187" s="7" t="str">
        <f aca="false">IF(N187="","",IF(COUNTIF($K$10:$K$309,V187)=0,"In 2B, not in books — check &amp; book",IF(ABS(U187-SUMIF($K$10:$K$309,V187,$J$10:$J$309))&lt;=1,"Matched","Tax amount differs")))</f>
        <v/>
      </c>
    </row>
    <row r="188" customFormat="false" ht="15" hidden="false" customHeight="false" outlineLevel="0" collapsed="false">
      <c r="B188" s="5"/>
      <c r="C188" s="5"/>
      <c r="D188" s="5"/>
      <c r="E188" s="16"/>
      <c r="F188" s="17"/>
      <c r="G188" s="17"/>
      <c r="H188" s="17"/>
      <c r="I188" s="17"/>
      <c r="J188" s="21" t="str">
        <f aca="false">IF(B188="","",N(G188)+N(H188)+N(I188))</f>
        <v/>
      </c>
      <c r="K188" s="27" t="str">
        <f aca="false">IF(B188="","",UPPER(TRIM(B188))&amp;"|"&amp;UPPER(TRIM(D188)))</f>
        <v/>
      </c>
      <c r="L188" s="7" t="str">
        <f aca="false">IF(B188="","",IF(COUNTIF($V$10:$V$309,K188)=0,"Not in 2B — ITC at risk",IF(ABS(J188-SUMIF($V$10:$V$309,K188,$U$10:$U$309))&lt;=1,"Matched","Tax amount differs")))</f>
        <v/>
      </c>
      <c r="N188" s="5"/>
      <c r="O188" s="5"/>
      <c r="P188" s="16"/>
      <c r="Q188" s="17"/>
      <c r="R188" s="17"/>
      <c r="S188" s="17"/>
      <c r="T188" s="17"/>
      <c r="U188" s="21" t="str">
        <f aca="false">IF(N188="","",N(R188)+N(S188)+N(T188))</f>
        <v/>
      </c>
      <c r="V188" s="27" t="str">
        <f aca="false">IF(N188="","",UPPER(TRIM(N188))&amp;"|"&amp;UPPER(TRIM(O188)))</f>
        <v/>
      </c>
      <c r="W188" s="7" t="str">
        <f aca="false">IF(N188="","",IF(COUNTIF($K$10:$K$309,V188)=0,"In 2B, not in books — check &amp; book",IF(ABS(U188-SUMIF($K$10:$K$309,V188,$J$10:$J$309))&lt;=1,"Matched","Tax amount differs")))</f>
        <v/>
      </c>
    </row>
    <row r="189" customFormat="false" ht="15" hidden="false" customHeight="false" outlineLevel="0" collapsed="false">
      <c r="B189" s="5"/>
      <c r="C189" s="5"/>
      <c r="D189" s="5"/>
      <c r="E189" s="16"/>
      <c r="F189" s="17"/>
      <c r="G189" s="17"/>
      <c r="H189" s="17"/>
      <c r="I189" s="17"/>
      <c r="J189" s="21" t="str">
        <f aca="false">IF(B189="","",N(G189)+N(H189)+N(I189))</f>
        <v/>
      </c>
      <c r="K189" s="27" t="str">
        <f aca="false">IF(B189="","",UPPER(TRIM(B189))&amp;"|"&amp;UPPER(TRIM(D189)))</f>
        <v/>
      </c>
      <c r="L189" s="7" t="str">
        <f aca="false">IF(B189="","",IF(COUNTIF($V$10:$V$309,K189)=0,"Not in 2B — ITC at risk",IF(ABS(J189-SUMIF($V$10:$V$309,K189,$U$10:$U$309))&lt;=1,"Matched","Tax amount differs")))</f>
        <v/>
      </c>
      <c r="N189" s="5"/>
      <c r="O189" s="5"/>
      <c r="P189" s="16"/>
      <c r="Q189" s="17"/>
      <c r="R189" s="17"/>
      <c r="S189" s="17"/>
      <c r="T189" s="17"/>
      <c r="U189" s="21" t="str">
        <f aca="false">IF(N189="","",N(R189)+N(S189)+N(T189))</f>
        <v/>
      </c>
      <c r="V189" s="27" t="str">
        <f aca="false">IF(N189="","",UPPER(TRIM(N189))&amp;"|"&amp;UPPER(TRIM(O189)))</f>
        <v/>
      </c>
      <c r="W189" s="7" t="str">
        <f aca="false">IF(N189="","",IF(COUNTIF($K$10:$K$309,V189)=0,"In 2B, not in books — check &amp; book",IF(ABS(U189-SUMIF($K$10:$K$309,V189,$J$10:$J$309))&lt;=1,"Matched","Tax amount differs")))</f>
        <v/>
      </c>
    </row>
    <row r="190" customFormat="false" ht="15" hidden="false" customHeight="false" outlineLevel="0" collapsed="false">
      <c r="B190" s="5"/>
      <c r="C190" s="5"/>
      <c r="D190" s="5"/>
      <c r="E190" s="16"/>
      <c r="F190" s="17"/>
      <c r="G190" s="17"/>
      <c r="H190" s="17"/>
      <c r="I190" s="17"/>
      <c r="J190" s="21" t="str">
        <f aca="false">IF(B190="","",N(G190)+N(H190)+N(I190))</f>
        <v/>
      </c>
      <c r="K190" s="27" t="str">
        <f aca="false">IF(B190="","",UPPER(TRIM(B190))&amp;"|"&amp;UPPER(TRIM(D190)))</f>
        <v/>
      </c>
      <c r="L190" s="7" t="str">
        <f aca="false">IF(B190="","",IF(COUNTIF($V$10:$V$309,K190)=0,"Not in 2B — ITC at risk",IF(ABS(J190-SUMIF($V$10:$V$309,K190,$U$10:$U$309))&lt;=1,"Matched","Tax amount differs")))</f>
        <v/>
      </c>
      <c r="N190" s="5"/>
      <c r="O190" s="5"/>
      <c r="P190" s="16"/>
      <c r="Q190" s="17"/>
      <c r="R190" s="17"/>
      <c r="S190" s="17"/>
      <c r="T190" s="17"/>
      <c r="U190" s="21" t="str">
        <f aca="false">IF(N190="","",N(R190)+N(S190)+N(T190))</f>
        <v/>
      </c>
      <c r="V190" s="27" t="str">
        <f aca="false">IF(N190="","",UPPER(TRIM(N190))&amp;"|"&amp;UPPER(TRIM(O190)))</f>
        <v/>
      </c>
      <c r="W190" s="7" t="str">
        <f aca="false">IF(N190="","",IF(COUNTIF($K$10:$K$309,V190)=0,"In 2B, not in books — check &amp; book",IF(ABS(U190-SUMIF($K$10:$K$309,V190,$J$10:$J$309))&lt;=1,"Matched","Tax amount differs")))</f>
        <v/>
      </c>
    </row>
    <row r="191" customFormat="false" ht="15" hidden="false" customHeight="false" outlineLevel="0" collapsed="false">
      <c r="B191" s="5"/>
      <c r="C191" s="5"/>
      <c r="D191" s="5"/>
      <c r="E191" s="16"/>
      <c r="F191" s="17"/>
      <c r="G191" s="17"/>
      <c r="H191" s="17"/>
      <c r="I191" s="17"/>
      <c r="J191" s="21" t="str">
        <f aca="false">IF(B191="","",N(G191)+N(H191)+N(I191))</f>
        <v/>
      </c>
      <c r="K191" s="27" t="str">
        <f aca="false">IF(B191="","",UPPER(TRIM(B191))&amp;"|"&amp;UPPER(TRIM(D191)))</f>
        <v/>
      </c>
      <c r="L191" s="7" t="str">
        <f aca="false">IF(B191="","",IF(COUNTIF($V$10:$V$309,K191)=0,"Not in 2B — ITC at risk",IF(ABS(J191-SUMIF($V$10:$V$309,K191,$U$10:$U$309))&lt;=1,"Matched","Tax amount differs")))</f>
        <v/>
      </c>
      <c r="N191" s="5"/>
      <c r="O191" s="5"/>
      <c r="P191" s="16"/>
      <c r="Q191" s="17"/>
      <c r="R191" s="17"/>
      <c r="S191" s="17"/>
      <c r="T191" s="17"/>
      <c r="U191" s="21" t="str">
        <f aca="false">IF(N191="","",N(R191)+N(S191)+N(T191))</f>
        <v/>
      </c>
      <c r="V191" s="27" t="str">
        <f aca="false">IF(N191="","",UPPER(TRIM(N191))&amp;"|"&amp;UPPER(TRIM(O191)))</f>
        <v/>
      </c>
      <c r="W191" s="7" t="str">
        <f aca="false">IF(N191="","",IF(COUNTIF($K$10:$K$309,V191)=0,"In 2B, not in books — check &amp; book",IF(ABS(U191-SUMIF($K$10:$K$309,V191,$J$10:$J$309))&lt;=1,"Matched","Tax amount differs")))</f>
        <v/>
      </c>
    </row>
    <row r="192" customFormat="false" ht="15" hidden="false" customHeight="false" outlineLevel="0" collapsed="false">
      <c r="B192" s="5"/>
      <c r="C192" s="5"/>
      <c r="D192" s="5"/>
      <c r="E192" s="16"/>
      <c r="F192" s="17"/>
      <c r="G192" s="17"/>
      <c r="H192" s="17"/>
      <c r="I192" s="17"/>
      <c r="J192" s="21" t="str">
        <f aca="false">IF(B192="","",N(G192)+N(H192)+N(I192))</f>
        <v/>
      </c>
      <c r="K192" s="27" t="str">
        <f aca="false">IF(B192="","",UPPER(TRIM(B192))&amp;"|"&amp;UPPER(TRIM(D192)))</f>
        <v/>
      </c>
      <c r="L192" s="7" t="str">
        <f aca="false">IF(B192="","",IF(COUNTIF($V$10:$V$309,K192)=0,"Not in 2B — ITC at risk",IF(ABS(J192-SUMIF($V$10:$V$309,K192,$U$10:$U$309))&lt;=1,"Matched","Tax amount differs")))</f>
        <v/>
      </c>
      <c r="N192" s="5"/>
      <c r="O192" s="5"/>
      <c r="P192" s="16"/>
      <c r="Q192" s="17"/>
      <c r="R192" s="17"/>
      <c r="S192" s="17"/>
      <c r="T192" s="17"/>
      <c r="U192" s="21" t="str">
        <f aca="false">IF(N192="","",N(R192)+N(S192)+N(T192))</f>
        <v/>
      </c>
      <c r="V192" s="27" t="str">
        <f aca="false">IF(N192="","",UPPER(TRIM(N192))&amp;"|"&amp;UPPER(TRIM(O192)))</f>
        <v/>
      </c>
      <c r="W192" s="7" t="str">
        <f aca="false">IF(N192="","",IF(COUNTIF($K$10:$K$309,V192)=0,"In 2B, not in books — check &amp; book",IF(ABS(U192-SUMIF($K$10:$K$309,V192,$J$10:$J$309))&lt;=1,"Matched","Tax amount differs")))</f>
        <v/>
      </c>
    </row>
    <row r="193" customFormat="false" ht="15" hidden="false" customHeight="false" outlineLevel="0" collapsed="false">
      <c r="B193" s="5"/>
      <c r="C193" s="5"/>
      <c r="D193" s="5"/>
      <c r="E193" s="16"/>
      <c r="F193" s="17"/>
      <c r="G193" s="17"/>
      <c r="H193" s="17"/>
      <c r="I193" s="17"/>
      <c r="J193" s="21" t="str">
        <f aca="false">IF(B193="","",N(G193)+N(H193)+N(I193))</f>
        <v/>
      </c>
      <c r="K193" s="27" t="str">
        <f aca="false">IF(B193="","",UPPER(TRIM(B193))&amp;"|"&amp;UPPER(TRIM(D193)))</f>
        <v/>
      </c>
      <c r="L193" s="7" t="str">
        <f aca="false">IF(B193="","",IF(COUNTIF($V$10:$V$309,K193)=0,"Not in 2B — ITC at risk",IF(ABS(J193-SUMIF($V$10:$V$309,K193,$U$10:$U$309))&lt;=1,"Matched","Tax amount differs")))</f>
        <v/>
      </c>
      <c r="N193" s="5"/>
      <c r="O193" s="5"/>
      <c r="P193" s="16"/>
      <c r="Q193" s="17"/>
      <c r="R193" s="17"/>
      <c r="S193" s="17"/>
      <c r="T193" s="17"/>
      <c r="U193" s="21" t="str">
        <f aca="false">IF(N193="","",N(R193)+N(S193)+N(T193))</f>
        <v/>
      </c>
      <c r="V193" s="27" t="str">
        <f aca="false">IF(N193="","",UPPER(TRIM(N193))&amp;"|"&amp;UPPER(TRIM(O193)))</f>
        <v/>
      </c>
      <c r="W193" s="7" t="str">
        <f aca="false">IF(N193="","",IF(COUNTIF($K$10:$K$309,V193)=0,"In 2B, not in books — check &amp; book",IF(ABS(U193-SUMIF($K$10:$K$309,V193,$J$10:$J$309))&lt;=1,"Matched","Tax amount differs")))</f>
        <v/>
      </c>
    </row>
    <row r="194" customFormat="false" ht="15" hidden="false" customHeight="false" outlineLevel="0" collapsed="false">
      <c r="B194" s="5"/>
      <c r="C194" s="5"/>
      <c r="D194" s="5"/>
      <c r="E194" s="16"/>
      <c r="F194" s="17"/>
      <c r="G194" s="17"/>
      <c r="H194" s="17"/>
      <c r="I194" s="17"/>
      <c r="J194" s="21" t="str">
        <f aca="false">IF(B194="","",N(G194)+N(H194)+N(I194))</f>
        <v/>
      </c>
      <c r="K194" s="27" t="str">
        <f aca="false">IF(B194="","",UPPER(TRIM(B194))&amp;"|"&amp;UPPER(TRIM(D194)))</f>
        <v/>
      </c>
      <c r="L194" s="7" t="str">
        <f aca="false">IF(B194="","",IF(COUNTIF($V$10:$V$309,K194)=0,"Not in 2B — ITC at risk",IF(ABS(J194-SUMIF($V$10:$V$309,K194,$U$10:$U$309))&lt;=1,"Matched","Tax amount differs")))</f>
        <v/>
      </c>
      <c r="N194" s="5"/>
      <c r="O194" s="5"/>
      <c r="P194" s="16"/>
      <c r="Q194" s="17"/>
      <c r="R194" s="17"/>
      <c r="S194" s="17"/>
      <c r="T194" s="17"/>
      <c r="U194" s="21" t="str">
        <f aca="false">IF(N194="","",N(R194)+N(S194)+N(T194))</f>
        <v/>
      </c>
      <c r="V194" s="27" t="str">
        <f aca="false">IF(N194="","",UPPER(TRIM(N194))&amp;"|"&amp;UPPER(TRIM(O194)))</f>
        <v/>
      </c>
      <c r="W194" s="7" t="str">
        <f aca="false">IF(N194="","",IF(COUNTIF($K$10:$K$309,V194)=0,"In 2B, not in books — check &amp; book",IF(ABS(U194-SUMIF($K$10:$K$309,V194,$J$10:$J$309))&lt;=1,"Matched","Tax amount differs")))</f>
        <v/>
      </c>
    </row>
    <row r="195" customFormat="false" ht="15" hidden="false" customHeight="false" outlineLevel="0" collapsed="false">
      <c r="B195" s="5"/>
      <c r="C195" s="5"/>
      <c r="D195" s="5"/>
      <c r="E195" s="16"/>
      <c r="F195" s="17"/>
      <c r="G195" s="17"/>
      <c r="H195" s="17"/>
      <c r="I195" s="17"/>
      <c r="J195" s="21" t="str">
        <f aca="false">IF(B195="","",N(G195)+N(H195)+N(I195))</f>
        <v/>
      </c>
      <c r="K195" s="27" t="str">
        <f aca="false">IF(B195="","",UPPER(TRIM(B195))&amp;"|"&amp;UPPER(TRIM(D195)))</f>
        <v/>
      </c>
      <c r="L195" s="7" t="str">
        <f aca="false">IF(B195="","",IF(COUNTIF($V$10:$V$309,K195)=0,"Not in 2B — ITC at risk",IF(ABS(J195-SUMIF($V$10:$V$309,K195,$U$10:$U$309))&lt;=1,"Matched","Tax amount differs")))</f>
        <v/>
      </c>
      <c r="N195" s="5"/>
      <c r="O195" s="5"/>
      <c r="P195" s="16"/>
      <c r="Q195" s="17"/>
      <c r="R195" s="17"/>
      <c r="S195" s="17"/>
      <c r="T195" s="17"/>
      <c r="U195" s="21" t="str">
        <f aca="false">IF(N195="","",N(R195)+N(S195)+N(T195))</f>
        <v/>
      </c>
      <c r="V195" s="27" t="str">
        <f aca="false">IF(N195="","",UPPER(TRIM(N195))&amp;"|"&amp;UPPER(TRIM(O195)))</f>
        <v/>
      </c>
      <c r="W195" s="7" t="str">
        <f aca="false">IF(N195="","",IF(COUNTIF($K$10:$K$309,V195)=0,"In 2B, not in books — check &amp; book",IF(ABS(U195-SUMIF($K$10:$K$309,V195,$J$10:$J$309))&lt;=1,"Matched","Tax amount differs")))</f>
        <v/>
      </c>
    </row>
    <row r="196" customFormat="false" ht="15" hidden="false" customHeight="false" outlineLevel="0" collapsed="false">
      <c r="B196" s="5"/>
      <c r="C196" s="5"/>
      <c r="D196" s="5"/>
      <c r="E196" s="16"/>
      <c r="F196" s="17"/>
      <c r="G196" s="17"/>
      <c r="H196" s="17"/>
      <c r="I196" s="17"/>
      <c r="J196" s="21" t="str">
        <f aca="false">IF(B196="","",N(G196)+N(H196)+N(I196))</f>
        <v/>
      </c>
      <c r="K196" s="27" t="str">
        <f aca="false">IF(B196="","",UPPER(TRIM(B196))&amp;"|"&amp;UPPER(TRIM(D196)))</f>
        <v/>
      </c>
      <c r="L196" s="7" t="str">
        <f aca="false">IF(B196="","",IF(COUNTIF($V$10:$V$309,K196)=0,"Not in 2B — ITC at risk",IF(ABS(J196-SUMIF($V$10:$V$309,K196,$U$10:$U$309))&lt;=1,"Matched","Tax amount differs")))</f>
        <v/>
      </c>
      <c r="N196" s="5"/>
      <c r="O196" s="5"/>
      <c r="P196" s="16"/>
      <c r="Q196" s="17"/>
      <c r="R196" s="17"/>
      <c r="S196" s="17"/>
      <c r="T196" s="17"/>
      <c r="U196" s="21" t="str">
        <f aca="false">IF(N196="","",N(R196)+N(S196)+N(T196))</f>
        <v/>
      </c>
      <c r="V196" s="27" t="str">
        <f aca="false">IF(N196="","",UPPER(TRIM(N196))&amp;"|"&amp;UPPER(TRIM(O196)))</f>
        <v/>
      </c>
      <c r="W196" s="7" t="str">
        <f aca="false">IF(N196="","",IF(COUNTIF($K$10:$K$309,V196)=0,"In 2B, not in books — check &amp; book",IF(ABS(U196-SUMIF($K$10:$K$309,V196,$J$10:$J$309))&lt;=1,"Matched","Tax amount differs")))</f>
        <v/>
      </c>
    </row>
    <row r="197" customFormat="false" ht="15" hidden="false" customHeight="false" outlineLevel="0" collapsed="false">
      <c r="B197" s="5"/>
      <c r="C197" s="5"/>
      <c r="D197" s="5"/>
      <c r="E197" s="16"/>
      <c r="F197" s="17"/>
      <c r="G197" s="17"/>
      <c r="H197" s="17"/>
      <c r="I197" s="17"/>
      <c r="J197" s="21" t="str">
        <f aca="false">IF(B197="","",N(G197)+N(H197)+N(I197))</f>
        <v/>
      </c>
      <c r="K197" s="27" t="str">
        <f aca="false">IF(B197="","",UPPER(TRIM(B197))&amp;"|"&amp;UPPER(TRIM(D197)))</f>
        <v/>
      </c>
      <c r="L197" s="7" t="str">
        <f aca="false">IF(B197="","",IF(COUNTIF($V$10:$V$309,K197)=0,"Not in 2B — ITC at risk",IF(ABS(J197-SUMIF($V$10:$V$309,K197,$U$10:$U$309))&lt;=1,"Matched","Tax amount differs")))</f>
        <v/>
      </c>
      <c r="N197" s="5"/>
      <c r="O197" s="5"/>
      <c r="P197" s="16"/>
      <c r="Q197" s="17"/>
      <c r="R197" s="17"/>
      <c r="S197" s="17"/>
      <c r="T197" s="17"/>
      <c r="U197" s="21" t="str">
        <f aca="false">IF(N197="","",N(R197)+N(S197)+N(T197))</f>
        <v/>
      </c>
      <c r="V197" s="27" t="str">
        <f aca="false">IF(N197="","",UPPER(TRIM(N197))&amp;"|"&amp;UPPER(TRIM(O197)))</f>
        <v/>
      </c>
      <c r="W197" s="7" t="str">
        <f aca="false">IF(N197="","",IF(COUNTIF($K$10:$K$309,V197)=0,"In 2B, not in books — check &amp; book",IF(ABS(U197-SUMIF($K$10:$K$309,V197,$J$10:$J$309))&lt;=1,"Matched","Tax amount differs")))</f>
        <v/>
      </c>
    </row>
    <row r="198" customFormat="false" ht="15" hidden="false" customHeight="false" outlineLevel="0" collapsed="false">
      <c r="B198" s="5"/>
      <c r="C198" s="5"/>
      <c r="D198" s="5"/>
      <c r="E198" s="16"/>
      <c r="F198" s="17"/>
      <c r="G198" s="17"/>
      <c r="H198" s="17"/>
      <c r="I198" s="17"/>
      <c r="J198" s="21" t="str">
        <f aca="false">IF(B198="","",N(G198)+N(H198)+N(I198))</f>
        <v/>
      </c>
      <c r="K198" s="27" t="str">
        <f aca="false">IF(B198="","",UPPER(TRIM(B198))&amp;"|"&amp;UPPER(TRIM(D198)))</f>
        <v/>
      </c>
      <c r="L198" s="7" t="str">
        <f aca="false">IF(B198="","",IF(COUNTIF($V$10:$V$309,K198)=0,"Not in 2B — ITC at risk",IF(ABS(J198-SUMIF($V$10:$V$309,K198,$U$10:$U$309))&lt;=1,"Matched","Tax amount differs")))</f>
        <v/>
      </c>
      <c r="N198" s="5"/>
      <c r="O198" s="5"/>
      <c r="P198" s="16"/>
      <c r="Q198" s="17"/>
      <c r="R198" s="17"/>
      <c r="S198" s="17"/>
      <c r="T198" s="17"/>
      <c r="U198" s="21" t="str">
        <f aca="false">IF(N198="","",N(R198)+N(S198)+N(T198))</f>
        <v/>
      </c>
      <c r="V198" s="27" t="str">
        <f aca="false">IF(N198="","",UPPER(TRIM(N198))&amp;"|"&amp;UPPER(TRIM(O198)))</f>
        <v/>
      </c>
      <c r="W198" s="7" t="str">
        <f aca="false">IF(N198="","",IF(COUNTIF($K$10:$K$309,V198)=0,"In 2B, not in books — check &amp; book",IF(ABS(U198-SUMIF($K$10:$K$309,V198,$J$10:$J$309))&lt;=1,"Matched","Tax amount differs")))</f>
        <v/>
      </c>
    </row>
    <row r="199" customFormat="false" ht="15" hidden="false" customHeight="false" outlineLevel="0" collapsed="false">
      <c r="B199" s="5"/>
      <c r="C199" s="5"/>
      <c r="D199" s="5"/>
      <c r="E199" s="16"/>
      <c r="F199" s="17"/>
      <c r="G199" s="17"/>
      <c r="H199" s="17"/>
      <c r="I199" s="17"/>
      <c r="J199" s="21" t="str">
        <f aca="false">IF(B199="","",N(G199)+N(H199)+N(I199))</f>
        <v/>
      </c>
      <c r="K199" s="27" t="str">
        <f aca="false">IF(B199="","",UPPER(TRIM(B199))&amp;"|"&amp;UPPER(TRIM(D199)))</f>
        <v/>
      </c>
      <c r="L199" s="7" t="str">
        <f aca="false">IF(B199="","",IF(COUNTIF($V$10:$V$309,K199)=0,"Not in 2B — ITC at risk",IF(ABS(J199-SUMIF($V$10:$V$309,K199,$U$10:$U$309))&lt;=1,"Matched","Tax amount differs")))</f>
        <v/>
      </c>
      <c r="N199" s="5"/>
      <c r="O199" s="5"/>
      <c r="P199" s="16"/>
      <c r="Q199" s="17"/>
      <c r="R199" s="17"/>
      <c r="S199" s="17"/>
      <c r="T199" s="17"/>
      <c r="U199" s="21" t="str">
        <f aca="false">IF(N199="","",N(R199)+N(S199)+N(T199))</f>
        <v/>
      </c>
      <c r="V199" s="27" t="str">
        <f aca="false">IF(N199="","",UPPER(TRIM(N199))&amp;"|"&amp;UPPER(TRIM(O199)))</f>
        <v/>
      </c>
      <c r="W199" s="7" t="str">
        <f aca="false">IF(N199="","",IF(COUNTIF($K$10:$K$309,V199)=0,"In 2B, not in books — check &amp; book",IF(ABS(U199-SUMIF($K$10:$K$309,V199,$J$10:$J$309))&lt;=1,"Matched","Tax amount differs")))</f>
        <v/>
      </c>
    </row>
    <row r="200" customFormat="false" ht="15" hidden="false" customHeight="false" outlineLevel="0" collapsed="false">
      <c r="B200" s="5"/>
      <c r="C200" s="5"/>
      <c r="D200" s="5"/>
      <c r="E200" s="16"/>
      <c r="F200" s="17"/>
      <c r="G200" s="17"/>
      <c r="H200" s="17"/>
      <c r="I200" s="17"/>
      <c r="J200" s="21" t="str">
        <f aca="false">IF(B200="","",N(G200)+N(H200)+N(I200))</f>
        <v/>
      </c>
      <c r="K200" s="27" t="str">
        <f aca="false">IF(B200="","",UPPER(TRIM(B200))&amp;"|"&amp;UPPER(TRIM(D200)))</f>
        <v/>
      </c>
      <c r="L200" s="7" t="str">
        <f aca="false">IF(B200="","",IF(COUNTIF($V$10:$V$309,K200)=0,"Not in 2B — ITC at risk",IF(ABS(J200-SUMIF($V$10:$V$309,K200,$U$10:$U$309))&lt;=1,"Matched","Tax amount differs")))</f>
        <v/>
      </c>
      <c r="N200" s="5"/>
      <c r="O200" s="5"/>
      <c r="P200" s="16"/>
      <c r="Q200" s="17"/>
      <c r="R200" s="17"/>
      <c r="S200" s="17"/>
      <c r="T200" s="17"/>
      <c r="U200" s="21" t="str">
        <f aca="false">IF(N200="","",N(R200)+N(S200)+N(T200))</f>
        <v/>
      </c>
      <c r="V200" s="27" t="str">
        <f aca="false">IF(N200="","",UPPER(TRIM(N200))&amp;"|"&amp;UPPER(TRIM(O200)))</f>
        <v/>
      </c>
      <c r="W200" s="7" t="str">
        <f aca="false">IF(N200="","",IF(COUNTIF($K$10:$K$309,V200)=0,"In 2B, not in books — check &amp; book",IF(ABS(U200-SUMIF($K$10:$K$309,V200,$J$10:$J$309))&lt;=1,"Matched","Tax amount differs")))</f>
        <v/>
      </c>
    </row>
    <row r="201" customFormat="false" ht="15" hidden="false" customHeight="false" outlineLevel="0" collapsed="false">
      <c r="B201" s="5"/>
      <c r="C201" s="5"/>
      <c r="D201" s="5"/>
      <c r="E201" s="16"/>
      <c r="F201" s="17"/>
      <c r="G201" s="17"/>
      <c r="H201" s="17"/>
      <c r="I201" s="17"/>
      <c r="J201" s="21" t="str">
        <f aca="false">IF(B201="","",N(G201)+N(H201)+N(I201))</f>
        <v/>
      </c>
      <c r="K201" s="27" t="str">
        <f aca="false">IF(B201="","",UPPER(TRIM(B201))&amp;"|"&amp;UPPER(TRIM(D201)))</f>
        <v/>
      </c>
      <c r="L201" s="7" t="str">
        <f aca="false">IF(B201="","",IF(COUNTIF($V$10:$V$309,K201)=0,"Not in 2B — ITC at risk",IF(ABS(J201-SUMIF($V$10:$V$309,K201,$U$10:$U$309))&lt;=1,"Matched","Tax amount differs")))</f>
        <v/>
      </c>
      <c r="N201" s="5"/>
      <c r="O201" s="5"/>
      <c r="P201" s="16"/>
      <c r="Q201" s="17"/>
      <c r="R201" s="17"/>
      <c r="S201" s="17"/>
      <c r="T201" s="17"/>
      <c r="U201" s="21" t="str">
        <f aca="false">IF(N201="","",N(R201)+N(S201)+N(T201))</f>
        <v/>
      </c>
      <c r="V201" s="27" t="str">
        <f aca="false">IF(N201="","",UPPER(TRIM(N201))&amp;"|"&amp;UPPER(TRIM(O201)))</f>
        <v/>
      </c>
      <c r="W201" s="7" t="str">
        <f aca="false">IF(N201="","",IF(COUNTIF($K$10:$K$309,V201)=0,"In 2B, not in books — check &amp; book",IF(ABS(U201-SUMIF($K$10:$K$309,V201,$J$10:$J$309))&lt;=1,"Matched","Tax amount differs")))</f>
        <v/>
      </c>
    </row>
    <row r="202" customFormat="false" ht="15" hidden="false" customHeight="false" outlineLevel="0" collapsed="false">
      <c r="B202" s="5"/>
      <c r="C202" s="5"/>
      <c r="D202" s="5"/>
      <c r="E202" s="16"/>
      <c r="F202" s="17"/>
      <c r="G202" s="17"/>
      <c r="H202" s="17"/>
      <c r="I202" s="17"/>
      <c r="J202" s="21" t="str">
        <f aca="false">IF(B202="","",N(G202)+N(H202)+N(I202))</f>
        <v/>
      </c>
      <c r="K202" s="27" t="str">
        <f aca="false">IF(B202="","",UPPER(TRIM(B202))&amp;"|"&amp;UPPER(TRIM(D202)))</f>
        <v/>
      </c>
      <c r="L202" s="7" t="str">
        <f aca="false">IF(B202="","",IF(COUNTIF($V$10:$V$309,K202)=0,"Not in 2B — ITC at risk",IF(ABS(J202-SUMIF($V$10:$V$309,K202,$U$10:$U$309))&lt;=1,"Matched","Tax amount differs")))</f>
        <v/>
      </c>
      <c r="N202" s="5"/>
      <c r="O202" s="5"/>
      <c r="P202" s="16"/>
      <c r="Q202" s="17"/>
      <c r="R202" s="17"/>
      <c r="S202" s="17"/>
      <c r="T202" s="17"/>
      <c r="U202" s="21" t="str">
        <f aca="false">IF(N202="","",N(R202)+N(S202)+N(T202))</f>
        <v/>
      </c>
      <c r="V202" s="27" t="str">
        <f aca="false">IF(N202="","",UPPER(TRIM(N202))&amp;"|"&amp;UPPER(TRIM(O202)))</f>
        <v/>
      </c>
      <c r="W202" s="7" t="str">
        <f aca="false">IF(N202="","",IF(COUNTIF($K$10:$K$309,V202)=0,"In 2B, not in books — check &amp; book",IF(ABS(U202-SUMIF($K$10:$K$309,V202,$J$10:$J$309))&lt;=1,"Matched","Tax amount differs")))</f>
        <v/>
      </c>
    </row>
    <row r="203" customFormat="false" ht="15" hidden="false" customHeight="false" outlineLevel="0" collapsed="false">
      <c r="B203" s="5"/>
      <c r="C203" s="5"/>
      <c r="D203" s="5"/>
      <c r="E203" s="16"/>
      <c r="F203" s="17"/>
      <c r="G203" s="17"/>
      <c r="H203" s="17"/>
      <c r="I203" s="17"/>
      <c r="J203" s="21" t="str">
        <f aca="false">IF(B203="","",N(G203)+N(H203)+N(I203))</f>
        <v/>
      </c>
      <c r="K203" s="27" t="str">
        <f aca="false">IF(B203="","",UPPER(TRIM(B203))&amp;"|"&amp;UPPER(TRIM(D203)))</f>
        <v/>
      </c>
      <c r="L203" s="7" t="str">
        <f aca="false">IF(B203="","",IF(COUNTIF($V$10:$V$309,K203)=0,"Not in 2B — ITC at risk",IF(ABS(J203-SUMIF($V$10:$V$309,K203,$U$10:$U$309))&lt;=1,"Matched","Tax amount differs")))</f>
        <v/>
      </c>
      <c r="N203" s="5"/>
      <c r="O203" s="5"/>
      <c r="P203" s="16"/>
      <c r="Q203" s="17"/>
      <c r="R203" s="17"/>
      <c r="S203" s="17"/>
      <c r="T203" s="17"/>
      <c r="U203" s="21" t="str">
        <f aca="false">IF(N203="","",N(R203)+N(S203)+N(T203))</f>
        <v/>
      </c>
      <c r="V203" s="27" t="str">
        <f aca="false">IF(N203="","",UPPER(TRIM(N203))&amp;"|"&amp;UPPER(TRIM(O203)))</f>
        <v/>
      </c>
      <c r="W203" s="7" t="str">
        <f aca="false">IF(N203="","",IF(COUNTIF($K$10:$K$309,V203)=0,"In 2B, not in books — check &amp; book",IF(ABS(U203-SUMIF($K$10:$K$309,V203,$J$10:$J$309))&lt;=1,"Matched","Tax amount differs")))</f>
        <v/>
      </c>
    </row>
    <row r="204" customFormat="false" ht="15" hidden="false" customHeight="false" outlineLevel="0" collapsed="false">
      <c r="B204" s="5"/>
      <c r="C204" s="5"/>
      <c r="D204" s="5"/>
      <c r="E204" s="16"/>
      <c r="F204" s="17"/>
      <c r="G204" s="17"/>
      <c r="H204" s="17"/>
      <c r="I204" s="17"/>
      <c r="J204" s="21" t="str">
        <f aca="false">IF(B204="","",N(G204)+N(H204)+N(I204))</f>
        <v/>
      </c>
      <c r="K204" s="27" t="str">
        <f aca="false">IF(B204="","",UPPER(TRIM(B204))&amp;"|"&amp;UPPER(TRIM(D204)))</f>
        <v/>
      </c>
      <c r="L204" s="7" t="str">
        <f aca="false">IF(B204="","",IF(COUNTIF($V$10:$V$309,K204)=0,"Not in 2B — ITC at risk",IF(ABS(J204-SUMIF($V$10:$V$309,K204,$U$10:$U$309))&lt;=1,"Matched","Tax amount differs")))</f>
        <v/>
      </c>
      <c r="N204" s="5"/>
      <c r="O204" s="5"/>
      <c r="P204" s="16"/>
      <c r="Q204" s="17"/>
      <c r="R204" s="17"/>
      <c r="S204" s="17"/>
      <c r="T204" s="17"/>
      <c r="U204" s="21" t="str">
        <f aca="false">IF(N204="","",N(R204)+N(S204)+N(T204))</f>
        <v/>
      </c>
      <c r="V204" s="27" t="str">
        <f aca="false">IF(N204="","",UPPER(TRIM(N204))&amp;"|"&amp;UPPER(TRIM(O204)))</f>
        <v/>
      </c>
      <c r="W204" s="7" t="str">
        <f aca="false">IF(N204="","",IF(COUNTIF($K$10:$K$309,V204)=0,"In 2B, not in books — check &amp; book",IF(ABS(U204-SUMIF($K$10:$K$309,V204,$J$10:$J$309))&lt;=1,"Matched","Tax amount differs")))</f>
        <v/>
      </c>
    </row>
    <row r="205" customFormat="false" ht="15" hidden="false" customHeight="false" outlineLevel="0" collapsed="false">
      <c r="B205" s="5"/>
      <c r="C205" s="5"/>
      <c r="D205" s="5"/>
      <c r="E205" s="16"/>
      <c r="F205" s="17"/>
      <c r="G205" s="17"/>
      <c r="H205" s="17"/>
      <c r="I205" s="17"/>
      <c r="J205" s="21" t="str">
        <f aca="false">IF(B205="","",N(G205)+N(H205)+N(I205))</f>
        <v/>
      </c>
      <c r="K205" s="27" t="str">
        <f aca="false">IF(B205="","",UPPER(TRIM(B205))&amp;"|"&amp;UPPER(TRIM(D205)))</f>
        <v/>
      </c>
      <c r="L205" s="7" t="str">
        <f aca="false">IF(B205="","",IF(COUNTIF($V$10:$V$309,K205)=0,"Not in 2B — ITC at risk",IF(ABS(J205-SUMIF($V$10:$V$309,K205,$U$10:$U$309))&lt;=1,"Matched","Tax amount differs")))</f>
        <v/>
      </c>
      <c r="N205" s="5"/>
      <c r="O205" s="5"/>
      <c r="P205" s="16"/>
      <c r="Q205" s="17"/>
      <c r="R205" s="17"/>
      <c r="S205" s="17"/>
      <c r="T205" s="17"/>
      <c r="U205" s="21" t="str">
        <f aca="false">IF(N205="","",N(R205)+N(S205)+N(T205))</f>
        <v/>
      </c>
      <c r="V205" s="27" t="str">
        <f aca="false">IF(N205="","",UPPER(TRIM(N205))&amp;"|"&amp;UPPER(TRIM(O205)))</f>
        <v/>
      </c>
      <c r="W205" s="7" t="str">
        <f aca="false">IF(N205="","",IF(COUNTIF($K$10:$K$309,V205)=0,"In 2B, not in books — check &amp; book",IF(ABS(U205-SUMIF($K$10:$K$309,V205,$J$10:$J$309))&lt;=1,"Matched","Tax amount differs")))</f>
        <v/>
      </c>
    </row>
    <row r="206" customFormat="false" ht="15" hidden="false" customHeight="false" outlineLevel="0" collapsed="false">
      <c r="B206" s="5"/>
      <c r="C206" s="5"/>
      <c r="D206" s="5"/>
      <c r="E206" s="16"/>
      <c r="F206" s="17"/>
      <c r="G206" s="17"/>
      <c r="H206" s="17"/>
      <c r="I206" s="17"/>
      <c r="J206" s="21" t="str">
        <f aca="false">IF(B206="","",N(G206)+N(H206)+N(I206))</f>
        <v/>
      </c>
      <c r="K206" s="27" t="str">
        <f aca="false">IF(B206="","",UPPER(TRIM(B206))&amp;"|"&amp;UPPER(TRIM(D206)))</f>
        <v/>
      </c>
      <c r="L206" s="7" t="str">
        <f aca="false">IF(B206="","",IF(COUNTIF($V$10:$V$309,K206)=0,"Not in 2B — ITC at risk",IF(ABS(J206-SUMIF($V$10:$V$309,K206,$U$10:$U$309))&lt;=1,"Matched","Tax amount differs")))</f>
        <v/>
      </c>
      <c r="N206" s="5"/>
      <c r="O206" s="5"/>
      <c r="P206" s="16"/>
      <c r="Q206" s="17"/>
      <c r="R206" s="17"/>
      <c r="S206" s="17"/>
      <c r="T206" s="17"/>
      <c r="U206" s="21" t="str">
        <f aca="false">IF(N206="","",N(R206)+N(S206)+N(T206))</f>
        <v/>
      </c>
      <c r="V206" s="27" t="str">
        <f aca="false">IF(N206="","",UPPER(TRIM(N206))&amp;"|"&amp;UPPER(TRIM(O206)))</f>
        <v/>
      </c>
      <c r="W206" s="7" t="str">
        <f aca="false">IF(N206="","",IF(COUNTIF($K$10:$K$309,V206)=0,"In 2B, not in books — check &amp; book",IF(ABS(U206-SUMIF($K$10:$K$309,V206,$J$10:$J$309))&lt;=1,"Matched","Tax amount differs")))</f>
        <v/>
      </c>
    </row>
    <row r="207" customFormat="false" ht="15" hidden="false" customHeight="false" outlineLevel="0" collapsed="false">
      <c r="B207" s="5"/>
      <c r="C207" s="5"/>
      <c r="D207" s="5"/>
      <c r="E207" s="16"/>
      <c r="F207" s="17"/>
      <c r="G207" s="17"/>
      <c r="H207" s="17"/>
      <c r="I207" s="17"/>
      <c r="J207" s="21" t="str">
        <f aca="false">IF(B207="","",N(G207)+N(H207)+N(I207))</f>
        <v/>
      </c>
      <c r="K207" s="27" t="str">
        <f aca="false">IF(B207="","",UPPER(TRIM(B207))&amp;"|"&amp;UPPER(TRIM(D207)))</f>
        <v/>
      </c>
      <c r="L207" s="7" t="str">
        <f aca="false">IF(B207="","",IF(COUNTIF($V$10:$V$309,K207)=0,"Not in 2B — ITC at risk",IF(ABS(J207-SUMIF($V$10:$V$309,K207,$U$10:$U$309))&lt;=1,"Matched","Tax amount differs")))</f>
        <v/>
      </c>
      <c r="N207" s="5"/>
      <c r="O207" s="5"/>
      <c r="P207" s="16"/>
      <c r="Q207" s="17"/>
      <c r="R207" s="17"/>
      <c r="S207" s="17"/>
      <c r="T207" s="17"/>
      <c r="U207" s="21" t="str">
        <f aca="false">IF(N207="","",N(R207)+N(S207)+N(T207))</f>
        <v/>
      </c>
      <c r="V207" s="27" t="str">
        <f aca="false">IF(N207="","",UPPER(TRIM(N207))&amp;"|"&amp;UPPER(TRIM(O207)))</f>
        <v/>
      </c>
      <c r="W207" s="7" t="str">
        <f aca="false">IF(N207="","",IF(COUNTIF($K$10:$K$309,V207)=0,"In 2B, not in books — check &amp; book",IF(ABS(U207-SUMIF($K$10:$K$309,V207,$J$10:$J$309))&lt;=1,"Matched","Tax amount differs")))</f>
        <v/>
      </c>
    </row>
    <row r="208" customFormat="false" ht="15" hidden="false" customHeight="false" outlineLevel="0" collapsed="false">
      <c r="B208" s="5"/>
      <c r="C208" s="5"/>
      <c r="D208" s="5"/>
      <c r="E208" s="16"/>
      <c r="F208" s="17"/>
      <c r="G208" s="17"/>
      <c r="H208" s="17"/>
      <c r="I208" s="17"/>
      <c r="J208" s="21" t="str">
        <f aca="false">IF(B208="","",N(G208)+N(H208)+N(I208))</f>
        <v/>
      </c>
      <c r="K208" s="27" t="str">
        <f aca="false">IF(B208="","",UPPER(TRIM(B208))&amp;"|"&amp;UPPER(TRIM(D208)))</f>
        <v/>
      </c>
      <c r="L208" s="7" t="str">
        <f aca="false">IF(B208="","",IF(COUNTIF($V$10:$V$309,K208)=0,"Not in 2B — ITC at risk",IF(ABS(J208-SUMIF($V$10:$V$309,K208,$U$10:$U$309))&lt;=1,"Matched","Tax amount differs")))</f>
        <v/>
      </c>
      <c r="N208" s="5"/>
      <c r="O208" s="5"/>
      <c r="P208" s="16"/>
      <c r="Q208" s="17"/>
      <c r="R208" s="17"/>
      <c r="S208" s="17"/>
      <c r="T208" s="17"/>
      <c r="U208" s="21" t="str">
        <f aca="false">IF(N208="","",N(R208)+N(S208)+N(T208))</f>
        <v/>
      </c>
      <c r="V208" s="27" t="str">
        <f aca="false">IF(N208="","",UPPER(TRIM(N208))&amp;"|"&amp;UPPER(TRIM(O208)))</f>
        <v/>
      </c>
      <c r="W208" s="7" t="str">
        <f aca="false">IF(N208="","",IF(COUNTIF($K$10:$K$309,V208)=0,"In 2B, not in books — check &amp; book",IF(ABS(U208-SUMIF($K$10:$K$309,V208,$J$10:$J$309))&lt;=1,"Matched","Tax amount differs")))</f>
        <v/>
      </c>
    </row>
    <row r="209" customFormat="false" ht="15" hidden="false" customHeight="false" outlineLevel="0" collapsed="false">
      <c r="B209" s="5"/>
      <c r="C209" s="5"/>
      <c r="D209" s="5"/>
      <c r="E209" s="16"/>
      <c r="F209" s="17"/>
      <c r="G209" s="17"/>
      <c r="H209" s="17"/>
      <c r="I209" s="17"/>
      <c r="J209" s="21" t="str">
        <f aca="false">IF(B209="","",N(G209)+N(H209)+N(I209))</f>
        <v/>
      </c>
      <c r="K209" s="27" t="str">
        <f aca="false">IF(B209="","",UPPER(TRIM(B209))&amp;"|"&amp;UPPER(TRIM(D209)))</f>
        <v/>
      </c>
      <c r="L209" s="7" t="str">
        <f aca="false">IF(B209="","",IF(COUNTIF($V$10:$V$309,K209)=0,"Not in 2B — ITC at risk",IF(ABS(J209-SUMIF($V$10:$V$309,K209,$U$10:$U$309))&lt;=1,"Matched","Tax amount differs")))</f>
        <v/>
      </c>
      <c r="N209" s="5"/>
      <c r="O209" s="5"/>
      <c r="P209" s="16"/>
      <c r="Q209" s="17"/>
      <c r="R209" s="17"/>
      <c r="S209" s="17"/>
      <c r="T209" s="17"/>
      <c r="U209" s="21" t="str">
        <f aca="false">IF(N209="","",N(R209)+N(S209)+N(T209))</f>
        <v/>
      </c>
      <c r="V209" s="27" t="str">
        <f aca="false">IF(N209="","",UPPER(TRIM(N209))&amp;"|"&amp;UPPER(TRIM(O209)))</f>
        <v/>
      </c>
      <c r="W209" s="7" t="str">
        <f aca="false">IF(N209="","",IF(COUNTIF($K$10:$K$309,V209)=0,"In 2B, not in books — check &amp; book",IF(ABS(U209-SUMIF($K$10:$K$309,V209,$J$10:$J$309))&lt;=1,"Matched","Tax amount differs")))</f>
        <v/>
      </c>
    </row>
    <row r="210" customFormat="false" ht="15" hidden="false" customHeight="false" outlineLevel="0" collapsed="false">
      <c r="B210" s="5"/>
      <c r="C210" s="5"/>
      <c r="D210" s="5"/>
      <c r="E210" s="16"/>
      <c r="F210" s="17"/>
      <c r="G210" s="17"/>
      <c r="H210" s="17"/>
      <c r="I210" s="17"/>
      <c r="J210" s="21" t="str">
        <f aca="false">IF(B210="","",N(G210)+N(H210)+N(I210))</f>
        <v/>
      </c>
      <c r="K210" s="27" t="str">
        <f aca="false">IF(B210="","",UPPER(TRIM(B210))&amp;"|"&amp;UPPER(TRIM(D210)))</f>
        <v/>
      </c>
      <c r="L210" s="7" t="str">
        <f aca="false">IF(B210="","",IF(COUNTIF($V$10:$V$309,K210)=0,"Not in 2B — ITC at risk",IF(ABS(J210-SUMIF($V$10:$V$309,K210,$U$10:$U$309))&lt;=1,"Matched","Tax amount differs")))</f>
        <v/>
      </c>
      <c r="N210" s="5"/>
      <c r="O210" s="5"/>
      <c r="P210" s="16"/>
      <c r="Q210" s="17"/>
      <c r="R210" s="17"/>
      <c r="S210" s="17"/>
      <c r="T210" s="17"/>
      <c r="U210" s="21" t="str">
        <f aca="false">IF(N210="","",N(R210)+N(S210)+N(T210))</f>
        <v/>
      </c>
      <c r="V210" s="27" t="str">
        <f aca="false">IF(N210="","",UPPER(TRIM(N210))&amp;"|"&amp;UPPER(TRIM(O210)))</f>
        <v/>
      </c>
      <c r="W210" s="7" t="str">
        <f aca="false">IF(N210="","",IF(COUNTIF($K$10:$K$309,V210)=0,"In 2B, not in books — check &amp; book",IF(ABS(U210-SUMIF($K$10:$K$309,V210,$J$10:$J$309))&lt;=1,"Matched","Tax amount differs")))</f>
        <v/>
      </c>
    </row>
    <row r="211" customFormat="false" ht="15" hidden="false" customHeight="false" outlineLevel="0" collapsed="false">
      <c r="B211" s="5"/>
      <c r="C211" s="5"/>
      <c r="D211" s="5"/>
      <c r="E211" s="16"/>
      <c r="F211" s="17"/>
      <c r="G211" s="17"/>
      <c r="H211" s="17"/>
      <c r="I211" s="17"/>
      <c r="J211" s="21" t="str">
        <f aca="false">IF(B211="","",N(G211)+N(H211)+N(I211))</f>
        <v/>
      </c>
      <c r="K211" s="27" t="str">
        <f aca="false">IF(B211="","",UPPER(TRIM(B211))&amp;"|"&amp;UPPER(TRIM(D211)))</f>
        <v/>
      </c>
      <c r="L211" s="7" t="str">
        <f aca="false">IF(B211="","",IF(COUNTIF($V$10:$V$309,K211)=0,"Not in 2B — ITC at risk",IF(ABS(J211-SUMIF($V$10:$V$309,K211,$U$10:$U$309))&lt;=1,"Matched","Tax amount differs")))</f>
        <v/>
      </c>
      <c r="N211" s="5"/>
      <c r="O211" s="5"/>
      <c r="P211" s="16"/>
      <c r="Q211" s="17"/>
      <c r="R211" s="17"/>
      <c r="S211" s="17"/>
      <c r="T211" s="17"/>
      <c r="U211" s="21" t="str">
        <f aca="false">IF(N211="","",N(R211)+N(S211)+N(T211))</f>
        <v/>
      </c>
      <c r="V211" s="27" t="str">
        <f aca="false">IF(N211="","",UPPER(TRIM(N211))&amp;"|"&amp;UPPER(TRIM(O211)))</f>
        <v/>
      </c>
      <c r="W211" s="7" t="str">
        <f aca="false">IF(N211="","",IF(COUNTIF($K$10:$K$309,V211)=0,"In 2B, not in books — check &amp; book",IF(ABS(U211-SUMIF($K$10:$K$309,V211,$J$10:$J$309))&lt;=1,"Matched","Tax amount differs")))</f>
        <v/>
      </c>
    </row>
    <row r="212" customFormat="false" ht="15" hidden="false" customHeight="false" outlineLevel="0" collapsed="false">
      <c r="B212" s="5"/>
      <c r="C212" s="5"/>
      <c r="D212" s="5"/>
      <c r="E212" s="16"/>
      <c r="F212" s="17"/>
      <c r="G212" s="17"/>
      <c r="H212" s="17"/>
      <c r="I212" s="17"/>
      <c r="J212" s="21" t="str">
        <f aca="false">IF(B212="","",N(G212)+N(H212)+N(I212))</f>
        <v/>
      </c>
      <c r="K212" s="27" t="str">
        <f aca="false">IF(B212="","",UPPER(TRIM(B212))&amp;"|"&amp;UPPER(TRIM(D212)))</f>
        <v/>
      </c>
      <c r="L212" s="7" t="str">
        <f aca="false">IF(B212="","",IF(COUNTIF($V$10:$V$309,K212)=0,"Not in 2B — ITC at risk",IF(ABS(J212-SUMIF($V$10:$V$309,K212,$U$10:$U$309))&lt;=1,"Matched","Tax amount differs")))</f>
        <v/>
      </c>
      <c r="N212" s="5"/>
      <c r="O212" s="5"/>
      <c r="P212" s="16"/>
      <c r="Q212" s="17"/>
      <c r="R212" s="17"/>
      <c r="S212" s="17"/>
      <c r="T212" s="17"/>
      <c r="U212" s="21" t="str">
        <f aca="false">IF(N212="","",N(R212)+N(S212)+N(T212))</f>
        <v/>
      </c>
      <c r="V212" s="27" t="str">
        <f aca="false">IF(N212="","",UPPER(TRIM(N212))&amp;"|"&amp;UPPER(TRIM(O212)))</f>
        <v/>
      </c>
      <c r="W212" s="7" t="str">
        <f aca="false">IF(N212="","",IF(COUNTIF($K$10:$K$309,V212)=0,"In 2B, not in books — check &amp; book",IF(ABS(U212-SUMIF($K$10:$K$309,V212,$J$10:$J$309))&lt;=1,"Matched","Tax amount differs")))</f>
        <v/>
      </c>
    </row>
    <row r="213" customFormat="false" ht="15" hidden="false" customHeight="false" outlineLevel="0" collapsed="false">
      <c r="B213" s="5"/>
      <c r="C213" s="5"/>
      <c r="D213" s="5"/>
      <c r="E213" s="16"/>
      <c r="F213" s="17"/>
      <c r="G213" s="17"/>
      <c r="H213" s="17"/>
      <c r="I213" s="17"/>
      <c r="J213" s="21" t="str">
        <f aca="false">IF(B213="","",N(G213)+N(H213)+N(I213))</f>
        <v/>
      </c>
      <c r="K213" s="27" t="str">
        <f aca="false">IF(B213="","",UPPER(TRIM(B213))&amp;"|"&amp;UPPER(TRIM(D213)))</f>
        <v/>
      </c>
      <c r="L213" s="7" t="str">
        <f aca="false">IF(B213="","",IF(COUNTIF($V$10:$V$309,K213)=0,"Not in 2B — ITC at risk",IF(ABS(J213-SUMIF($V$10:$V$309,K213,$U$10:$U$309))&lt;=1,"Matched","Tax amount differs")))</f>
        <v/>
      </c>
      <c r="N213" s="5"/>
      <c r="O213" s="5"/>
      <c r="P213" s="16"/>
      <c r="Q213" s="17"/>
      <c r="R213" s="17"/>
      <c r="S213" s="17"/>
      <c r="T213" s="17"/>
      <c r="U213" s="21" t="str">
        <f aca="false">IF(N213="","",N(R213)+N(S213)+N(T213))</f>
        <v/>
      </c>
      <c r="V213" s="27" t="str">
        <f aca="false">IF(N213="","",UPPER(TRIM(N213))&amp;"|"&amp;UPPER(TRIM(O213)))</f>
        <v/>
      </c>
      <c r="W213" s="7" t="str">
        <f aca="false">IF(N213="","",IF(COUNTIF($K$10:$K$309,V213)=0,"In 2B, not in books — check &amp; book",IF(ABS(U213-SUMIF($K$10:$K$309,V213,$J$10:$J$309))&lt;=1,"Matched","Tax amount differs")))</f>
        <v/>
      </c>
    </row>
    <row r="214" customFormat="false" ht="15" hidden="false" customHeight="false" outlineLevel="0" collapsed="false">
      <c r="B214" s="5"/>
      <c r="C214" s="5"/>
      <c r="D214" s="5"/>
      <c r="E214" s="16"/>
      <c r="F214" s="17"/>
      <c r="G214" s="17"/>
      <c r="H214" s="17"/>
      <c r="I214" s="17"/>
      <c r="J214" s="21" t="str">
        <f aca="false">IF(B214="","",N(G214)+N(H214)+N(I214))</f>
        <v/>
      </c>
      <c r="K214" s="27" t="str">
        <f aca="false">IF(B214="","",UPPER(TRIM(B214))&amp;"|"&amp;UPPER(TRIM(D214)))</f>
        <v/>
      </c>
      <c r="L214" s="7" t="str">
        <f aca="false">IF(B214="","",IF(COUNTIF($V$10:$V$309,K214)=0,"Not in 2B — ITC at risk",IF(ABS(J214-SUMIF($V$10:$V$309,K214,$U$10:$U$309))&lt;=1,"Matched","Tax amount differs")))</f>
        <v/>
      </c>
      <c r="N214" s="5"/>
      <c r="O214" s="5"/>
      <c r="P214" s="16"/>
      <c r="Q214" s="17"/>
      <c r="R214" s="17"/>
      <c r="S214" s="17"/>
      <c r="T214" s="17"/>
      <c r="U214" s="21" t="str">
        <f aca="false">IF(N214="","",N(R214)+N(S214)+N(T214))</f>
        <v/>
      </c>
      <c r="V214" s="27" t="str">
        <f aca="false">IF(N214="","",UPPER(TRIM(N214))&amp;"|"&amp;UPPER(TRIM(O214)))</f>
        <v/>
      </c>
      <c r="W214" s="7" t="str">
        <f aca="false">IF(N214="","",IF(COUNTIF($K$10:$K$309,V214)=0,"In 2B, not in books — check &amp; book",IF(ABS(U214-SUMIF($K$10:$K$309,V214,$J$10:$J$309))&lt;=1,"Matched","Tax amount differs")))</f>
        <v/>
      </c>
    </row>
    <row r="215" customFormat="false" ht="15" hidden="false" customHeight="false" outlineLevel="0" collapsed="false">
      <c r="B215" s="5"/>
      <c r="C215" s="5"/>
      <c r="D215" s="5"/>
      <c r="E215" s="16"/>
      <c r="F215" s="17"/>
      <c r="G215" s="17"/>
      <c r="H215" s="17"/>
      <c r="I215" s="17"/>
      <c r="J215" s="21" t="str">
        <f aca="false">IF(B215="","",N(G215)+N(H215)+N(I215))</f>
        <v/>
      </c>
      <c r="K215" s="27" t="str">
        <f aca="false">IF(B215="","",UPPER(TRIM(B215))&amp;"|"&amp;UPPER(TRIM(D215)))</f>
        <v/>
      </c>
      <c r="L215" s="7" t="str">
        <f aca="false">IF(B215="","",IF(COUNTIF($V$10:$V$309,K215)=0,"Not in 2B — ITC at risk",IF(ABS(J215-SUMIF($V$10:$V$309,K215,$U$10:$U$309))&lt;=1,"Matched","Tax amount differs")))</f>
        <v/>
      </c>
      <c r="N215" s="5"/>
      <c r="O215" s="5"/>
      <c r="P215" s="16"/>
      <c r="Q215" s="17"/>
      <c r="R215" s="17"/>
      <c r="S215" s="17"/>
      <c r="T215" s="17"/>
      <c r="U215" s="21" t="str">
        <f aca="false">IF(N215="","",N(R215)+N(S215)+N(T215))</f>
        <v/>
      </c>
      <c r="V215" s="27" t="str">
        <f aca="false">IF(N215="","",UPPER(TRIM(N215))&amp;"|"&amp;UPPER(TRIM(O215)))</f>
        <v/>
      </c>
      <c r="W215" s="7" t="str">
        <f aca="false">IF(N215="","",IF(COUNTIF($K$10:$K$309,V215)=0,"In 2B, not in books — check &amp; book",IF(ABS(U215-SUMIF($K$10:$K$309,V215,$J$10:$J$309))&lt;=1,"Matched","Tax amount differs")))</f>
        <v/>
      </c>
    </row>
    <row r="216" customFormat="false" ht="15" hidden="false" customHeight="false" outlineLevel="0" collapsed="false">
      <c r="B216" s="5"/>
      <c r="C216" s="5"/>
      <c r="D216" s="5"/>
      <c r="E216" s="16"/>
      <c r="F216" s="17"/>
      <c r="G216" s="17"/>
      <c r="H216" s="17"/>
      <c r="I216" s="17"/>
      <c r="J216" s="21" t="str">
        <f aca="false">IF(B216="","",N(G216)+N(H216)+N(I216))</f>
        <v/>
      </c>
      <c r="K216" s="27" t="str">
        <f aca="false">IF(B216="","",UPPER(TRIM(B216))&amp;"|"&amp;UPPER(TRIM(D216)))</f>
        <v/>
      </c>
      <c r="L216" s="7" t="str">
        <f aca="false">IF(B216="","",IF(COUNTIF($V$10:$V$309,K216)=0,"Not in 2B — ITC at risk",IF(ABS(J216-SUMIF($V$10:$V$309,K216,$U$10:$U$309))&lt;=1,"Matched","Tax amount differs")))</f>
        <v/>
      </c>
      <c r="N216" s="5"/>
      <c r="O216" s="5"/>
      <c r="P216" s="16"/>
      <c r="Q216" s="17"/>
      <c r="R216" s="17"/>
      <c r="S216" s="17"/>
      <c r="T216" s="17"/>
      <c r="U216" s="21" t="str">
        <f aca="false">IF(N216="","",N(R216)+N(S216)+N(T216))</f>
        <v/>
      </c>
      <c r="V216" s="27" t="str">
        <f aca="false">IF(N216="","",UPPER(TRIM(N216))&amp;"|"&amp;UPPER(TRIM(O216)))</f>
        <v/>
      </c>
      <c r="W216" s="7" t="str">
        <f aca="false">IF(N216="","",IF(COUNTIF($K$10:$K$309,V216)=0,"In 2B, not in books — check &amp; book",IF(ABS(U216-SUMIF($K$10:$K$309,V216,$J$10:$J$309))&lt;=1,"Matched","Tax amount differs")))</f>
        <v/>
      </c>
    </row>
    <row r="217" customFormat="false" ht="15" hidden="false" customHeight="false" outlineLevel="0" collapsed="false">
      <c r="B217" s="5"/>
      <c r="C217" s="5"/>
      <c r="D217" s="5"/>
      <c r="E217" s="16"/>
      <c r="F217" s="17"/>
      <c r="G217" s="17"/>
      <c r="H217" s="17"/>
      <c r="I217" s="17"/>
      <c r="J217" s="21" t="str">
        <f aca="false">IF(B217="","",N(G217)+N(H217)+N(I217))</f>
        <v/>
      </c>
      <c r="K217" s="27" t="str">
        <f aca="false">IF(B217="","",UPPER(TRIM(B217))&amp;"|"&amp;UPPER(TRIM(D217)))</f>
        <v/>
      </c>
      <c r="L217" s="7" t="str">
        <f aca="false">IF(B217="","",IF(COUNTIF($V$10:$V$309,K217)=0,"Not in 2B — ITC at risk",IF(ABS(J217-SUMIF($V$10:$V$309,K217,$U$10:$U$309))&lt;=1,"Matched","Tax amount differs")))</f>
        <v/>
      </c>
      <c r="N217" s="5"/>
      <c r="O217" s="5"/>
      <c r="P217" s="16"/>
      <c r="Q217" s="17"/>
      <c r="R217" s="17"/>
      <c r="S217" s="17"/>
      <c r="T217" s="17"/>
      <c r="U217" s="21" t="str">
        <f aca="false">IF(N217="","",N(R217)+N(S217)+N(T217))</f>
        <v/>
      </c>
      <c r="V217" s="27" t="str">
        <f aca="false">IF(N217="","",UPPER(TRIM(N217))&amp;"|"&amp;UPPER(TRIM(O217)))</f>
        <v/>
      </c>
      <c r="W217" s="7" t="str">
        <f aca="false">IF(N217="","",IF(COUNTIF($K$10:$K$309,V217)=0,"In 2B, not in books — check &amp; book",IF(ABS(U217-SUMIF($K$10:$K$309,V217,$J$10:$J$309))&lt;=1,"Matched","Tax amount differs")))</f>
        <v/>
      </c>
    </row>
    <row r="218" customFormat="false" ht="15" hidden="false" customHeight="false" outlineLevel="0" collapsed="false">
      <c r="B218" s="5"/>
      <c r="C218" s="5"/>
      <c r="D218" s="5"/>
      <c r="E218" s="16"/>
      <c r="F218" s="17"/>
      <c r="G218" s="17"/>
      <c r="H218" s="17"/>
      <c r="I218" s="17"/>
      <c r="J218" s="21" t="str">
        <f aca="false">IF(B218="","",N(G218)+N(H218)+N(I218))</f>
        <v/>
      </c>
      <c r="K218" s="27" t="str">
        <f aca="false">IF(B218="","",UPPER(TRIM(B218))&amp;"|"&amp;UPPER(TRIM(D218)))</f>
        <v/>
      </c>
      <c r="L218" s="7" t="str">
        <f aca="false">IF(B218="","",IF(COUNTIF($V$10:$V$309,K218)=0,"Not in 2B — ITC at risk",IF(ABS(J218-SUMIF($V$10:$V$309,K218,$U$10:$U$309))&lt;=1,"Matched","Tax amount differs")))</f>
        <v/>
      </c>
      <c r="N218" s="5"/>
      <c r="O218" s="5"/>
      <c r="P218" s="16"/>
      <c r="Q218" s="17"/>
      <c r="R218" s="17"/>
      <c r="S218" s="17"/>
      <c r="T218" s="17"/>
      <c r="U218" s="21" t="str">
        <f aca="false">IF(N218="","",N(R218)+N(S218)+N(T218))</f>
        <v/>
      </c>
      <c r="V218" s="27" t="str">
        <f aca="false">IF(N218="","",UPPER(TRIM(N218))&amp;"|"&amp;UPPER(TRIM(O218)))</f>
        <v/>
      </c>
      <c r="W218" s="7" t="str">
        <f aca="false">IF(N218="","",IF(COUNTIF($K$10:$K$309,V218)=0,"In 2B, not in books — check &amp; book",IF(ABS(U218-SUMIF($K$10:$K$309,V218,$J$10:$J$309))&lt;=1,"Matched","Tax amount differs")))</f>
        <v/>
      </c>
    </row>
    <row r="219" customFormat="false" ht="15" hidden="false" customHeight="false" outlineLevel="0" collapsed="false">
      <c r="B219" s="5"/>
      <c r="C219" s="5"/>
      <c r="D219" s="5"/>
      <c r="E219" s="16"/>
      <c r="F219" s="17"/>
      <c r="G219" s="17"/>
      <c r="H219" s="17"/>
      <c r="I219" s="17"/>
      <c r="J219" s="21" t="str">
        <f aca="false">IF(B219="","",N(G219)+N(H219)+N(I219))</f>
        <v/>
      </c>
      <c r="K219" s="27" t="str">
        <f aca="false">IF(B219="","",UPPER(TRIM(B219))&amp;"|"&amp;UPPER(TRIM(D219)))</f>
        <v/>
      </c>
      <c r="L219" s="7" t="str">
        <f aca="false">IF(B219="","",IF(COUNTIF($V$10:$V$309,K219)=0,"Not in 2B — ITC at risk",IF(ABS(J219-SUMIF($V$10:$V$309,K219,$U$10:$U$309))&lt;=1,"Matched","Tax amount differs")))</f>
        <v/>
      </c>
      <c r="N219" s="5"/>
      <c r="O219" s="5"/>
      <c r="P219" s="16"/>
      <c r="Q219" s="17"/>
      <c r="R219" s="17"/>
      <c r="S219" s="17"/>
      <c r="T219" s="17"/>
      <c r="U219" s="21" t="str">
        <f aca="false">IF(N219="","",N(R219)+N(S219)+N(T219))</f>
        <v/>
      </c>
      <c r="V219" s="27" t="str">
        <f aca="false">IF(N219="","",UPPER(TRIM(N219))&amp;"|"&amp;UPPER(TRIM(O219)))</f>
        <v/>
      </c>
      <c r="W219" s="7" t="str">
        <f aca="false">IF(N219="","",IF(COUNTIF($K$10:$K$309,V219)=0,"In 2B, not in books — check &amp; book",IF(ABS(U219-SUMIF($K$10:$K$309,V219,$J$10:$J$309))&lt;=1,"Matched","Tax amount differs")))</f>
        <v/>
      </c>
    </row>
    <row r="220" customFormat="false" ht="15" hidden="false" customHeight="false" outlineLevel="0" collapsed="false">
      <c r="B220" s="5"/>
      <c r="C220" s="5"/>
      <c r="D220" s="5"/>
      <c r="E220" s="16"/>
      <c r="F220" s="17"/>
      <c r="G220" s="17"/>
      <c r="H220" s="17"/>
      <c r="I220" s="17"/>
      <c r="J220" s="21" t="str">
        <f aca="false">IF(B220="","",N(G220)+N(H220)+N(I220))</f>
        <v/>
      </c>
      <c r="K220" s="27" t="str">
        <f aca="false">IF(B220="","",UPPER(TRIM(B220))&amp;"|"&amp;UPPER(TRIM(D220)))</f>
        <v/>
      </c>
      <c r="L220" s="7" t="str">
        <f aca="false">IF(B220="","",IF(COUNTIF($V$10:$V$309,K220)=0,"Not in 2B — ITC at risk",IF(ABS(J220-SUMIF($V$10:$V$309,K220,$U$10:$U$309))&lt;=1,"Matched","Tax amount differs")))</f>
        <v/>
      </c>
      <c r="N220" s="5"/>
      <c r="O220" s="5"/>
      <c r="P220" s="16"/>
      <c r="Q220" s="17"/>
      <c r="R220" s="17"/>
      <c r="S220" s="17"/>
      <c r="T220" s="17"/>
      <c r="U220" s="21" t="str">
        <f aca="false">IF(N220="","",N(R220)+N(S220)+N(T220))</f>
        <v/>
      </c>
      <c r="V220" s="27" t="str">
        <f aca="false">IF(N220="","",UPPER(TRIM(N220))&amp;"|"&amp;UPPER(TRIM(O220)))</f>
        <v/>
      </c>
      <c r="W220" s="7" t="str">
        <f aca="false">IF(N220="","",IF(COUNTIF($K$10:$K$309,V220)=0,"In 2B, not in books — check &amp; book",IF(ABS(U220-SUMIF($K$10:$K$309,V220,$J$10:$J$309))&lt;=1,"Matched","Tax amount differs")))</f>
        <v/>
      </c>
    </row>
    <row r="221" customFormat="false" ht="15" hidden="false" customHeight="false" outlineLevel="0" collapsed="false">
      <c r="B221" s="5"/>
      <c r="C221" s="5"/>
      <c r="D221" s="5"/>
      <c r="E221" s="16"/>
      <c r="F221" s="17"/>
      <c r="G221" s="17"/>
      <c r="H221" s="17"/>
      <c r="I221" s="17"/>
      <c r="J221" s="21" t="str">
        <f aca="false">IF(B221="","",N(G221)+N(H221)+N(I221))</f>
        <v/>
      </c>
      <c r="K221" s="27" t="str">
        <f aca="false">IF(B221="","",UPPER(TRIM(B221))&amp;"|"&amp;UPPER(TRIM(D221)))</f>
        <v/>
      </c>
      <c r="L221" s="7" t="str">
        <f aca="false">IF(B221="","",IF(COUNTIF($V$10:$V$309,K221)=0,"Not in 2B — ITC at risk",IF(ABS(J221-SUMIF($V$10:$V$309,K221,$U$10:$U$309))&lt;=1,"Matched","Tax amount differs")))</f>
        <v/>
      </c>
      <c r="N221" s="5"/>
      <c r="O221" s="5"/>
      <c r="P221" s="16"/>
      <c r="Q221" s="17"/>
      <c r="R221" s="17"/>
      <c r="S221" s="17"/>
      <c r="T221" s="17"/>
      <c r="U221" s="21" t="str">
        <f aca="false">IF(N221="","",N(R221)+N(S221)+N(T221))</f>
        <v/>
      </c>
      <c r="V221" s="27" t="str">
        <f aca="false">IF(N221="","",UPPER(TRIM(N221))&amp;"|"&amp;UPPER(TRIM(O221)))</f>
        <v/>
      </c>
      <c r="W221" s="7" t="str">
        <f aca="false">IF(N221="","",IF(COUNTIF($K$10:$K$309,V221)=0,"In 2B, not in books — check &amp; book",IF(ABS(U221-SUMIF($K$10:$K$309,V221,$J$10:$J$309))&lt;=1,"Matched","Tax amount differs")))</f>
        <v/>
      </c>
    </row>
    <row r="222" customFormat="false" ht="15" hidden="false" customHeight="false" outlineLevel="0" collapsed="false">
      <c r="B222" s="5"/>
      <c r="C222" s="5"/>
      <c r="D222" s="5"/>
      <c r="E222" s="16"/>
      <c r="F222" s="17"/>
      <c r="G222" s="17"/>
      <c r="H222" s="17"/>
      <c r="I222" s="17"/>
      <c r="J222" s="21" t="str">
        <f aca="false">IF(B222="","",N(G222)+N(H222)+N(I222))</f>
        <v/>
      </c>
      <c r="K222" s="27" t="str">
        <f aca="false">IF(B222="","",UPPER(TRIM(B222))&amp;"|"&amp;UPPER(TRIM(D222)))</f>
        <v/>
      </c>
      <c r="L222" s="7" t="str">
        <f aca="false">IF(B222="","",IF(COUNTIF($V$10:$V$309,K222)=0,"Not in 2B — ITC at risk",IF(ABS(J222-SUMIF($V$10:$V$309,K222,$U$10:$U$309))&lt;=1,"Matched","Tax amount differs")))</f>
        <v/>
      </c>
      <c r="N222" s="5"/>
      <c r="O222" s="5"/>
      <c r="P222" s="16"/>
      <c r="Q222" s="17"/>
      <c r="R222" s="17"/>
      <c r="S222" s="17"/>
      <c r="T222" s="17"/>
      <c r="U222" s="21" t="str">
        <f aca="false">IF(N222="","",N(R222)+N(S222)+N(T222))</f>
        <v/>
      </c>
      <c r="V222" s="27" t="str">
        <f aca="false">IF(N222="","",UPPER(TRIM(N222))&amp;"|"&amp;UPPER(TRIM(O222)))</f>
        <v/>
      </c>
      <c r="W222" s="7" t="str">
        <f aca="false">IF(N222="","",IF(COUNTIF($K$10:$K$309,V222)=0,"In 2B, not in books — check &amp; book",IF(ABS(U222-SUMIF($K$10:$K$309,V222,$J$10:$J$309))&lt;=1,"Matched","Tax amount differs")))</f>
        <v/>
      </c>
    </row>
    <row r="223" customFormat="false" ht="15" hidden="false" customHeight="false" outlineLevel="0" collapsed="false">
      <c r="B223" s="5"/>
      <c r="C223" s="5"/>
      <c r="D223" s="5"/>
      <c r="E223" s="16"/>
      <c r="F223" s="17"/>
      <c r="G223" s="17"/>
      <c r="H223" s="17"/>
      <c r="I223" s="17"/>
      <c r="J223" s="21" t="str">
        <f aca="false">IF(B223="","",N(G223)+N(H223)+N(I223))</f>
        <v/>
      </c>
      <c r="K223" s="27" t="str">
        <f aca="false">IF(B223="","",UPPER(TRIM(B223))&amp;"|"&amp;UPPER(TRIM(D223)))</f>
        <v/>
      </c>
      <c r="L223" s="7" t="str">
        <f aca="false">IF(B223="","",IF(COUNTIF($V$10:$V$309,K223)=0,"Not in 2B — ITC at risk",IF(ABS(J223-SUMIF($V$10:$V$309,K223,$U$10:$U$309))&lt;=1,"Matched","Tax amount differs")))</f>
        <v/>
      </c>
      <c r="N223" s="5"/>
      <c r="O223" s="5"/>
      <c r="P223" s="16"/>
      <c r="Q223" s="17"/>
      <c r="R223" s="17"/>
      <c r="S223" s="17"/>
      <c r="T223" s="17"/>
      <c r="U223" s="21" t="str">
        <f aca="false">IF(N223="","",N(R223)+N(S223)+N(T223))</f>
        <v/>
      </c>
      <c r="V223" s="27" t="str">
        <f aca="false">IF(N223="","",UPPER(TRIM(N223))&amp;"|"&amp;UPPER(TRIM(O223)))</f>
        <v/>
      </c>
      <c r="W223" s="7" t="str">
        <f aca="false">IF(N223="","",IF(COUNTIF($K$10:$K$309,V223)=0,"In 2B, not in books — check &amp; book",IF(ABS(U223-SUMIF($K$10:$K$309,V223,$J$10:$J$309))&lt;=1,"Matched","Tax amount differs")))</f>
        <v/>
      </c>
    </row>
    <row r="224" customFormat="false" ht="15" hidden="false" customHeight="false" outlineLevel="0" collapsed="false">
      <c r="B224" s="5"/>
      <c r="C224" s="5"/>
      <c r="D224" s="5"/>
      <c r="E224" s="16"/>
      <c r="F224" s="17"/>
      <c r="G224" s="17"/>
      <c r="H224" s="17"/>
      <c r="I224" s="17"/>
      <c r="J224" s="21" t="str">
        <f aca="false">IF(B224="","",N(G224)+N(H224)+N(I224))</f>
        <v/>
      </c>
      <c r="K224" s="27" t="str">
        <f aca="false">IF(B224="","",UPPER(TRIM(B224))&amp;"|"&amp;UPPER(TRIM(D224)))</f>
        <v/>
      </c>
      <c r="L224" s="7" t="str">
        <f aca="false">IF(B224="","",IF(COUNTIF($V$10:$V$309,K224)=0,"Not in 2B — ITC at risk",IF(ABS(J224-SUMIF($V$10:$V$309,K224,$U$10:$U$309))&lt;=1,"Matched","Tax amount differs")))</f>
        <v/>
      </c>
      <c r="N224" s="5"/>
      <c r="O224" s="5"/>
      <c r="P224" s="16"/>
      <c r="Q224" s="17"/>
      <c r="R224" s="17"/>
      <c r="S224" s="17"/>
      <c r="T224" s="17"/>
      <c r="U224" s="21" t="str">
        <f aca="false">IF(N224="","",N(R224)+N(S224)+N(T224))</f>
        <v/>
      </c>
      <c r="V224" s="27" t="str">
        <f aca="false">IF(N224="","",UPPER(TRIM(N224))&amp;"|"&amp;UPPER(TRIM(O224)))</f>
        <v/>
      </c>
      <c r="W224" s="7" t="str">
        <f aca="false">IF(N224="","",IF(COUNTIF($K$10:$K$309,V224)=0,"In 2B, not in books — check &amp; book",IF(ABS(U224-SUMIF($K$10:$K$309,V224,$J$10:$J$309))&lt;=1,"Matched","Tax amount differs")))</f>
        <v/>
      </c>
    </row>
    <row r="225" customFormat="false" ht="15" hidden="false" customHeight="false" outlineLevel="0" collapsed="false">
      <c r="B225" s="5"/>
      <c r="C225" s="5"/>
      <c r="D225" s="5"/>
      <c r="E225" s="16"/>
      <c r="F225" s="17"/>
      <c r="G225" s="17"/>
      <c r="H225" s="17"/>
      <c r="I225" s="17"/>
      <c r="J225" s="21" t="str">
        <f aca="false">IF(B225="","",N(G225)+N(H225)+N(I225))</f>
        <v/>
      </c>
      <c r="K225" s="27" t="str">
        <f aca="false">IF(B225="","",UPPER(TRIM(B225))&amp;"|"&amp;UPPER(TRIM(D225)))</f>
        <v/>
      </c>
      <c r="L225" s="7" t="str">
        <f aca="false">IF(B225="","",IF(COUNTIF($V$10:$V$309,K225)=0,"Not in 2B — ITC at risk",IF(ABS(J225-SUMIF($V$10:$V$309,K225,$U$10:$U$309))&lt;=1,"Matched","Tax amount differs")))</f>
        <v/>
      </c>
      <c r="N225" s="5"/>
      <c r="O225" s="5"/>
      <c r="P225" s="16"/>
      <c r="Q225" s="17"/>
      <c r="R225" s="17"/>
      <c r="S225" s="17"/>
      <c r="T225" s="17"/>
      <c r="U225" s="21" t="str">
        <f aca="false">IF(N225="","",N(R225)+N(S225)+N(T225))</f>
        <v/>
      </c>
      <c r="V225" s="27" t="str">
        <f aca="false">IF(N225="","",UPPER(TRIM(N225))&amp;"|"&amp;UPPER(TRIM(O225)))</f>
        <v/>
      </c>
      <c r="W225" s="7" t="str">
        <f aca="false">IF(N225="","",IF(COUNTIF($K$10:$K$309,V225)=0,"In 2B, not in books — check &amp; book",IF(ABS(U225-SUMIF($K$10:$K$309,V225,$J$10:$J$309))&lt;=1,"Matched","Tax amount differs")))</f>
        <v/>
      </c>
    </row>
    <row r="226" customFormat="false" ht="15" hidden="false" customHeight="false" outlineLevel="0" collapsed="false">
      <c r="B226" s="5"/>
      <c r="C226" s="5"/>
      <c r="D226" s="5"/>
      <c r="E226" s="16"/>
      <c r="F226" s="17"/>
      <c r="G226" s="17"/>
      <c r="H226" s="17"/>
      <c r="I226" s="17"/>
      <c r="J226" s="21" t="str">
        <f aca="false">IF(B226="","",N(G226)+N(H226)+N(I226))</f>
        <v/>
      </c>
      <c r="K226" s="27" t="str">
        <f aca="false">IF(B226="","",UPPER(TRIM(B226))&amp;"|"&amp;UPPER(TRIM(D226)))</f>
        <v/>
      </c>
      <c r="L226" s="7" t="str">
        <f aca="false">IF(B226="","",IF(COUNTIF($V$10:$V$309,K226)=0,"Not in 2B — ITC at risk",IF(ABS(J226-SUMIF($V$10:$V$309,K226,$U$10:$U$309))&lt;=1,"Matched","Tax amount differs")))</f>
        <v/>
      </c>
      <c r="N226" s="5"/>
      <c r="O226" s="5"/>
      <c r="P226" s="16"/>
      <c r="Q226" s="17"/>
      <c r="R226" s="17"/>
      <c r="S226" s="17"/>
      <c r="T226" s="17"/>
      <c r="U226" s="21" t="str">
        <f aca="false">IF(N226="","",N(R226)+N(S226)+N(T226))</f>
        <v/>
      </c>
      <c r="V226" s="27" t="str">
        <f aca="false">IF(N226="","",UPPER(TRIM(N226))&amp;"|"&amp;UPPER(TRIM(O226)))</f>
        <v/>
      </c>
      <c r="W226" s="7" t="str">
        <f aca="false">IF(N226="","",IF(COUNTIF($K$10:$K$309,V226)=0,"In 2B, not in books — check &amp; book",IF(ABS(U226-SUMIF($K$10:$K$309,V226,$J$10:$J$309))&lt;=1,"Matched","Tax amount differs")))</f>
        <v/>
      </c>
    </row>
    <row r="227" customFormat="false" ht="15" hidden="false" customHeight="false" outlineLevel="0" collapsed="false">
      <c r="B227" s="5"/>
      <c r="C227" s="5"/>
      <c r="D227" s="5"/>
      <c r="E227" s="16"/>
      <c r="F227" s="17"/>
      <c r="G227" s="17"/>
      <c r="H227" s="17"/>
      <c r="I227" s="17"/>
      <c r="J227" s="21" t="str">
        <f aca="false">IF(B227="","",N(G227)+N(H227)+N(I227))</f>
        <v/>
      </c>
      <c r="K227" s="27" t="str">
        <f aca="false">IF(B227="","",UPPER(TRIM(B227))&amp;"|"&amp;UPPER(TRIM(D227)))</f>
        <v/>
      </c>
      <c r="L227" s="7" t="str">
        <f aca="false">IF(B227="","",IF(COUNTIF($V$10:$V$309,K227)=0,"Not in 2B — ITC at risk",IF(ABS(J227-SUMIF($V$10:$V$309,K227,$U$10:$U$309))&lt;=1,"Matched","Tax amount differs")))</f>
        <v/>
      </c>
      <c r="N227" s="5"/>
      <c r="O227" s="5"/>
      <c r="P227" s="16"/>
      <c r="Q227" s="17"/>
      <c r="R227" s="17"/>
      <c r="S227" s="17"/>
      <c r="T227" s="17"/>
      <c r="U227" s="21" t="str">
        <f aca="false">IF(N227="","",N(R227)+N(S227)+N(T227))</f>
        <v/>
      </c>
      <c r="V227" s="27" t="str">
        <f aca="false">IF(N227="","",UPPER(TRIM(N227))&amp;"|"&amp;UPPER(TRIM(O227)))</f>
        <v/>
      </c>
      <c r="W227" s="7" t="str">
        <f aca="false">IF(N227="","",IF(COUNTIF($K$10:$K$309,V227)=0,"In 2B, not in books — check &amp; book",IF(ABS(U227-SUMIF($K$10:$K$309,V227,$J$10:$J$309))&lt;=1,"Matched","Tax amount differs")))</f>
        <v/>
      </c>
    </row>
    <row r="228" customFormat="false" ht="15" hidden="false" customHeight="false" outlineLevel="0" collapsed="false">
      <c r="B228" s="5"/>
      <c r="C228" s="5"/>
      <c r="D228" s="5"/>
      <c r="E228" s="16"/>
      <c r="F228" s="17"/>
      <c r="G228" s="17"/>
      <c r="H228" s="17"/>
      <c r="I228" s="17"/>
      <c r="J228" s="21" t="str">
        <f aca="false">IF(B228="","",N(G228)+N(H228)+N(I228))</f>
        <v/>
      </c>
      <c r="K228" s="27" t="str">
        <f aca="false">IF(B228="","",UPPER(TRIM(B228))&amp;"|"&amp;UPPER(TRIM(D228)))</f>
        <v/>
      </c>
      <c r="L228" s="7" t="str">
        <f aca="false">IF(B228="","",IF(COUNTIF($V$10:$V$309,K228)=0,"Not in 2B — ITC at risk",IF(ABS(J228-SUMIF($V$10:$V$309,K228,$U$10:$U$309))&lt;=1,"Matched","Tax amount differs")))</f>
        <v/>
      </c>
      <c r="N228" s="5"/>
      <c r="O228" s="5"/>
      <c r="P228" s="16"/>
      <c r="Q228" s="17"/>
      <c r="R228" s="17"/>
      <c r="S228" s="17"/>
      <c r="T228" s="17"/>
      <c r="U228" s="21" t="str">
        <f aca="false">IF(N228="","",N(R228)+N(S228)+N(T228))</f>
        <v/>
      </c>
      <c r="V228" s="27" t="str">
        <f aca="false">IF(N228="","",UPPER(TRIM(N228))&amp;"|"&amp;UPPER(TRIM(O228)))</f>
        <v/>
      </c>
      <c r="W228" s="7" t="str">
        <f aca="false">IF(N228="","",IF(COUNTIF($K$10:$K$309,V228)=0,"In 2B, not in books — check &amp; book",IF(ABS(U228-SUMIF($K$10:$K$309,V228,$J$10:$J$309))&lt;=1,"Matched","Tax amount differs")))</f>
        <v/>
      </c>
    </row>
    <row r="229" customFormat="false" ht="15" hidden="false" customHeight="false" outlineLevel="0" collapsed="false">
      <c r="B229" s="5"/>
      <c r="C229" s="5"/>
      <c r="D229" s="5"/>
      <c r="E229" s="16"/>
      <c r="F229" s="17"/>
      <c r="G229" s="17"/>
      <c r="H229" s="17"/>
      <c r="I229" s="17"/>
      <c r="J229" s="21" t="str">
        <f aca="false">IF(B229="","",N(G229)+N(H229)+N(I229))</f>
        <v/>
      </c>
      <c r="K229" s="27" t="str">
        <f aca="false">IF(B229="","",UPPER(TRIM(B229))&amp;"|"&amp;UPPER(TRIM(D229)))</f>
        <v/>
      </c>
      <c r="L229" s="7" t="str">
        <f aca="false">IF(B229="","",IF(COUNTIF($V$10:$V$309,K229)=0,"Not in 2B — ITC at risk",IF(ABS(J229-SUMIF($V$10:$V$309,K229,$U$10:$U$309))&lt;=1,"Matched","Tax amount differs")))</f>
        <v/>
      </c>
      <c r="N229" s="5"/>
      <c r="O229" s="5"/>
      <c r="P229" s="16"/>
      <c r="Q229" s="17"/>
      <c r="R229" s="17"/>
      <c r="S229" s="17"/>
      <c r="T229" s="17"/>
      <c r="U229" s="21" t="str">
        <f aca="false">IF(N229="","",N(R229)+N(S229)+N(T229))</f>
        <v/>
      </c>
      <c r="V229" s="27" t="str">
        <f aca="false">IF(N229="","",UPPER(TRIM(N229))&amp;"|"&amp;UPPER(TRIM(O229)))</f>
        <v/>
      </c>
      <c r="W229" s="7" t="str">
        <f aca="false">IF(N229="","",IF(COUNTIF($K$10:$K$309,V229)=0,"In 2B, not in books — check &amp; book",IF(ABS(U229-SUMIF($K$10:$K$309,V229,$J$10:$J$309))&lt;=1,"Matched","Tax amount differs")))</f>
        <v/>
      </c>
    </row>
    <row r="230" customFormat="false" ht="15" hidden="false" customHeight="false" outlineLevel="0" collapsed="false">
      <c r="B230" s="5"/>
      <c r="C230" s="5"/>
      <c r="D230" s="5"/>
      <c r="E230" s="16"/>
      <c r="F230" s="17"/>
      <c r="G230" s="17"/>
      <c r="H230" s="17"/>
      <c r="I230" s="17"/>
      <c r="J230" s="21" t="str">
        <f aca="false">IF(B230="","",N(G230)+N(H230)+N(I230))</f>
        <v/>
      </c>
      <c r="K230" s="27" t="str">
        <f aca="false">IF(B230="","",UPPER(TRIM(B230))&amp;"|"&amp;UPPER(TRIM(D230)))</f>
        <v/>
      </c>
      <c r="L230" s="7" t="str">
        <f aca="false">IF(B230="","",IF(COUNTIF($V$10:$V$309,K230)=0,"Not in 2B — ITC at risk",IF(ABS(J230-SUMIF($V$10:$V$309,K230,$U$10:$U$309))&lt;=1,"Matched","Tax amount differs")))</f>
        <v/>
      </c>
      <c r="N230" s="5"/>
      <c r="O230" s="5"/>
      <c r="P230" s="16"/>
      <c r="Q230" s="17"/>
      <c r="R230" s="17"/>
      <c r="S230" s="17"/>
      <c r="T230" s="17"/>
      <c r="U230" s="21" t="str">
        <f aca="false">IF(N230="","",N(R230)+N(S230)+N(T230))</f>
        <v/>
      </c>
      <c r="V230" s="27" t="str">
        <f aca="false">IF(N230="","",UPPER(TRIM(N230))&amp;"|"&amp;UPPER(TRIM(O230)))</f>
        <v/>
      </c>
      <c r="W230" s="7" t="str">
        <f aca="false">IF(N230="","",IF(COUNTIF($K$10:$K$309,V230)=0,"In 2B, not in books — check &amp; book",IF(ABS(U230-SUMIF($K$10:$K$309,V230,$J$10:$J$309))&lt;=1,"Matched","Tax amount differs")))</f>
        <v/>
      </c>
    </row>
    <row r="231" customFormat="false" ht="15" hidden="false" customHeight="false" outlineLevel="0" collapsed="false">
      <c r="B231" s="5"/>
      <c r="C231" s="5"/>
      <c r="D231" s="5"/>
      <c r="E231" s="16"/>
      <c r="F231" s="17"/>
      <c r="G231" s="17"/>
      <c r="H231" s="17"/>
      <c r="I231" s="17"/>
      <c r="J231" s="21" t="str">
        <f aca="false">IF(B231="","",N(G231)+N(H231)+N(I231))</f>
        <v/>
      </c>
      <c r="K231" s="27" t="str">
        <f aca="false">IF(B231="","",UPPER(TRIM(B231))&amp;"|"&amp;UPPER(TRIM(D231)))</f>
        <v/>
      </c>
      <c r="L231" s="7" t="str">
        <f aca="false">IF(B231="","",IF(COUNTIF($V$10:$V$309,K231)=0,"Not in 2B — ITC at risk",IF(ABS(J231-SUMIF($V$10:$V$309,K231,$U$10:$U$309))&lt;=1,"Matched","Tax amount differs")))</f>
        <v/>
      </c>
      <c r="N231" s="5"/>
      <c r="O231" s="5"/>
      <c r="P231" s="16"/>
      <c r="Q231" s="17"/>
      <c r="R231" s="17"/>
      <c r="S231" s="17"/>
      <c r="T231" s="17"/>
      <c r="U231" s="21" t="str">
        <f aca="false">IF(N231="","",N(R231)+N(S231)+N(T231))</f>
        <v/>
      </c>
      <c r="V231" s="27" t="str">
        <f aca="false">IF(N231="","",UPPER(TRIM(N231))&amp;"|"&amp;UPPER(TRIM(O231)))</f>
        <v/>
      </c>
      <c r="W231" s="7" t="str">
        <f aca="false">IF(N231="","",IF(COUNTIF($K$10:$K$309,V231)=0,"In 2B, not in books — check &amp; book",IF(ABS(U231-SUMIF($K$10:$K$309,V231,$J$10:$J$309))&lt;=1,"Matched","Tax amount differs")))</f>
        <v/>
      </c>
    </row>
    <row r="232" customFormat="false" ht="15" hidden="false" customHeight="false" outlineLevel="0" collapsed="false">
      <c r="B232" s="5"/>
      <c r="C232" s="5"/>
      <c r="D232" s="5"/>
      <c r="E232" s="16"/>
      <c r="F232" s="17"/>
      <c r="G232" s="17"/>
      <c r="H232" s="17"/>
      <c r="I232" s="17"/>
      <c r="J232" s="21" t="str">
        <f aca="false">IF(B232="","",N(G232)+N(H232)+N(I232))</f>
        <v/>
      </c>
      <c r="K232" s="27" t="str">
        <f aca="false">IF(B232="","",UPPER(TRIM(B232))&amp;"|"&amp;UPPER(TRIM(D232)))</f>
        <v/>
      </c>
      <c r="L232" s="7" t="str">
        <f aca="false">IF(B232="","",IF(COUNTIF($V$10:$V$309,K232)=0,"Not in 2B — ITC at risk",IF(ABS(J232-SUMIF($V$10:$V$309,K232,$U$10:$U$309))&lt;=1,"Matched","Tax amount differs")))</f>
        <v/>
      </c>
      <c r="N232" s="5"/>
      <c r="O232" s="5"/>
      <c r="P232" s="16"/>
      <c r="Q232" s="17"/>
      <c r="R232" s="17"/>
      <c r="S232" s="17"/>
      <c r="T232" s="17"/>
      <c r="U232" s="21" t="str">
        <f aca="false">IF(N232="","",N(R232)+N(S232)+N(T232))</f>
        <v/>
      </c>
      <c r="V232" s="27" t="str">
        <f aca="false">IF(N232="","",UPPER(TRIM(N232))&amp;"|"&amp;UPPER(TRIM(O232)))</f>
        <v/>
      </c>
      <c r="W232" s="7" t="str">
        <f aca="false">IF(N232="","",IF(COUNTIF($K$10:$K$309,V232)=0,"In 2B, not in books — check &amp; book",IF(ABS(U232-SUMIF($K$10:$K$309,V232,$J$10:$J$309))&lt;=1,"Matched","Tax amount differs")))</f>
        <v/>
      </c>
    </row>
    <row r="233" customFormat="false" ht="15" hidden="false" customHeight="false" outlineLevel="0" collapsed="false">
      <c r="B233" s="5"/>
      <c r="C233" s="5"/>
      <c r="D233" s="5"/>
      <c r="E233" s="16"/>
      <c r="F233" s="17"/>
      <c r="G233" s="17"/>
      <c r="H233" s="17"/>
      <c r="I233" s="17"/>
      <c r="J233" s="21" t="str">
        <f aca="false">IF(B233="","",N(G233)+N(H233)+N(I233))</f>
        <v/>
      </c>
      <c r="K233" s="27" t="str">
        <f aca="false">IF(B233="","",UPPER(TRIM(B233))&amp;"|"&amp;UPPER(TRIM(D233)))</f>
        <v/>
      </c>
      <c r="L233" s="7" t="str">
        <f aca="false">IF(B233="","",IF(COUNTIF($V$10:$V$309,K233)=0,"Not in 2B — ITC at risk",IF(ABS(J233-SUMIF($V$10:$V$309,K233,$U$10:$U$309))&lt;=1,"Matched","Tax amount differs")))</f>
        <v/>
      </c>
      <c r="N233" s="5"/>
      <c r="O233" s="5"/>
      <c r="P233" s="16"/>
      <c r="Q233" s="17"/>
      <c r="R233" s="17"/>
      <c r="S233" s="17"/>
      <c r="T233" s="17"/>
      <c r="U233" s="21" t="str">
        <f aca="false">IF(N233="","",N(R233)+N(S233)+N(T233))</f>
        <v/>
      </c>
      <c r="V233" s="27" t="str">
        <f aca="false">IF(N233="","",UPPER(TRIM(N233))&amp;"|"&amp;UPPER(TRIM(O233)))</f>
        <v/>
      </c>
      <c r="W233" s="7" t="str">
        <f aca="false">IF(N233="","",IF(COUNTIF($K$10:$K$309,V233)=0,"In 2B, not in books — check &amp; book",IF(ABS(U233-SUMIF($K$10:$K$309,V233,$J$10:$J$309))&lt;=1,"Matched","Tax amount differs")))</f>
        <v/>
      </c>
    </row>
    <row r="234" customFormat="false" ht="15" hidden="false" customHeight="false" outlineLevel="0" collapsed="false">
      <c r="B234" s="5"/>
      <c r="C234" s="5"/>
      <c r="D234" s="5"/>
      <c r="E234" s="16"/>
      <c r="F234" s="17"/>
      <c r="G234" s="17"/>
      <c r="H234" s="17"/>
      <c r="I234" s="17"/>
      <c r="J234" s="21" t="str">
        <f aca="false">IF(B234="","",N(G234)+N(H234)+N(I234))</f>
        <v/>
      </c>
      <c r="K234" s="27" t="str">
        <f aca="false">IF(B234="","",UPPER(TRIM(B234))&amp;"|"&amp;UPPER(TRIM(D234)))</f>
        <v/>
      </c>
      <c r="L234" s="7" t="str">
        <f aca="false">IF(B234="","",IF(COUNTIF($V$10:$V$309,K234)=0,"Not in 2B — ITC at risk",IF(ABS(J234-SUMIF($V$10:$V$309,K234,$U$10:$U$309))&lt;=1,"Matched","Tax amount differs")))</f>
        <v/>
      </c>
      <c r="N234" s="5"/>
      <c r="O234" s="5"/>
      <c r="P234" s="16"/>
      <c r="Q234" s="17"/>
      <c r="R234" s="17"/>
      <c r="S234" s="17"/>
      <c r="T234" s="17"/>
      <c r="U234" s="21" t="str">
        <f aca="false">IF(N234="","",N(R234)+N(S234)+N(T234))</f>
        <v/>
      </c>
      <c r="V234" s="27" t="str">
        <f aca="false">IF(N234="","",UPPER(TRIM(N234))&amp;"|"&amp;UPPER(TRIM(O234)))</f>
        <v/>
      </c>
      <c r="W234" s="7" t="str">
        <f aca="false">IF(N234="","",IF(COUNTIF($K$10:$K$309,V234)=0,"In 2B, not in books — check &amp; book",IF(ABS(U234-SUMIF($K$10:$K$309,V234,$J$10:$J$309))&lt;=1,"Matched","Tax amount differs")))</f>
        <v/>
      </c>
    </row>
    <row r="235" customFormat="false" ht="15" hidden="false" customHeight="false" outlineLevel="0" collapsed="false">
      <c r="B235" s="5"/>
      <c r="C235" s="5"/>
      <c r="D235" s="5"/>
      <c r="E235" s="16"/>
      <c r="F235" s="17"/>
      <c r="G235" s="17"/>
      <c r="H235" s="17"/>
      <c r="I235" s="17"/>
      <c r="J235" s="21" t="str">
        <f aca="false">IF(B235="","",N(G235)+N(H235)+N(I235))</f>
        <v/>
      </c>
      <c r="K235" s="27" t="str">
        <f aca="false">IF(B235="","",UPPER(TRIM(B235))&amp;"|"&amp;UPPER(TRIM(D235)))</f>
        <v/>
      </c>
      <c r="L235" s="7" t="str">
        <f aca="false">IF(B235="","",IF(COUNTIF($V$10:$V$309,K235)=0,"Not in 2B — ITC at risk",IF(ABS(J235-SUMIF($V$10:$V$309,K235,$U$10:$U$309))&lt;=1,"Matched","Tax amount differs")))</f>
        <v/>
      </c>
      <c r="N235" s="5"/>
      <c r="O235" s="5"/>
      <c r="P235" s="16"/>
      <c r="Q235" s="17"/>
      <c r="R235" s="17"/>
      <c r="S235" s="17"/>
      <c r="T235" s="17"/>
      <c r="U235" s="21" t="str">
        <f aca="false">IF(N235="","",N(R235)+N(S235)+N(T235))</f>
        <v/>
      </c>
      <c r="V235" s="27" t="str">
        <f aca="false">IF(N235="","",UPPER(TRIM(N235))&amp;"|"&amp;UPPER(TRIM(O235)))</f>
        <v/>
      </c>
      <c r="W235" s="7" t="str">
        <f aca="false">IF(N235="","",IF(COUNTIF($K$10:$K$309,V235)=0,"In 2B, not in books — check &amp; book",IF(ABS(U235-SUMIF($K$10:$K$309,V235,$J$10:$J$309))&lt;=1,"Matched","Tax amount differs")))</f>
        <v/>
      </c>
    </row>
    <row r="236" customFormat="false" ht="15" hidden="false" customHeight="false" outlineLevel="0" collapsed="false">
      <c r="B236" s="5"/>
      <c r="C236" s="5"/>
      <c r="D236" s="5"/>
      <c r="E236" s="16"/>
      <c r="F236" s="17"/>
      <c r="G236" s="17"/>
      <c r="H236" s="17"/>
      <c r="I236" s="17"/>
      <c r="J236" s="21" t="str">
        <f aca="false">IF(B236="","",N(G236)+N(H236)+N(I236))</f>
        <v/>
      </c>
      <c r="K236" s="27" t="str">
        <f aca="false">IF(B236="","",UPPER(TRIM(B236))&amp;"|"&amp;UPPER(TRIM(D236)))</f>
        <v/>
      </c>
      <c r="L236" s="7" t="str">
        <f aca="false">IF(B236="","",IF(COUNTIF($V$10:$V$309,K236)=0,"Not in 2B — ITC at risk",IF(ABS(J236-SUMIF($V$10:$V$309,K236,$U$10:$U$309))&lt;=1,"Matched","Tax amount differs")))</f>
        <v/>
      </c>
      <c r="N236" s="5"/>
      <c r="O236" s="5"/>
      <c r="P236" s="16"/>
      <c r="Q236" s="17"/>
      <c r="R236" s="17"/>
      <c r="S236" s="17"/>
      <c r="T236" s="17"/>
      <c r="U236" s="21" t="str">
        <f aca="false">IF(N236="","",N(R236)+N(S236)+N(T236))</f>
        <v/>
      </c>
      <c r="V236" s="27" t="str">
        <f aca="false">IF(N236="","",UPPER(TRIM(N236))&amp;"|"&amp;UPPER(TRIM(O236)))</f>
        <v/>
      </c>
      <c r="W236" s="7" t="str">
        <f aca="false">IF(N236="","",IF(COUNTIF($K$10:$K$309,V236)=0,"In 2B, not in books — check &amp; book",IF(ABS(U236-SUMIF($K$10:$K$309,V236,$J$10:$J$309))&lt;=1,"Matched","Tax amount differs")))</f>
        <v/>
      </c>
    </row>
    <row r="237" customFormat="false" ht="15" hidden="false" customHeight="false" outlineLevel="0" collapsed="false">
      <c r="B237" s="5"/>
      <c r="C237" s="5"/>
      <c r="D237" s="5"/>
      <c r="E237" s="16"/>
      <c r="F237" s="17"/>
      <c r="G237" s="17"/>
      <c r="H237" s="17"/>
      <c r="I237" s="17"/>
      <c r="J237" s="21" t="str">
        <f aca="false">IF(B237="","",N(G237)+N(H237)+N(I237))</f>
        <v/>
      </c>
      <c r="K237" s="27" t="str">
        <f aca="false">IF(B237="","",UPPER(TRIM(B237))&amp;"|"&amp;UPPER(TRIM(D237)))</f>
        <v/>
      </c>
      <c r="L237" s="7" t="str">
        <f aca="false">IF(B237="","",IF(COUNTIF($V$10:$V$309,K237)=0,"Not in 2B — ITC at risk",IF(ABS(J237-SUMIF($V$10:$V$309,K237,$U$10:$U$309))&lt;=1,"Matched","Tax amount differs")))</f>
        <v/>
      </c>
      <c r="N237" s="5"/>
      <c r="O237" s="5"/>
      <c r="P237" s="16"/>
      <c r="Q237" s="17"/>
      <c r="R237" s="17"/>
      <c r="S237" s="17"/>
      <c r="T237" s="17"/>
      <c r="U237" s="21" t="str">
        <f aca="false">IF(N237="","",N(R237)+N(S237)+N(T237))</f>
        <v/>
      </c>
      <c r="V237" s="27" t="str">
        <f aca="false">IF(N237="","",UPPER(TRIM(N237))&amp;"|"&amp;UPPER(TRIM(O237)))</f>
        <v/>
      </c>
      <c r="W237" s="7" t="str">
        <f aca="false">IF(N237="","",IF(COUNTIF($K$10:$K$309,V237)=0,"In 2B, not in books — check &amp; book",IF(ABS(U237-SUMIF($K$10:$K$309,V237,$J$10:$J$309))&lt;=1,"Matched","Tax amount differs")))</f>
        <v/>
      </c>
    </row>
    <row r="238" customFormat="false" ht="15" hidden="false" customHeight="false" outlineLevel="0" collapsed="false">
      <c r="B238" s="5"/>
      <c r="C238" s="5"/>
      <c r="D238" s="5"/>
      <c r="E238" s="16"/>
      <c r="F238" s="17"/>
      <c r="G238" s="17"/>
      <c r="H238" s="17"/>
      <c r="I238" s="17"/>
      <c r="J238" s="21" t="str">
        <f aca="false">IF(B238="","",N(G238)+N(H238)+N(I238))</f>
        <v/>
      </c>
      <c r="K238" s="27" t="str">
        <f aca="false">IF(B238="","",UPPER(TRIM(B238))&amp;"|"&amp;UPPER(TRIM(D238)))</f>
        <v/>
      </c>
      <c r="L238" s="7" t="str">
        <f aca="false">IF(B238="","",IF(COUNTIF($V$10:$V$309,K238)=0,"Not in 2B — ITC at risk",IF(ABS(J238-SUMIF($V$10:$V$309,K238,$U$10:$U$309))&lt;=1,"Matched","Tax amount differs")))</f>
        <v/>
      </c>
      <c r="N238" s="5"/>
      <c r="O238" s="5"/>
      <c r="P238" s="16"/>
      <c r="Q238" s="17"/>
      <c r="R238" s="17"/>
      <c r="S238" s="17"/>
      <c r="T238" s="17"/>
      <c r="U238" s="21" t="str">
        <f aca="false">IF(N238="","",N(R238)+N(S238)+N(T238))</f>
        <v/>
      </c>
      <c r="V238" s="27" t="str">
        <f aca="false">IF(N238="","",UPPER(TRIM(N238))&amp;"|"&amp;UPPER(TRIM(O238)))</f>
        <v/>
      </c>
      <c r="W238" s="7" t="str">
        <f aca="false">IF(N238="","",IF(COUNTIF($K$10:$K$309,V238)=0,"In 2B, not in books — check &amp; book",IF(ABS(U238-SUMIF($K$10:$K$309,V238,$J$10:$J$309))&lt;=1,"Matched","Tax amount differs")))</f>
        <v/>
      </c>
    </row>
    <row r="239" customFormat="false" ht="15" hidden="false" customHeight="false" outlineLevel="0" collapsed="false">
      <c r="B239" s="5"/>
      <c r="C239" s="5"/>
      <c r="D239" s="5"/>
      <c r="E239" s="16"/>
      <c r="F239" s="17"/>
      <c r="G239" s="17"/>
      <c r="H239" s="17"/>
      <c r="I239" s="17"/>
      <c r="J239" s="21" t="str">
        <f aca="false">IF(B239="","",N(G239)+N(H239)+N(I239))</f>
        <v/>
      </c>
      <c r="K239" s="27" t="str">
        <f aca="false">IF(B239="","",UPPER(TRIM(B239))&amp;"|"&amp;UPPER(TRIM(D239)))</f>
        <v/>
      </c>
      <c r="L239" s="7" t="str">
        <f aca="false">IF(B239="","",IF(COUNTIF($V$10:$V$309,K239)=0,"Not in 2B — ITC at risk",IF(ABS(J239-SUMIF($V$10:$V$309,K239,$U$10:$U$309))&lt;=1,"Matched","Tax amount differs")))</f>
        <v/>
      </c>
      <c r="N239" s="5"/>
      <c r="O239" s="5"/>
      <c r="P239" s="16"/>
      <c r="Q239" s="17"/>
      <c r="R239" s="17"/>
      <c r="S239" s="17"/>
      <c r="T239" s="17"/>
      <c r="U239" s="21" t="str">
        <f aca="false">IF(N239="","",N(R239)+N(S239)+N(T239))</f>
        <v/>
      </c>
      <c r="V239" s="27" t="str">
        <f aca="false">IF(N239="","",UPPER(TRIM(N239))&amp;"|"&amp;UPPER(TRIM(O239)))</f>
        <v/>
      </c>
      <c r="W239" s="7" t="str">
        <f aca="false">IF(N239="","",IF(COUNTIF($K$10:$K$309,V239)=0,"In 2B, not in books — check &amp; book",IF(ABS(U239-SUMIF($K$10:$K$309,V239,$J$10:$J$309))&lt;=1,"Matched","Tax amount differs")))</f>
        <v/>
      </c>
    </row>
    <row r="240" customFormat="false" ht="15" hidden="false" customHeight="false" outlineLevel="0" collapsed="false">
      <c r="B240" s="5"/>
      <c r="C240" s="5"/>
      <c r="D240" s="5"/>
      <c r="E240" s="16"/>
      <c r="F240" s="17"/>
      <c r="G240" s="17"/>
      <c r="H240" s="17"/>
      <c r="I240" s="17"/>
      <c r="J240" s="21" t="str">
        <f aca="false">IF(B240="","",N(G240)+N(H240)+N(I240))</f>
        <v/>
      </c>
      <c r="K240" s="27" t="str">
        <f aca="false">IF(B240="","",UPPER(TRIM(B240))&amp;"|"&amp;UPPER(TRIM(D240)))</f>
        <v/>
      </c>
      <c r="L240" s="7" t="str">
        <f aca="false">IF(B240="","",IF(COUNTIF($V$10:$V$309,K240)=0,"Not in 2B — ITC at risk",IF(ABS(J240-SUMIF($V$10:$V$309,K240,$U$10:$U$309))&lt;=1,"Matched","Tax amount differs")))</f>
        <v/>
      </c>
      <c r="N240" s="5"/>
      <c r="O240" s="5"/>
      <c r="P240" s="16"/>
      <c r="Q240" s="17"/>
      <c r="R240" s="17"/>
      <c r="S240" s="17"/>
      <c r="T240" s="17"/>
      <c r="U240" s="21" t="str">
        <f aca="false">IF(N240="","",N(R240)+N(S240)+N(T240))</f>
        <v/>
      </c>
      <c r="V240" s="27" t="str">
        <f aca="false">IF(N240="","",UPPER(TRIM(N240))&amp;"|"&amp;UPPER(TRIM(O240)))</f>
        <v/>
      </c>
      <c r="W240" s="7" t="str">
        <f aca="false">IF(N240="","",IF(COUNTIF($K$10:$K$309,V240)=0,"In 2B, not in books — check &amp; book",IF(ABS(U240-SUMIF($K$10:$K$309,V240,$J$10:$J$309))&lt;=1,"Matched","Tax amount differs")))</f>
        <v/>
      </c>
    </row>
    <row r="241" customFormat="false" ht="15" hidden="false" customHeight="false" outlineLevel="0" collapsed="false">
      <c r="B241" s="5"/>
      <c r="C241" s="5"/>
      <c r="D241" s="5"/>
      <c r="E241" s="16"/>
      <c r="F241" s="17"/>
      <c r="G241" s="17"/>
      <c r="H241" s="17"/>
      <c r="I241" s="17"/>
      <c r="J241" s="21" t="str">
        <f aca="false">IF(B241="","",N(G241)+N(H241)+N(I241))</f>
        <v/>
      </c>
      <c r="K241" s="27" t="str">
        <f aca="false">IF(B241="","",UPPER(TRIM(B241))&amp;"|"&amp;UPPER(TRIM(D241)))</f>
        <v/>
      </c>
      <c r="L241" s="7" t="str">
        <f aca="false">IF(B241="","",IF(COUNTIF($V$10:$V$309,K241)=0,"Not in 2B — ITC at risk",IF(ABS(J241-SUMIF($V$10:$V$309,K241,$U$10:$U$309))&lt;=1,"Matched","Tax amount differs")))</f>
        <v/>
      </c>
      <c r="N241" s="5"/>
      <c r="O241" s="5"/>
      <c r="P241" s="16"/>
      <c r="Q241" s="17"/>
      <c r="R241" s="17"/>
      <c r="S241" s="17"/>
      <c r="T241" s="17"/>
      <c r="U241" s="21" t="str">
        <f aca="false">IF(N241="","",N(R241)+N(S241)+N(T241))</f>
        <v/>
      </c>
      <c r="V241" s="27" t="str">
        <f aca="false">IF(N241="","",UPPER(TRIM(N241))&amp;"|"&amp;UPPER(TRIM(O241)))</f>
        <v/>
      </c>
      <c r="W241" s="7" t="str">
        <f aca="false">IF(N241="","",IF(COUNTIF($K$10:$K$309,V241)=0,"In 2B, not in books — check &amp; book",IF(ABS(U241-SUMIF($K$10:$K$309,V241,$J$10:$J$309))&lt;=1,"Matched","Tax amount differs")))</f>
        <v/>
      </c>
    </row>
    <row r="242" customFormat="false" ht="15" hidden="false" customHeight="false" outlineLevel="0" collapsed="false">
      <c r="B242" s="5"/>
      <c r="C242" s="5"/>
      <c r="D242" s="5"/>
      <c r="E242" s="16"/>
      <c r="F242" s="17"/>
      <c r="G242" s="17"/>
      <c r="H242" s="17"/>
      <c r="I242" s="17"/>
      <c r="J242" s="21" t="str">
        <f aca="false">IF(B242="","",N(G242)+N(H242)+N(I242))</f>
        <v/>
      </c>
      <c r="K242" s="27" t="str">
        <f aca="false">IF(B242="","",UPPER(TRIM(B242))&amp;"|"&amp;UPPER(TRIM(D242)))</f>
        <v/>
      </c>
      <c r="L242" s="7" t="str">
        <f aca="false">IF(B242="","",IF(COUNTIF($V$10:$V$309,K242)=0,"Not in 2B — ITC at risk",IF(ABS(J242-SUMIF($V$10:$V$309,K242,$U$10:$U$309))&lt;=1,"Matched","Tax amount differs")))</f>
        <v/>
      </c>
      <c r="N242" s="5"/>
      <c r="O242" s="5"/>
      <c r="P242" s="16"/>
      <c r="Q242" s="17"/>
      <c r="R242" s="17"/>
      <c r="S242" s="17"/>
      <c r="T242" s="17"/>
      <c r="U242" s="21" t="str">
        <f aca="false">IF(N242="","",N(R242)+N(S242)+N(T242))</f>
        <v/>
      </c>
      <c r="V242" s="27" t="str">
        <f aca="false">IF(N242="","",UPPER(TRIM(N242))&amp;"|"&amp;UPPER(TRIM(O242)))</f>
        <v/>
      </c>
      <c r="W242" s="7" t="str">
        <f aca="false">IF(N242="","",IF(COUNTIF($K$10:$K$309,V242)=0,"In 2B, not in books — check &amp; book",IF(ABS(U242-SUMIF($K$10:$K$309,V242,$J$10:$J$309))&lt;=1,"Matched","Tax amount differs")))</f>
        <v/>
      </c>
    </row>
    <row r="243" customFormat="false" ht="15" hidden="false" customHeight="false" outlineLevel="0" collapsed="false">
      <c r="B243" s="5"/>
      <c r="C243" s="5"/>
      <c r="D243" s="5"/>
      <c r="E243" s="16"/>
      <c r="F243" s="17"/>
      <c r="G243" s="17"/>
      <c r="H243" s="17"/>
      <c r="I243" s="17"/>
      <c r="J243" s="21" t="str">
        <f aca="false">IF(B243="","",N(G243)+N(H243)+N(I243))</f>
        <v/>
      </c>
      <c r="K243" s="27" t="str">
        <f aca="false">IF(B243="","",UPPER(TRIM(B243))&amp;"|"&amp;UPPER(TRIM(D243)))</f>
        <v/>
      </c>
      <c r="L243" s="7" t="str">
        <f aca="false">IF(B243="","",IF(COUNTIF($V$10:$V$309,K243)=0,"Not in 2B — ITC at risk",IF(ABS(J243-SUMIF($V$10:$V$309,K243,$U$10:$U$309))&lt;=1,"Matched","Tax amount differs")))</f>
        <v/>
      </c>
      <c r="N243" s="5"/>
      <c r="O243" s="5"/>
      <c r="P243" s="16"/>
      <c r="Q243" s="17"/>
      <c r="R243" s="17"/>
      <c r="S243" s="17"/>
      <c r="T243" s="17"/>
      <c r="U243" s="21" t="str">
        <f aca="false">IF(N243="","",N(R243)+N(S243)+N(T243))</f>
        <v/>
      </c>
      <c r="V243" s="27" t="str">
        <f aca="false">IF(N243="","",UPPER(TRIM(N243))&amp;"|"&amp;UPPER(TRIM(O243)))</f>
        <v/>
      </c>
      <c r="W243" s="7" t="str">
        <f aca="false">IF(N243="","",IF(COUNTIF($K$10:$K$309,V243)=0,"In 2B, not in books — check &amp; book",IF(ABS(U243-SUMIF($K$10:$K$309,V243,$J$10:$J$309))&lt;=1,"Matched","Tax amount differs")))</f>
        <v/>
      </c>
    </row>
    <row r="244" customFormat="false" ht="15" hidden="false" customHeight="false" outlineLevel="0" collapsed="false">
      <c r="B244" s="5"/>
      <c r="C244" s="5"/>
      <c r="D244" s="5"/>
      <c r="E244" s="16"/>
      <c r="F244" s="17"/>
      <c r="G244" s="17"/>
      <c r="H244" s="17"/>
      <c r="I244" s="17"/>
      <c r="J244" s="21" t="str">
        <f aca="false">IF(B244="","",N(G244)+N(H244)+N(I244))</f>
        <v/>
      </c>
      <c r="K244" s="27" t="str">
        <f aca="false">IF(B244="","",UPPER(TRIM(B244))&amp;"|"&amp;UPPER(TRIM(D244)))</f>
        <v/>
      </c>
      <c r="L244" s="7" t="str">
        <f aca="false">IF(B244="","",IF(COUNTIF($V$10:$V$309,K244)=0,"Not in 2B — ITC at risk",IF(ABS(J244-SUMIF($V$10:$V$309,K244,$U$10:$U$309))&lt;=1,"Matched","Tax amount differs")))</f>
        <v/>
      </c>
      <c r="N244" s="5"/>
      <c r="O244" s="5"/>
      <c r="P244" s="16"/>
      <c r="Q244" s="17"/>
      <c r="R244" s="17"/>
      <c r="S244" s="17"/>
      <c r="T244" s="17"/>
      <c r="U244" s="21" t="str">
        <f aca="false">IF(N244="","",N(R244)+N(S244)+N(T244))</f>
        <v/>
      </c>
      <c r="V244" s="27" t="str">
        <f aca="false">IF(N244="","",UPPER(TRIM(N244))&amp;"|"&amp;UPPER(TRIM(O244)))</f>
        <v/>
      </c>
      <c r="W244" s="7" t="str">
        <f aca="false">IF(N244="","",IF(COUNTIF($K$10:$K$309,V244)=0,"In 2B, not in books — check &amp; book",IF(ABS(U244-SUMIF($K$10:$K$309,V244,$J$10:$J$309))&lt;=1,"Matched","Tax amount differs")))</f>
        <v/>
      </c>
    </row>
    <row r="245" customFormat="false" ht="15" hidden="false" customHeight="false" outlineLevel="0" collapsed="false">
      <c r="B245" s="5"/>
      <c r="C245" s="5"/>
      <c r="D245" s="5"/>
      <c r="E245" s="16"/>
      <c r="F245" s="17"/>
      <c r="G245" s="17"/>
      <c r="H245" s="17"/>
      <c r="I245" s="17"/>
      <c r="J245" s="21" t="str">
        <f aca="false">IF(B245="","",N(G245)+N(H245)+N(I245))</f>
        <v/>
      </c>
      <c r="K245" s="27" t="str">
        <f aca="false">IF(B245="","",UPPER(TRIM(B245))&amp;"|"&amp;UPPER(TRIM(D245)))</f>
        <v/>
      </c>
      <c r="L245" s="7" t="str">
        <f aca="false">IF(B245="","",IF(COUNTIF($V$10:$V$309,K245)=0,"Not in 2B — ITC at risk",IF(ABS(J245-SUMIF($V$10:$V$309,K245,$U$10:$U$309))&lt;=1,"Matched","Tax amount differs")))</f>
        <v/>
      </c>
      <c r="N245" s="5"/>
      <c r="O245" s="5"/>
      <c r="P245" s="16"/>
      <c r="Q245" s="17"/>
      <c r="R245" s="17"/>
      <c r="S245" s="17"/>
      <c r="T245" s="17"/>
      <c r="U245" s="21" t="str">
        <f aca="false">IF(N245="","",N(R245)+N(S245)+N(T245))</f>
        <v/>
      </c>
      <c r="V245" s="27" t="str">
        <f aca="false">IF(N245="","",UPPER(TRIM(N245))&amp;"|"&amp;UPPER(TRIM(O245)))</f>
        <v/>
      </c>
      <c r="W245" s="7" t="str">
        <f aca="false">IF(N245="","",IF(COUNTIF($K$10:$K$309,V245)=0,"In 2B, not in books — check &amp; book",IF(ABS(U245-SUMIF($K$10:$K$309,V245,$J$10:$J$309))&lt;=1,"Matched","Tax amount differs")))</f>
        <v/>
      </c>
    </row>
    <row r="246" customFormat="false" ht="15" hidden="false" customHeight="false" outlineLevel="0" collapsed="false">
      <c r="B246" s="5"/>
      <c r="C246" s="5"/>
      <c r="D246" s="5"/>
      <c r="E246" s="16"/>
      <c r="F246" s="17"/>
      <c r="G246" s="17"/>
      <c r="H246" s="17"/>
      <c r="I246" s="17"/>
      <c r="J246" s="21" t="str">
        <f aca="false">IF(B246="","",N(G246)+N(H246)+N(I246))</f>
        <v/>
      </c>
      <c r="K246" s="27" t="str">
        <f aca="false">IF(B246="","",UPPER(TRIM(B246))&amp;"|"&amp;UPPER(TRIM(D246)))</f>
        <v/>
      </c>
      <c r="L246" s="7" t="str">
        <f aca="false">IF(B246="","",IF(COUNTIF($V$10:$V$309,K246)=0,"Not in 2B — ITC at risk",IF(ABS(J246-SUMIF($V$10:$V$309,K246,$U$10:$U$309))&lt;=1,"Matched","Tax amount differs")))</f>
        <v/>
      </c>
      <c r="N246" s="5"/>
      <c r="O246" s="5"/>
      <c r="P246" s="16"/>
      <c r="Q246" s="17"/>
      <c r="R246" s="17"/>
      <c r="S246" s="17"/>
      <c r="T246" s="17"/>
      <c r="U246" s="21" t="str">
        <f aca="false">IF(N246="","",N(R246)+N(S246)+N(T246))</f>
        <v/>
      </c>
      <c r="V246" s="27" t="str">
        <f aca="false">IF(N246="","",UPPER(TRIM(N246))&amp;"|"&amp;UPPER(TRIM(O246)))</f>
        <v/>
      </c>
      <c r="W246" s="7" t="str">
        <f aca="false">IF(N246="","",IF(COUNTIF($K$10:$K$309,V246)=0,"In 2B, not in books — check &amp; book",IF(ABS(U246-SUMIF($K$10:$K$309,V246,$J$10:$J$309))&lt;=1,"Matched","Tax amount differs")))</f>
        <v/>
      </c>
    </row>
    <row r="247" customFormat="false" ht="15" hidden="false" customHeight="false" outlineLevel="0" collapsed="false">
      <c r="B247" s="5"/>
      <c r="C247" s="5"/>
      <c r="D247" s="5"/>
      <c r="E247" s="16"/>
      <c r="F247" s="17"/>
      <c r="G247" s="17"/>
      <c r="H247" s="17"/>
      <c r="I247" s="17"/>
      <c r="J247" s="21" t="str">
        <f aca="false">IF(B247="","",N(G247)+N(H247)+N(I247))</f>
        <v/>
      </c>
      <c r="K247" s="27" t="str">
        <f aca="false">IF(B247="","",UPPER(TRIM(B247))&amp;"|"&amp;UPPER(TRIM(D247)))</f>
        <v/>
      </c>
      <c r="L247" s="7" t="str">
        <f aca="false">IF(B247="","",IF(COUNTIF($V$10:$V$309,K247)=0,"Not in 2B — ITC at risk",IF(ABS(J247-SUMIF($V$10:$V$309,K247,$U$10:$U$309))&lt;=1,"Matched","Tax amount differs")))</f>
        <v/>
      </c>
      <c r="N247" s="5"/>
      <c r="O247" s="5"/>
      <c r="P247" s="16"/>
      <c r="Q247" s="17"/>
      <c r="R247" s="17"/>
      <c r="S247" s="17"/>
      <c r="T247" s="17"/>
      <c r="U247" s="21" t="str">
        <f aca="false">IF(N247="","",N(R247)+N(S247)+N(T247))</f>
        <v/>
      </c>
      <c r="V247" s="27" t="str">
        <f aca="false">IF(N247="","",UPPER(TRIM(N247))&amp;"|"&amp;UPPER(TRIM(O247)))</f>
        <v/>
      </c>
      <c r="W247" s="7" t="str">
        <f aca="false">IF(N247="","",IF(COUNTIF($K$10:$K$309,V247)=0,"In 2B, not in books — check &amp; book",IF(ABS(U247-SUMIF($K$10:$K$309,V247,$J$10:$J$309))&lt;=1,"Matched","Tax amount differs")))</f>
        <v/>
      </c>
    </row>
    <row r="248" customFormat="false" ht="15" hidden="false" customHeight="false" outlineLevel="0" collapsed="false">
      <c r="B248" s="5"/>
      <c r="C248" s="5"/>
      <c r="D248" s="5"/>
      <c r="E248" s="16"/>
      <c r="F248" s="17"/>
      <c r="G248" s="17"/>
      <c r="H248" s="17"/>
      <c r="I248" s="17"/>
      <c r="J248" s="21" t="str">
        <f aca="false">IF(B248="","",N(G248)+N(H248)+N(I248))</f>
        <v/>
      </c>
      <c r="K248" s="27" t="str">
        <f aca="false">IF(B248="","",UPPER(TRIM(B248))&amp;"|"&amp;UPPER(TRIM(D248)))</f>
        <v/>
      </c>
      <c r="L248" s="7" t="str">
        <f aca="false">IF(B248="","",IF(COUNTIF($V$10:$V$309,K248)=0,"Not in 2B — ITC at risk",IF(ABS(J248-SUMIF($V$10:$V$309,K248,$U$10:$U$309))&lt;=1,"Matched","Tax amount differs")))</f>
        <v/>
      </c>
      <c r="N248" s="5"/>
      <c r="O248" s="5"/>
      <c r="P248" s="16"/>
      <c r="Q248" s="17"/>
      <c r="R248" s="17"/>
      <c r="S248" s="17"/>
      <c r="T248" s="17"/>
      <c r="U248" s="21" t="str">
        <f aca="false">IF(N248="","",N(R248)+N(S248)+N(T248))</f>
        <v/>
      </c>
      <c r="V248" s="27" t="str">
        <f aca="false">IF(N248="","",UPPER(TRIM(N248))&amp;"|"&amp;UPPER(TRIM(O248)))</f>
        <v/>
      </c>
      <c r="W248" s="7" t="str">
        <f aca="false">IF(N248="","",IF(COUNTIF($K$10:$K$309,V248)=0,"In 2B, not in books — check &amp; book",IF(ABS(U248-SUMIF($K$10:$K$309,V248,$J$10:$J$309))&lt;=1,"Matched","Tax amount differs")))</f>
        <v/>
      </c>
    </row>
    <row r="249" customFormat="false" ht="15" hidden="false" customHeight="false" outlineLevel="0" collapsed="false">
      <c r="B249" s="5"/>
      <c r="C249" s="5"/>
      <c r="D249" s="5"/>
      <c r="E249" s="16"/>
      <c r="F249" s="17"/>
      <c r="G249" s="17"/>
      <c r="H249" s="17"/>
      <c r="I249" s="17"/>
      <c r="J249" s="21" t="str">
        <f aca="false">IF(B249="","",N(G249)+N(H249)+N(I249))</f>
        <v/>
      </c>
      <c r="K249" s="27" t="str">
        <f aca="false">IF(B249="","",UPPER(TRIM(B249))&amp;"|"&amp;UPPER(TRIM(D249)))</f>
        <v/>
      </c>
      <c r="L249" s="7" t="str">
        <f aca="false">IF(B249="","",IF(COUNTIF($V$10:$V$309,K249)=0,"Not in 2B — ITC at risk",IF(ABS(J249-SUMIF($V$10:$V$309,K249,$U$10:$U$309))&lt;=1,"Matched","Tax amount differs")))</f>
        <v/>
      </c>
      <c r="N249" s="5"/>
      <c r="O249" s="5"/>
      <c r="P249" s="16"/>
      <c r="Q249" s="17"/>
      <c r="R249" s="17"/>
      <c r="S249" s="17"/>
      <c r="T249" s="17"/>
      <c r="U249" s="21" t="str">
        <f aca="false">IF(N249="","",N(R249)+N(S249)+N(T249))</f>
        <v/>
      </c>
      <c r="V249" s="27" t="str">
        <f aca="false">IF(N249="","",UPPER(TRIM(N249))&amp;"|"&amp;UPPER(TRIM(O249)))</f>
        <v/>
      </c>
      <c r="W249" s="7" t="str">
        <f aca="false">IF(N249="","",IF(COUNTIF($K$10:$K$309,V249)=0,"In 2B, not in books — check &amp; book",IF(ABS(U249-SUMIF($K$10:$K$309,V249,$J$10:$J$309))&lt;=1,"Matched","Tax amount differs")))</f>
        <v/>
      </c>
    </row>
    <row r="250" customFormat="false" ht="15" hidden="false" customHeight="false" outlineLevel="0" collapsed="false">
      <c r="B250" s="5"/>
      <c r="C250" s="5"/>
      <c r="D250" s="5"/>
      <c r="E250" s="16"/>
      <c r="F250" s="17"/>
      <c r="G250" s="17"/>
      <c r="H250" s="17"/>
      <c r="I250" s="17"/>
      <c r="J250" s="21" t="str">
        <f aca="false">IF(B250="","",N(G250)+N(H250)+N(I250))</f>
        <v/>
      </c>
      <c r="K250" s="27" t="str">
        <f aca="false">IF(B250="","",UPPER(TRIM(B250))&amp;"|"&amp;UPPER(TRIM(D250)))</f>
        <v/>
      </c>
      <c r="L250" s="7" t="str">
        <f aca="false">IF(B250="","",IF(COUNTIF($V$10:$V$309,K250)=0,"Not in 2B — ITC at risk",IF(ABS(J250-SUMIF($V$10:$V$309,K250,$U$10:$U$309))&lt;=1,"Matched","Tax amount differs")))</f>
        <v/>
      </c>
      <c r="N250" s="5"/>
      <c r="O250" s="5"/>
      <c r="P250" s="16"/>
      <c r="Q250" s="17"/>
      <c r="R250" s="17"/>
      <c r="S250" s="17"/>
      <c r="T250" s="17"/>
      <c r="U250" s="21" t="str">
        <f aca="false">IF(N250="","",N(R250)+N(S250)+N(T250))</f>
        <v/>
      </c>
      <c r="V250" s="27" t="str">
        <f aca="false">IF(N250="","",UPPER(TRIM(N250))&amp;"|"&amp;UPPER(TRIM(O250)))</f>
        <v/>
      </c>
      <c r="W250" s="7" t="str">
        <f aca="false">IF(N250="","",IF(COUNTIF($K$10:$K$309,V250)=0,"In 2B, not in books — check &amp; book",IF(ABS(U250-SUMIF($K$10:$K$309,V250,$J$10:$J$309))&lt;=1,"Matched","Tax amount differs")))</f>
        <v/>
      </c>
    </row>
    <row r="251" customFormat="false" ht="15" hidden="false" customHeight="false" outlineLevel="0" collapsed="false">
      <c r="B251" s="5"/>
      <c r="C251" s="5"/>
      <c r="D251" s="5"/>
      <c r="E251" s="16"/>
      <c r="F251" s="17"/>
      <c r="G251" s="17"/>
      <c r="H251" s="17"/>
      <c r="I251" s="17"/>
      <c r="J251" s="21" t="str">
        <f aca="false">IF(B251="","",N(G251)+N(H251)+N(I251))</f>
        <v/>
      </c>
      <c r="K251" s="27" t="str">
        <f aca="false">IF(B251="","",UPPER(TRIM(B251))&amp;"|"&amp;UPPER(TRIM(D251)))</f>
        <v/>
      </c>
      <c r="L251" s="7" t="str">
        <f aca="false">IF(B251="","",IF(COUNTIF($V$10:$V$309,K251)=0,"Not in 2B — ITC at risk",IF(ABS(J251-SUMIF($V$10:$V$309,K251,$U$10:$U$309))&lt;=1,"Matched","Tax amount differs")))</f>
        <v/>
      </c>
      <c r="N251" s="5"/>
      <c r="O251" s="5"/>
      <c r="P251" s="16"/>
      <c r="Q251" s="17"/>
      <c r="R251" s="17"/>
      <c r="S251" s="17"/>
      <c r="T251" s="17"/>
      <c r="U251" s="21" t="str">
        <f aca="false">IF(N251="","",N(R251)+N(S251)+N(T251))</f>
        <v/>
      </c>
      <c r="V251" s="27" t="str">
        <f aca="false">IF(N251="","",UPPER(TRIM(N251))&amp;"|"&amp;UPPER(TRIM(O251)))</f>
        <v/>
      </c>
      <c r="W251" s="7" t="str">
        <f aca="false">IF(N251="","",IF(COUNTIF($K$10:$K$309,V251)=0,"In 2B, not in books — check &amp; book",IF(ABS(U251-SUMIF($K$10:$K$309,V251,$J$10:$J$309))&lt;=1,"Matched","Tax amount differs")))</f>
        <v/>
      </c>
    </row>
    <row r="252" customFormat="false" ht="15" hidden="false" customHeight="false" outlineLevel="0" collapsed="false">
      <c r="B252" s="5"/>
      <c r="C252" s="5"/>
      <c r="D252" s="5"/>
      <c r="E252" s="16"/>
      <c r="F252" s="17"/>
      <c r="G252" s="17"/>
      <c r="H252" s="17"/>
      <c r="I252" s="17"/>
      <c r="J252" s="21" t="str">
        <f aca="false">IF(B252="","",N(G252)+N(H252)+N(I252))</f>
        <v/>
      </c>
      <c r="K252" s="27" t="str">
        <f aca="false">IF(B252="","",UPPER(TRIM(B252))&amp;"|"&amp;UPPER(TRIM(D252)))</f>
        <v/>
      </c>
      <c r="L252" s="7" t="str">
        <f aca="false">IF(B252="","",IF(COUNTIF($V$10:$V$309,K252)=0,"Not in 2B — ITC at risk",IF(ABS(J252-SUMIF($V$10:$V$309,K252,$U$10:$U$309))&lt;=1,"Matched","Tax amount differs")))</f>
        <v/>
      </c>
      <c r="N252" s="5"/>
      <c r="O252" s="5"/>
      <c r="P252" s="16"/>
      <c r="Q252" s="17"/>
      <c r="R252" s="17"/>
      <c r="S252" s="17"/>
      <c r="T252" s="17"/>
      <c r="U252" s="21" t="str">
        <f aca="false">IF(N252="","",N(R252)+N(S252)+N(T252))</f>
        <v/>
      </c>
      <c r="V252" s="27" t="str">
        <f aca="false">IF(N252="","",UPPER(TRIM(N252))&amp;"|"&amp;UPPER(TRIM(O252)))</f>
        <v/>
      </c>
      <c r="W252" s="7" t="str">
        <f aca="false">IF(N252="","",IF(COUNTIF($K$10:$K$309,V252)=0,"In 2B, not in books — check &amp; book",IF(ABS(U252-SUMIF($K$10:$K$309,V252,$J$10:$J$309))&lt;=1,"Matched","Tax amount differs")))</f>
        <v/>
      </c>
    </row>
    <row r="253" customFormat="false" ht="15" hidden="false" customHeight="false" outlineLevel="0" collapsed="false">
      <c r="B253" s="5"/>
      <c r="C253" s="5"/>
      <c r="D253" s="5"/>
      <c r="E253" s="16"/>
      <c r="F253" s="17"/>
      <c r="G253" s="17"/>
      <c r="H253" s="17"/>
      <c r="I253" s="17"/>
      <c r="J253" s="21" t="str">
        <f aca="false">IF(B253="","",N(G253)+N(H253)+N(I253))</f>
        <v/>
      </c>
      <c r="K253" s="27" t="str">
        <f aca="false">IF(B253="","",UPPER(TRIM(B253))&amp;"|"&amp;UPPER(TRIM(D253)))</f>
        <v/>
      </c>
      <c r="L253" s="7" t="str">
        <f aca="false">IF(B253="","",IF(COUNTIF($V$10:$V$309,K253)=0,"Not in 2B — ITC at risk",IF(ABS(J253-SUMIF($V$10:$V$309,K253,$U$10:$U$309))&lt;=1,"Matched","Tax amount differs")))</f>
        <v/>
      </c>
      <c r="N253" s="5"/>
      <c r="O253" s="5"/>
      <c r="P253" s="16"/>
      <c r="Q253" s="17"/>
      <c r="R253" s="17"/>
      <c r="S253" s="17"/>
      <c r="T253" s="17"/>
      <c r="U253" s="21" t="str">
        <f aca="false">IF(N253="","",N(R253)+N(S253)+N(T253))</f>
        <v/>
      </c>
      <c r="V253" s="27" t="str">
        <f aca="false">IF(N253="","",UPPER(TRIM(N253))&amp;"|"&amp;UPPER(TRIM(O253)))</f>
        <v/>
      </c>
      <c r="W253" s="7" t="str">
        <f aca="false">IF(N253="","",IF(COUNTIF($K$10:$K$309,V253)=0,"In 2B, not in books — check &amp; book",IF(ABS(U253-SUMIF($K$10:$K$309,V253,$J$10:$J$309))&lt;=1,"Matched","Tax amount differs")))</f>
        <v/>
      </c>
    </row>
    <row r="254" customFormat="false" ht="15" hidden="false" customHeight="false" outlineLevel="0" collapsed="false">
      <c r="B254" s="5"/>
      <c r="C254" s="5"/>
      <c r="D254" s="5"/>
      <c r="E254" s="16"/>
      <c r="F254" s="17"/>
      <c r="G254" s="17"/>
      <c r="H254" s="17"/>
      <c r="I254" s="17"/>
      <c r="J254" s="21" t="str">
        <f aca="false">IF(B254="","",N(G254)+N(H254)+N(I254))</f>
        <v/>
      </c>
      <c r="K254" s="27" t="str">
        <f aca="false">IF(B254="","",UPPER(TRIM(B254))&amp;"|"&amp;UPPER(TRIM(D254)))</f>
        <v/>
      </c>
      <c r="L254" s="7" t="str">
        <f aca="false">IF(B254="","",IF(COUNTIF($V$10:$V$309,K254)=0,"Not in 2B — ITC at risk",IF(ABS(J254-SUMIF($V$10:$V$309,K254,$U$10:$U$309))&lt;=1,"Matched","Tax amount differs")))</f>
        <v/>
      </c>
      <c r="N254" s="5"/>
      <c r="O254" s="5"/>
      <c r="P254" s="16"/>
      <c r="Q254" s="17"/>
      <c r="R254" s="17"/>
      <c r="S254" s="17"/>
      <c r="T254" s="17"/>
      <c r="U254" s="21" t="str">
        <f aca="false">IF(N254="","",N(R254)+N(S254)+N(T254))</f>
        <v/>
      </c>
      <c r="V254" s="27" t="str">
        <f aca="false">IF(N254="","",UPPER(TRIM(N254))&amp;"|"&amp;UPPER(TRIM(O254)))</f>
        <v/>
      </c>
      <c r="W254" s="7" t="str">
        <f aca="false">IF(N254="","",IF(COUNTIF($K$10:$K$309,V254)=0,"In 2B, not in books — check &amp; book",IF(ABS(U254-SUMIF($K$10:$K$309,V254,$J$10:$J$309))&lt;=1,"Matched","Tax amount differs")))</f>
        <v/>
      </c>
    </row>
    <row r="255" customFormat="false" ht="15" hidden="false" customHeight="false" outlineLevel="0" collapsed="false">
      <c r="B255" s="5"/>
      <c r="C255" s="5"/>
      <c r="D255" s="5"/>
      <c r="E255" s="16"/>
      <c r="F255" s="17"/>
      <c r="G255" s="17"/>
      <c r="H255" s="17"/>
      <c r="I255" s="17"/>
      <c r="J255" s="21" t="str">
        <f aca="false">IF(B255="","",N(G255)+N(H255)+N(I255))</f>
        <v/>
      </c>
      <c r="K255" s="27" t="str">
        <f aca="false">IF(B255="","",UPPER(TRIM(B255))&amp;"|"&amp;UPPER(TRIM(D255)))</f>
        <v/>
      </c>
      <c r="L255" s="7" t="str">
        <f aca="false">IF(B255="","",IF(COUNTIF($V$10:$V$309,K255)=0,"Not in 2B — ITC at risk",IF(ABS(J255-SUMIF($V$10:$V$309,K255,$U$10:$U$309))&lt;=1,"Matched","Tax amount differs")))</f>
        <v/>
      </c>
      <c r="N255" s="5"/>
      <c r="O255" s="5"/>
      <c r="P255" s="16"/>
      <c r="Q255" s="17"/>
      <c r="R255" s="17"/>
      <c r="S255" s="17"/>
      <c r="T255" s="17"/>
      <c r="U255" s="21" t="str">
        <f aca="false">IF(N255="","",N(R255)+N(S255)+N(T255))</f>
        <v/>
      </c>
      <c r="V255" s="27" t="str">
        <f aca="false">IF(N255="","",UPPER(TRIM(N255))&amp;"|"&amp;UPPER(TRIM(O255)))</f>
        <v/>
      </c>
      <c r="W255" s="7" t="str">
        <f aca="false">IF(N255="","",IF(COUNTIF($K$10:$K$309,V255)=0,"In 2B, not in books — check &amp; book",IF(ABS(U255-SUMIF($K$10:$K$309,V255,$J$10:$J$309))&lt;=1,"Matched","Tax amount differs")))</f>
        <v/>
      </c>
    </row>
    <row r="256" customFormat="false" ht="15" hidden="false" customHeight="false" outlineLevel="0" collapsed="false">
      <c r="B256" s="5"/>
      <c r="C256" s="5"/>
      <c r="D256" s="5"/>
      <c r="E256" s="16"/>
      <c r="F256" s="17"/>
      <c r="G256" s="17"/>
      <c r="H256" s="17"/>
      <c r="I256" s="17"/>
      <c r="J256" s="21" t="str">
        <f aca="false">IF(B256="","",N(G256)+N(H256)+N(I256))</f>
        <v/>
      </c>
      <c r="K256" s="27" t="str">
        <f aca="false">IF(B256="","",UPPER(TRIM(B256))&amp;"|"&amp;UPPER(TRIM(D256)))</f>
        <v/>
      </c>
      <c r="L256" s="7" t="str">
        <f aca="false">IF(B256="","",IF(COUNTIF($V$10:$V$309,K256)=0,"Not in 2B — ITC at risk",IF(ABS(J256-SUMIF($V$10:$V$309,K256,$U$10:$U$309))&lt;=1,"Matched","Tax amount differs")))</f>
        <v/>
      </c>
      <c r="N256" s="5"/>
      <c r="O256" s="5"/>
      <c r="P256" s="16"/>
      <c r="Q256" s="17"/>
      <c r="R256" s="17"/>
      <c r="S256" s="17"/>
      <c r="T256" s="17"/>
      <c r="U256" s="21" t="str">
        <f aca="false">IF(N256="","",N(R256)+N(S256)+N(T256))</f>
        <v/>
      </c>
      <c r="V256" s="27" t="str">
        <f aca="false">IF(N256="","",UPPER(TRIM(N256))&amp;"|"&amp;UPPER(TRIM(O256)))</f>
        <v/>
      </c>
      <c r="W256" s="7" t="str">
        <f aca="false">IF(N256="","",IF(COUNTIF($K$10:$K$309,V256)=0,"In 2B, not in books — check &amp; book",IF(ABS(U256-SUMIF($K$10:$K$309,V256,$J$10:$J$309))&lt;=1,"Matched","Tax amount differs")))</f>
        <v/>
      </c>
    </row>
    <row r="257" customFormat="false" ht="15" hidden="false" customHeight="false" outlineLevel="0" collapsed="false">
      <c r="B257" s="5"/>
      <c r="C257" s="5"/>
      <c r="D257" s="5"/>
      <c r="E257" s="16"/>
      <c r="F257" s="17"/>
      <c r="G257" s="17"/>
      <c r="H257" s="17"/>
      <c r="I257" s="17"/>
      <c r="J257" s="21" t="str">
        <f aca="false">IF(B257="","",N(G257)+N(H257)+N(I257))</f>
        <v/>
      </c>
      <c r="K257" s="27" t="str">
        <f aca="false">IF(B257="","",UPPER(TRIM(B257))&amp;"|"&amp;UPPER(TRIM(D257)))</f>
        <v/>
      </c>
      <c r="L257" s="7" t="str">
        <f aca="false">IF(B257="","",IF(COUNTIF($V$10:$V$309,K257)=0,"Not in 2B — ITC at risk",IF(ABS(J257-SUMIF($V$10:$V$309,K257,$U$10:$U$309))&lt;=1,"Matched","Tax amount differs")))</f>
        <v/>
      </c>
      <c r="N257" s="5"/>
      <c r="O257" s="5"/>
      <c r="P257" s="16"/>
      <c r="Q257" s="17"/>
      <c r="R257" s="17"/>
      <c r="S257" s="17"/>
      <c r="T257" s="17"/>
      <c r="U257" s="21" t="str">
        <f aca="false">IF(N257="","",N(R257)+N(S257)+N(T257))</f>
        <v/>
      </c>
      <c r="V257" s="27" t="str">
        <f aca="false">IF(N257="","",UPPER(TRIM(N257))&amp;"|"&amp;UPPER(TRIM(O257)))</f>
        <v/>
      </c>
      <c r="W257" s="7" t="str">
        <f aca="false">IF(N257="","",IF(COUNTIF($K$10:$K$309,V257)=0,"In 2B, not in books — check &amp; book",IF(ABS(U257-SUMIF($K$10:$K$309,V257,$J$10:$J$309))&lt;=1,"Matched","Tax amount differs")))</f>
        <v/>
      </c>
    </row>
    <row r="258" customFormat="false" ht="15" hidden="false" customHeight="false" outlineLevel="0" collapsed="false">
      <c r="B258" s="5"/>
      <c r="C258" s="5"/>
      <c r="D258" s="5"/>
      <c r="E258" s="16"/>
      <c r="F258" s="17"/>
      <c r="G258" s="17"/>
      <c r="H258" s="17"/>
      <c r="I258" s="17"/>
      <c r="J258" s="21" t="str">
        <f aca="false">IF(B258="","",N(G258)+N(H258)+N(I258))</f>
        <v/>
      </c>
      <c r="K258" s="27" t="str">
        <f aca="false">IF(B258="","",UPPER(TRIM(B258))&amp;"|"&amp;UPPER(TRIM(D258)))</f>
        <v/>
      </c>
      <c r="L258" s="7" t="str">
        <f aca="false">IF(B258="","",IF(COUNTIF($V$10:$V$309,K258)=0,"Not in 2B — ITC at risk",IF(ABS(J258-SUMIF($V$10:$V$309,K258,$U$10:$U$309))&lt;=1,"Matched","Tax amount differs")))</f>
        <v/>
      </c>
      <c r="N258" s="5"/>
      <c r="O258" s="5"/>
      <c r="P258" s="16"/>
      <c r="Q258" s="17"/>
      <c r="R258" s="17"/>
      <c r="S258" s="17"/>
      <c r="T258" s="17"/>
      <c r="U258" s="21" t="str">
        <f aca="false">IF(N258="","",N(R258)+N(S258)+N(T258))</f>
        <v/>
      </c>
      <c r="V258" s="27" t="str">
        <f aca="false">IF(N258="","",UPPER(TRIM(N258))&amp;"|"&amp;UPPER(TRIM(O258)))</f>
        <v/>
      </c>
      <c r="W258" s="7" t="str">
        <f aca="false">IF(N258="","",IF(COUNTIF($K$10:$K$309,V258)=0,"In 2B, not in books — check &amp; book",IF(ABS(U258-SUMIF($K$10:$K$309,V258,$J$10:$J$309))&lt;=1,"Matched","Tax amount differs")))</f>
        <v/>
      </c>
    </row>
    <row r="259" customFormat="false" ht="15" hidden="false" customHeight="false" outlineLevel="0" collapsed="false">
      <c r="B259" s="5"/>
      <c r="C259" s="5"/>
      <c r="D259" s="5"/>
      <c r="E259" s="16"/>
      <c r="F259" s="17"/>
      <c r="G259" s="17"/>
      <c r="H259" s="17"/>
      <c r="I259" s="17"/>
      <c r="J259" s="21" t="str">
        <f aca="false">IF(B259="","",N(G259)+N(H259)+N(I259))</f>
        <v/>
      </c>
      <c r="K259" s="27" t="str">
        <f aca="false">IF(B259="","",UPPER(TRIM(B259))&amp;"|"&amp;UPPER(TRIM(D259)))</f>
        <v/>
      </c>
      <c r="L259" s="7" t="str">
        <f aca="false">IF(B259="","",IF(COUNTIF($V$10:$V$309,K259)=0,"Not in 2B — ITC at risk",IF(ABS(J259-SUMIF($V$10:$V$309,K259,$U$10:$U$309))&lt;=1,"Matched","Tax amount differs")))</f>
        <v/>
      </c>
      <c r="N259" s="5"/>
      <c r="O259" s="5"/>
      <c r="P259" s="16"/>
      <c r="Q259" s="17"/>
      <c r="R259" s="17"/>
      <c r="S259" s="17"/>
      <c r="T259" s="17"/>
      <c r="U259" s="21" t="str">
        <f aca="false">IF(N259="","",N(R259)+N(S259)+N(T259))</f>
        <v/>
      </c>
      <c r="V259" s="27" t="str">
        <f aca="false">IF(N259="","",UPPER(TRIM(N259))&amp;"|"&amp;UPPER(TRIM(O259)))</f>
        <v/>
      </c>
      <c r="W259" s="7" t="str">
        <f aca="false">IF(N259="","",IF(COUNTIF($K$10:$K$309,V259)=0,"In 2B, not in books — check &amp; book",IF(ABS(U259-SUMIF($K$10:$K$309,V259,$J$10:$J$309))&lt;=1,"Matched","Tax amount differs")))</f>
        <v/>
      </c>
    </row>
    <row r="260" customFormat="false" ht="15" hidden="false" customHeight="false" outlineLevel="0" collapsed="false">
      <c r="B260" s="5"/>
      <c r="C260" s="5"/>
      <c r="D260" s="5"/>
      <c r="E260" s="16"/>
      <c r="F260" s="17"/>
      <c r="G260" s="17"/>
      <c r="H260" s="17"/>
      <c r="I260" s="17"/>
      <c r="J260" s="21" t="str">
        <f aca="false">IF(B260="","",N(G260)+N(H260)+N(I260))</f>
        <v/>
      </c>
      <c r="K260" s="27" t="str">
        <f aca="false">IF(B260="","",UPPER(TRIM(B260))&amp;"|"&amp;UPPER(TRIM(D260)))</f>
        <v/>
      </c>
      <c r="L260" s="7" t="str">
        <f aca="false">IF(B260="","",IF(COUNTIF($V$10:$V$309,K260)=0,"Not in 2B — ITC at risk",IF(ABS(J260-SUMIF($V$10:$V$309,K260,$U$10:$U$309))&lt;=1,"Matched","Tax amount differs")))</f>
        <v/>
      </c>
      <c r="N260" s="5"/>
      <c r="O260" s="5"/>
      <c r="P260" s="16"/>
      <c r="Q260" s="17"/>
      <c r="R260" s="17"/>
      <c r="S260" s="17"/>
      <c r="T260" s="17"/>
      <c r="U260" s="21" t="str">
        <f aca="false">IF(N260="","",N(R260)+N(S260)+N(T260))</f>
        <v/>
      </c>
      <c r="V260" s="27" t="str">
        <f aca="false">IF(N260="","",UPPER(TRIM(N260))&amp;"|"&amp;UPPER(TRIM(O260)))</f>
        <v/>
      </c>
      <c r="W260" s="7" t="str">
        <f aca="false">IF(N260="","",IF(COUNTIF($K$10:$K$309,V260)=0,"In 2B, not in books — check &amp; book",IF(ABS(U260-SUMIF($K$10:$K$309,V260,$J$10:$J$309))&lt;=1,"Matched","Tax amount differs")))</f>
        <v/>
      </c>
    </row>
    <row r="261" customFormat="false" ht="15" hidden="false" customHeight="false" outlineLevel="0" collapsed="false">
      <c r="B261" s="5"/>
      <c r="C261" s="5"/>
      <c r="D261" s="5"/>
      <c r="E261" s="16"/>
      <c r="F261" s="17"/>
      <c r="G261" s="17"/>
      <c r="H261" s="17"/>
      <c r="I261" s="17"/>
      <c r="J261" s="21" t="str">
        <f aca="false">IF(B261="","",N(G261)+N(H261)+N(I261))</f>
        <v/>
      </c>
      <c r="K261" s="27" t="str">
        <f aca="false">IF(B261="","",UPPER(TRIM(B261))&amp;"|"&amp;UPPER(TRIM(D261)))</f>
        <v/>
      </c>
      <c r="L261" s="7" t="str">
        <f aca="false">IF(B261="","",IF(COUNTIF($V$10:$V$309,K261)=0,"Not in 2B — ITC at risk",IF(ABS(J261-SUMIF($V$10:$V$309,K261,$U$10:$U$309))&lt;=1,"Matched","Tax amount differs")))</f>
        <v/>
      </c>
      <c r="N261" s="5"/>
      <c r="O261" s="5"/>
      <c r="P261" s="16"/>
      <c r="Q261" s="17"/>
      <c r="R261" s="17"/>
      <c r="S261" s="17"/>
      <c r="T261" s="17"/>
      <c r="U261" s="21" t="str">
        <f aca="false">IF(N261="","",N(R261)+N(S261)+N(T261))</f>
        <v/>
      </c>
      <c r="V261" s="27" t="str">
        <f aca="false">IF(N261="","",UPPER(TRIM(N261))&amp;"|"&amp;UPPER(TRIM(O261)))</f>
        <v/>
      </c>
      <c r="W261" s="7" t="str">
        <f aca="false">IF(N261="","",IF(COUNTIF($K$10:$K$309,V261)=0,"In 2B, not in books — check &amp; book",IF(ABS(U261-SUMIF($K$10:$K$309,V261,$J$10:$J$309))&lt;=1,"Matched","Tax amount differs")))</f>
        <v/>
      </c>
    </row>
    <row r="262" customFormat="false" ht="15" hidden="false" customHeight="false" outlineLevel="0" collapsed="false">
      <c r="B262" s="5"/>
      <c r="C262" s="5"/>
      <c r="D262" s="5"/>
      <c r="E262" s="16"/>
      <c r="F262" s="17"/>
      <c r="G262" s="17"/>
      <c r="H262" s="17"/>
      <c r="I262" s="17"/>
      <c r="J262" s="21" t="str">
        <f aca="false">IF(B262="","",N(G262)+N(H262)+N(I262))</f>
        <v/>
      </c>
      <c r="K262" s="27" t="str">
        <f aca="false">IF(B262="","",UPPER(TRIM(B262))&amp;"|"&amp;UPPER(TRIM(D262)))</f>
        <v/>
      </c>
      <c r="L262" s="7" t="str">
        <f aca="false">IF(B262="","",IF(COUNTIF($V$10:$V$309,K262)=0,"Not in 2B — ITC at risk",IF(ABS(J262-SUMIF($V$10:$V$309,K262,$U$10:$U$309))&lt;=1,"Matched","Tax amount differs")))</f>
        <v/>
      </c>
      <c r="N262" s="5"/>
      <c r="O262" s="5"/>
      <c r="P262" s="16"/>
      <c r="Q262" s="17"/>
      <c r="R262" s="17"/>
      <c r="S262" s="17"/>
      <c r="T262" s="17"/>
      <c r="U262" s="21" t="str">
        <f aca="false">IF(N262="","",N(R262)+N(S262)+N(T262))</f>
        <v/>
      </c>
      <c r="V262" s="27" t="str">
        <f aca="false">IF(N262="","",UPPER(TRIM(N262))&amp;"|"&amp;UPPER(TRIM(O262)))</f>
        <v/>
      </c>
      <c r="W262" s="7" t="str">
        <f aca="false">IF(N262="","",IF(COUNTIF($K$10:$K$309,V262)=0,"In 2B, not in books — check &amp; book",IF(ABS(U262-SUMIF($K$10:$K$309,V262,$J$10:$J$309))&lt;=1,"Matched","Tax amount differs")))</f>
        <v/>
      </c>
    </row>
    <row r="263" customFormat="false" ht="15" hidden="false" customHeight="false" outlineLevel="0" collapsed="false">
      <c r="B263" s="5"/>
      <c r="C263" s="5"/>
      <c r="D263" s="5"/>
      <c r="E263" s="16"/>
      <c r="F263" s="17"/>
      <c r="G263" s="17"/>
      <c r="H263" s="17"/>
      <c r="I263" s="17"/>
      <c r="J263" s="21" t="str">
        <f aca="false">IF(B263="","",N(G263)+N(H263)+N(I263))</f>
        <v/>
      </c>
      <c r="K263" s="27" t="str">
        <f aca="false">IF(B263="","",UPPER(TRIM(B263))&amp;"|"&amp;UPPER(TRIM(D263)))</f>
        <v/>
      </c>
      <c r="L263" s="7" t="str">
        <f aca="false">IF(B263="","",IF(COUNTIF($V$10:$V$309,K263)=0,"Not in 2B — ITC at risk",IF(ABS(J263-SUMIF($V$10:$V$309,K263,$U$10:$U$309))&lt;=1,"Matched","Tax amount differs")))</f>
        <v/>
      </c>
      <c r="N263" s="5"/>
      <c r="O263" s="5"/>
      <c r="P263" s="16"/>
      <c r="Q263" s="17"/>
      <c r="R263" s="17"/>
      <c r="S263" s="17"/>
      <c r="T263" s="17"/>
      <c r="U263" s="21" t="str">
        <f aca="false">IF(N263="","",N(R263)+N(S263)+N(T263))</f>
        <v/>
      </c>
      <c r="V263" s="27" t="str">
        <f aca="false">IF(N263="","",UPPER(TRIM(N263))&amp;"|"&amp;UPPER(TRIM(O263)))</f>
        <v/>
      </c>
      <c r="W263" s="7" t="str">
        <f aca="false">IF(N263="","",IF(COUNTIF($K$10:$K$309,V263)=0,"In 2B, not in books — check &amp; book",IF(ABS(U263-SUMIF($K$10:$K$309,V263,$J$10:$J$309))&lt;=1,"Matched","Tax amount differs")))</f>
        <v/>
      </c>
    </row>
    <row r="264" customFormat="false" ht="15" hidden="false" customHeight="false" outlineLevel="0" collapsed="false">
      <c r="B264" s="5"/>
      <c r="C264" s="5"/>
      <c r="D264" s="5"/>
      <c r="E264" s="16"/>
      <c r="F264" s="17"/>
      <c r="G264" s="17"/>
      <c r="H264" s="17"/>
      <c r="I264" s="17"/>
      <c r="J264" s="21" t="str">
        <f aca="false">IF(B264="","",N(G264)+N(H264)+N(I264))</f>
        <v/>
      </c>
      <c r="K264" s="27" t="str">
        <f aca="false">IF(B264="","",UPPER(TRIM(B264))&amp;"|"&amp;UPPER(TRIM(D264)))</f>
        <v/>
      </c>
      <c r="L264" s="7" t="str">
        <f aca="false">IF(B264="","",IF(COUNTIF($V$10:$V$309,K264)=0,"Not in 2B — ITC at risk",IF(ABS(J264-SUMIF($V$10:$V$309,K264,$U$10:$U$309))&lt;=1,"Matched","Tax amount differs")))</f>
        <v/>
      </c>
      <c r="N264" s="5"/>
      <c r="O264" s="5"/>
      <c r="P264" s="16"/>
      <c r="Q264" s="17"/>
      <c r="R264" s="17"/>
      <c r="S264" s="17"/>
      <c r="T264" s="17"/>
      <c r="U264" s="21" t="str">
        <f aca="false">IF(N264="","",N(R264)+N(S264)+N(T264))</f>
        <v/>
      </c>
      <c r="V264" s="27" t="str">
        <f aca="false">IF(N264="","",UPPER(TRIM(N264))&amp;"|"&amp;UPPER(TRIM(O264)))</f>
        <v/>
      </c>
      <c r="W264" s="7" t="str">
        <f aca="false">IF(N264="","",IF(COUNTIF($K$10:$K$309,V264)=0,"In 2B, not in books — check &amp; book",IF(ABS(U264-SUMIF($K$10:$K$309,V264,$J$10:$J$309))&lt;=1,"Matched","Tax amount differs")))</f>
        <v/>
      </c>
    </row>
    <row r="265" customFormat="false" ht="15" hidden="false" customHeight="false" outlineLevel="0" collapsed="false">
      <c r="B265" s="5"/>
      <c r="C265" s="5"/>
      <c r="D265" s="5"/>
      <c r="E265" s="16"/>
      <c r="F265" s="17"/>
      <c r="G265" s="17"/>
      <c r="H265" s="17"/>
      <c r="I265" s="17"/>
      <c r="J265" s="21" t="str">
        <f aca="false">IF(B265="","",N(G265)+N(H265)+N(I265))</f>
        <v/>
      </c>
      <c r="K265" s="27" t="str">
        <f aca="false">IF(B265="","",UPPER(TRIM(B265))&amp;"|"&amp;UPPER(TRIM(D265)))</f>
        <v/>
      </c>
      <c r="L265" s="7" t="str">
        <f aca="false">IF(B265="","",IF(COUNTIF($V$10:$V$309,K265)=0,"Not in 2B — ITC at risk",IF(ABS(J265-SUMIF($V$10:$V$309,K265,$U$10:$U$309))&lt;=1,"Matched","Tax amount differs")))</f>
        <v/>
      </c>
      <c r="N265" s="5"/>
      <c r="O265" s="5"/>
      <c r="P265" s="16"/>
      <c r="Q265" s="17"/>
      <c r="R265" s="17"/>
      <c r="S265" s="17"/>
      <c r="T265" s="17"/>
      <c r="U265" s="21" t="str">
        <f aca="false">IF(N265="","",N(R265)+N(S265)+N(T265))</f>
        <v/>
      </c>
      <c r="V265" s="27" t="str">
        <f aca="false">IF(N265="","",UPPER(TRIM(N265))&amp;"|"&amp;UPPER(TRIM(O265)))</f>
        <v/>
      </c>
      <c r="W265" s="7" t="str">
        <f aca="false">IF(N265="","",IF(COUNTIF($K$10:$K$309,V265)=0,"In 2B, not in books — check &amp; book",IF(ABS(U265-SUMIF($K$10:$K$309,V265,$J$10:$J$309))&lt;=1,"Matched","Tax amount differs")))</f>
        <v/>
      </c>
    </row>
    <row r="266" customFormat="false" ht="15" hidden="false" customHeight="false" outlineLevel="0" collapsed="false">
      <c r="B266" s="5"/>
      <c r="C266" s="5"/>
      <c r="D266" s="5"/>
      <c r="E266" s="16"/>
      <c r="F266" s="17"/>
      <c r="G266" s="17"/>
      <c r="H266" s="17"/>
      <c r="I266" s="17"/>
      <c r="J266" s="21" t="str">
        <f aca="false">IF(B266="","",N(G266)+N(H266)+N(I266))</f>
        <v/>
      </c>
      <c r="K266" s="27" t="str">
        <f aca="false">IF(B266="","",UPPER(TRIM(B266))&amp;"|"&amp;UPPER(TRIM(D266)))</f>
        <v/>
      </c>
      <c r="L266" s="7" t="str">
        <f aca="false">IF(B266="","",IF(COUNTIF($V$10:$V$309,K266)=0,"Not in 2B — ITC at risk",IF(ABS(J266-SUMIF($V$10:$V$309,K266,$U$10:$U$309))&lt;=1,"Matched","Tax amount differs")))</f>
        <v/>
      </c>
      <c r="N266" s="5"/>
      <c r="O266" s="5"/>
      <c r="P266" s="16"/>
      <c r="Q266" s="17"/>
      <c r="R266" s="17"/>
      <c r="S266" s="17"/>
      <c r="T266" s="17"/>
      <c r="U266" s="21" t="str">
        <f aca="false">IF(N266="","",N(R266)+N(S266)+N(T266))</f>
        <v/>
      </c>
      <c r="V266" s="27" t="str">
        <f aca="false">IF(N266="","",UPPER(TRIM(N266))&amp;"|"&amp;UPPER(TRIM(O266)))</f>
        <v/>
      </c>
      <c r="W266" s="7" t="str">
        <f aca="false">IF(N266="","",IF(COUNTIF($K$10:$K$309,V266)=0,"In 2B, not in books — check &amp; book",IF(ABS(U266-SUMIF($K$10:$K$309,V266,$J$10:$J$309))&lt;=1,"Matched","Tax amount differs")))</f>
        <v/>
      </c>
    </row>
    <row r="267" customFormat="false" ht="15" hidden="false" customHeight="false" outlineLevel="0" collapsed="false">
      <c r="B267" s="5"/>
      <c r="C267" s="5"/>
      <c r="D267" s="5"/>
      <c r="E267" s="16"/>
      <c r="F267" s="17"/>
      <c r="G267" s="17"/>
      <c r="H267" s="17"/>
      <c r="I267" s="17"/>
      <c r="J267" s="21" t="str">
        <f aca="false">IF(B267="","",N(G267)+N(H267)+N(I267))</f>
        <v/>
      </c>
      <c r="K267" s="27" t="str">
        <f aca="false">IF(B267="","",UPPER(TRIM(B267))&amp;"|"&amp;UPPER(TRIM(D267)))</f>
        <v/>
      </c>
      <c r="L267" s="7" t="str">
        <f aca="false">IF(B267="","",IF(COUNTIF($V$10:$V$309,K267)=0,"Not in 2B — ITC at risk",IF(ABS(J267-SUMIF($V$10:$V$309,K267,$U$10:$U$309))&lt;=1,"Matched","Tax amount differs")))</f>
        <v/>
      </c>
      <c r="N267" s="5"/>
      <c r="O267" s="5"/>
      <c r="P267" s="16"/>
      <c r="Q267" s="17"/>
      <c r="R267" s="17"/>
      <c r="S267" s="17"/>
      <c r="T267" s="17"/>
      <c r="U267" s="21" t="str">
        <f aca="false">IF(N267="","",N(R267)+N(S267)+N(T267))</f>
        <v/>
      </c>
      <c r="V267" s="27" t="str">
        <f aca="false">IF(N267="","",UPPER(TRIM(N267))&amp;"|"&amp;UPPER(TRIM(O267)))</f>
        <v/>
      </c>
      <c r="W267" s="7" t="str">
        <f aca="false">IF(N267="","",IF(COUNTIF($K$10:$K$309,V267)=0,"In 2B, not in books — check &amp; book",IF(ABS(U267-SUMIF($K$10:$K$309,V267,$J$10:$J$309))&lt;=1,"Matched","Tax amount differs")))</f>
        <v/>
      </c>
    </row>
    <row r="268" customFormat="false" ht="15" hidden="false" customHeight="false" outlineLevel="0" collapsed="false">
      <c r="B268" s="5"/>
      <c r="C268" s="5"/>
      <c r="D268" s="5"/>
      <c r="E268" s="16"/>
      <c r="F268" s="17"/>
      <c r="G268" s="17"/>
      <c r="H268" s="17"/>
      <c r="I268" s="17"/>
      <c r="J268" s="21" t="str">
        <f aca="false">IF(B268="","",N(G268)+N(H268)+N(I268))</f>
        <v/>
      </c>
      <c r="K268" s="27" t="str">
        <f aca="false">IF(B268="","",UPPER(TRIM(B268))&amp;"|"&amp;UPPER(TRIM(D268)))</f>
        <v/>
      </c>
      <c r="L268" s="7" t="str">
        <f aca="false">IF(B268="","",IF(COUNTIF($V$10:$V$309,K268)=0,"Not in 2B — ITC at risk",IF(ABS(J268-SUMIF($V$10:$V$309,K268,$U$10:$U$309))&lt;=1,"Matched","Tax amount differs")))</f>
        <v/>
      </c>
      <c r="N268" s="5"/>
      <c r="O268" s="5"/>
      <c r="P268" s="16"/>
      <c r="Q268" s="17"/>
      <c r="R268" s="17"/>
      <c r="S268" s="17"/>
      <c r="T268" s="17"/>
      <c r="U268" s="21" t="str">
        <f aca="false">IF(N268="","",N(R268)+N(S268)+N(T268))</f>
        <v/>
      </c>
      <c r="V268" s="27" t="str">
        <f aca="false">IF(N268="","",UPPER(TRIM(N268))&amp;"|"&amp;UPPER(TRIM(O268)))</f>
        <v/>
      </c>
      <c r="W268" s="7" t="str">
        <f aca="false">IF(N268="","",IF(COUNTIF($K$10:$K$309,V268)=0,"In 2B, not in books — check &amp; book",IF(ABS(U268-SUMIF($K$10:$K$309,V268,$J$10:$J$309))&lt;=1,"Matched","Tax amount differs")))</f>
        <v/>
      </c>
    </row>
    <row r="269" customFormat="false" ht="15" hidden="false" customHeight="false" outlineLevel="0" collapsed="false">
      <c r="B269" s="5"/>
      <c r="C269" s="5"/>
      <c r="D269" s="5"/>
      <c r="E269" s="16"/>
      <c r="F269" s="17"/>
      <c r="G269" s="17"/>
      <c r="H269" s="17"/>
      <c r="I269" s="17"/>
      <c r="J269" s="21" t="str">
        <f aca="false">IF(B269="","",N(G269)+N(H269)+N(I269))</f>
        <v/>
      </c>
      <c r="K269" s="27" t="str">
        <f aca="false">IF(B269="","",UPPER(TRIM(B269))&amp;"|"&amp;UPPER(TRIM(D269)))</f>
        <v/>
      </c>
      <c r="L269" s="7" t="str">
        <f aca="false">IF(B269="","",IF(COUNTIF($V$10:$V$309,K269)=0,"Not in 2B — ITC at risk",IF(ABS(J269-SUMIF($V$10:$V$309,K269,$U$10:$U$309))&lt;=1,"Matched","Tax amount differs")))</f>
        <v/>
      </c>
      <c r="N269" s="5"/>
      <c r="O269" s="5"/>
      <c r="P269" s="16"/>
      <c r="Q269" s="17"/>
      <c r="R269" s="17"/>
      <c r="S269" s="17"/>
      <c r="T269" s="17"/>
      <c r="U269" s="21" t="str">
        <f aca="false">IF(N269="","",N(R269)+N(S269)+N(T269))</f>
        <v/>
      </c>
      <c r="V269" s="27" t="str">
        <f aca="false">IF(N269="","",UPPER(TRIM(N269))&amp;"|"&amp;UPPER(TRIM(O269)))</f>
        <v/>
      </c>
      <c r="W269" s="7" t="str">
        <f aca="false">IF(N269="","",IF(COUNTIF($K$10:$K$309,V269)=0,"In 2B, not in books — check &amp; book",IF(ABS(U269-SUMIF($K$10:$K$309,V269,$J$10:$J$309))&lt;=1,"Matched","Tax amount differs")))</f>
        <v/>
      </c>
    </row>
    <row r="270" customFormat="false" ht="15" hidden="false" customHeight="false" outlineLevel="0" collapsed="false">
      <c r="B270" s="5"/>
      <c r="C270" s="5"/>
      <c r="D270" s="5"/>
      <c r="E270" s="16"/>
      <c r="F270" s="17"/>
      <c r="G270" s="17"/>
      <c r="H270" s="17"/>
      <c r="I270" s="17"/>
      <c r="J270" s="21" t="str">
        <f aca="false">IF(B270="","",N(G270)+N(H270)+N(I270))</f>
        <v/>
      </c>
      <c r="K270" s="27" t="str">
        <f aca="false">IF(B270="","",UPPER(TRIM(B270))&amp;"|"&amp;UPPER(TRIM(D270)))</f>
        <v/>
      </c>
      <c r="L270" s="7" t="str">
        <f aca="false">IF(B270="","",IF(COUNTIF($V$10:$V$309,K270)=0,"Not in 2B — ITC at risk",IF(ABS(J270-SUMIF($V$10:$V$309,K270,$U$10:$U$309))&lt;=1,"Matched","Tax amount differs")))</f>
        <v/>
      </c>
      <c r="N270" s="5"/>
      <c r="O270" s="5"/>
      <c r="P270" s="16"/>
      <c r="Q270" s="17"/>
      <c r="R270" s="17"/>
      <c r="S270" s="17"/>
      <c r="T270" s="17"/>
      <c r="U270" s="21" t="str">
        <f aca="false">IF(N270="","",N(R270)+N(S270)+N(T270))</f>
        <v/>
      </c>
      <c r="V270" s="27" t="str">
        <f aca="false">IF(N270="","",UPPER(TRIM(N270))&amp;"|"&amp;UPPER(TRIM(O270)))</f>
        <v/>
      </c>
      <c r="W270" s="7" t="str">
        <f aca="false">IF(N270="","",IF(COUNTIF($K$10:$K$309,V270)=0,"In 2B, not in books — check &amp; book",IF(ABS(U270-SUMIF($K$10:$K$309,V270,$J$10:$J$309))&lt;=1,"Matched","Tax amount differs")))</f>
        <v/>
      </c>
    </row>
    <row r="271" customFormat="false" ht="15" hidden="false" customHeight="false" outlineLevel="0" collapsed="false">
      <c r="B271" s="5"/>
      <c r="C271" s="5"/>
      <c r="D271" s="5"/>
      <c r="E271" s="16"/>
      <c r="F271" s="17"/>
      <c r="G271" s="17"/>
      <c r="H271" s="17"/>
      <c r="I271" s="17"/>
      <c r="J271" s="21" t="str">
        <f aca="false">IF(B271="","",N(G271)+N(H271)+N(I271))</f>
        <v/>
      </c>
      <c r="K271" s="27" t="str">
        <f aca="false">IF(B271="","",UPPER(TRIM(B271))&amp;"|"&amp;UPPER(TRIM(D271)))</f>
        <v/>
      </c>
      <c r="L271" s="7" t="str">
        <f aca="false">IF(B271="","",IF(COUNTIF($V$10:$V$309,K271)=0,"Not in 2B — ITC at risk",IF(ABS(J271-SUMIF($V$10:$V$309,K271,$U$10:$U$309))&lt;=1,"Matched","Tax amount differs")))</f>
        <v/>
      </c>
      <c r="N271" s="5"/>
      <c r="O271" s="5"/>
      <c r="P271" s="16"/>
      <c r="Q271" s="17"/>
      <c r="R271" s="17"/>
      <c r="S271" s="17"/>
      <c r="T271" s="17"/>
      <c r="U271" s="21" t="str">
        <f aca="false">IF(N271="","",N(R271)+N(S271)+N(T271))</f>
        <v/>
      </c>
      <c r="V271" s="27" t="str">
        <f aca="false">IF(N271="","",UPPER(TRIM(N271))&amp;"|"&amp;UPPER(TRIM(O271)))</f>
        <v/>
      </c>
      <c r="W271" s="7" t="str">
        <f aca="false">IF(N271="","",IF(COUNTIF($K$10:$K$309,V271)=0,"In 2B, not in books — check &amp; book",IF(ABS(U271-SUMIF($K$10:$K$309,V271,$J$10:$J$309))&lt;=1,"Matched","Tax amount differs")))</f>
        <v/>
      </c>
    </row>
    <row r="272" customFormat="false" ht="15" hidden="false" customHeight="false" outlineLevel="0" collapsed="false">
      <c r="B272" s="5"/>
      <c r="C272" s="5"/>
      <c r="D272" s="5"/>
      <c r="E272" s="16"/>
      <c r="F272" s="17"/>
      <c r="G272" s="17"/>
      <c r="H272" s="17"/>
      <c r="I272" s="17"/>
      <c r="J272" s="21" t="str">
        <f aca="false">IF(B272="","",N(G272)+N(H272)+N(I272))</f>
        <v/>
      </c>
      <c r="K272" s="27" t="str">
        <f aca="false">IF(B272="","",UPPER(TRIM(B272))&amp;"|"&amp;UPPER(TRIM(D272)))</f>
        <v/>
      </c>
      <c r="L272" s="7" t="str">
        <f aca="false">IF(B272="","",IF(COUNTIF($V$10:$V$309,K272)=0,"Not in 2B — ITC at risk",IF(ABS(J272-SUMIF($V$10:$V$309,K272,$U$10:$U$309))&lt;=1,"Matched","Tax amount differs")))</f>
        <v/>
      </c>
      <c r="N272" s="5"/>
      <c r="O272" s="5"/>
      <c r="P272" s="16"/>
      <c r="Q272" s="17"/>
      <c r="R272" s="17"/>
      <c r="S272" s="17"/>
      <c r="T272" s="17"/>
      <c r="U272" s="21" t="str">
        <f aca="false">IF(N272="","",N(R272)+N(S272)+N(T272))</f>
        <v/>
      </c>
      <c r="V272" s="27" t="str">
        <f aca="false">IF(N272="","",UPPER(TRIM(N272))&amp;"|"&amp;UPPER(TRIM(O272)))</f>
        <v/>
      </c>
      <c r="W272" s="7" t="str">
        <f aca="false">IF(N272="","",IF(COUNTIF($K$10:$K$309,V272)=0,"In 2B, not in books — check &amp; book",IF(ABS(U272-SUMIF($K$10:$K$309,V272,$J$10:$J$309))&lt;=1,"Matched","Tax amount differs")))</f>
        <v/>
      </c>
    </row>
    <row r="273" customFormat="false" ht="15" hidden="false" customHeight="false" outlineLevel="0" collapsed="false">
      <c r="B273" s="5"/>
      <c r="C273" s="5"/>
      <c r="D273" s="5"/>
      <c r="E273" s="16"/>
      <c r="F273" s="17"/>
      <c r="G273" s="17"/>
      <c r="H273" s="17"/>
      <c r="I273" s="17"/>
      <c r="J273" s="21" t="str">
        <f aca="false">IF(B273="","",N(G273)+N(H273)+N(I273))</f>
        <v/>
      </c>
      <c r="K273" s="27" t="str">
        <f aca="false">IF(B273="","",UPPER(TRIM(B273))&amp;"|"&amp;UPPER(TRIM(D273)))</f>
        <v/>
      </c>
      <c r="L273" s="7" t="str">
        <f aca="false">IF(B273="","",IF(COUNTIF($V$10:$V$309,K273)=0,"Not in 2B — ITC at risk",IF(ABS(J273-SUMIF($V$10:$V$309,K273,$U$10:$U$309))&lt;=1,"Matched","Tax amount differs")))</f>
        <v/>
      </c>
      <c r="N273" s="5"/>
      <c r="O273" s="5"/>
      <c r="P273" s="16"/>
      <c r="Q273" s="17"/>
      <c r="R273" s="17"/>
      <c r="S273" s="17"/>
      <c r="T273" s="17"/>
      <c r="U273" s="21" t="str">
        <f aca="false">IF(N273="","",N(R273)+N(S273)+N(T273))</f>
        <v/>
      </c>
      <c r="V273" s="27" t="str">
        <f aca="false">IF(N273="","",UPPER(TRIM(N273))&amp;"|"&amp;UPPER(TRIM(O273)))</f>
        <v/>
      </c>
      <c r="W273" s="7" t="str">
        <f aca="false">IF(N273="","",IF(COUNTIF($K$10:$K$309,V273)=0,"In 2B, not in books — check &amp; book",IF(ABS(U273-SUMIF($K$10:$K$309,V273,$J$10:$J$309))&lt;=1,"Matched","Tax amount differs")))</f>
        <v/>
      </c>
    </row>
    <row r="274" customFormat="false" ht="15" hidden="false" customHeight="false" outlineLevel="0" collapsed="false">
      <c r="B274" s="5"/>
      <c r="C274" s="5"/>
      <c r="D274" s="5"/>
      <c r="E274" s="16"/>
      <c r="F274" s="17"/>
      <c r="G274" s="17"/>
      <c r="H274" s="17"/>
      <c r="I274" s="17"/>
      <c r="J274" s="21" t="str">
        <f aca="false">IF(B274="","",N(G274)+N(H274)+N(I274))</f>
        <v/>
      </c>
      <c r="K274" s="27" t="str">
        <f aca="false">IF(B274="","",UPPER(TRIM(B274))&amp;"|"&amp;UPPER(TRIM(D274)))</f>
        <v/>
      </c>
      <c r="L274" s="7" t="str">
        <f aca="false">IF(B274="","",IF(COUNTIF($V$10:$V$309,K274)=0,"Not in 2B — ITC at risk",IF(ABS(J274-SUMIF($V$10:$V$309,K274,$U$10:$U$309))&lt;=1,"Matched","Tax amount differs")))</f>
        <v/>
      </c>
      <c r="N274" s="5"/>
      <c r="O274" s="5"/>
      <c r="P274" s="16"/>
      <c r="Q274" s="17"/>
      <c r="R274" s="17"/>
      <c r="S274" s="17"/>
      <c r="T274" s="17"/>
      <c r="U274" s="21" t="str">
        <f aca="false">IF(N274="","",N(R274)+N(S274)+N(T274))</f>
        <v/>
      </c>
      <c r="V274" s="27" t="str">
        <f aca="false">IF(N274="","",UPPER(TRIM(N274))&amp;"|"&amp;UPPER(TRIM(O274)))</f>
        <v/>
      </c>
      <c r="W274" s="7" t="str">
        <f aca="false">IF(N274="","",IF(COUNTIF($K$10:$K$309,V274)=0,"In 2B, not in books — check &amp; book",IF(ABS(U274-SUMIF($K$10:$K$309,V274,$J$10:$J$309))&lt;=1,"Matched","Tax amount differs")))</f>
        <v/>
      </c>
    </row>
    <row r="275" customFormat="false" ht="15" hidden="false" customHeight="false" outlineLevel="0" collapsed="false">
      <c r="B275" s="5"/>
      <c r="C275" s="5"/>
      <c r="D275" s="5"/>
      <c r="E275" s="16"/>
      <c r="F275" s="17"/>
      <c r="G275" s="17"/>
      <c r="H275" s="17"/>
      <c r="I275" s="17"/>
      <c r="J275" s="21" t="str">
        <f aca="false">IF(B275="","",N(G275)+N(H275)+N(I275))</f>
        <v/>
      </c>
      <c r="K275" s="27" t="str">
        <f aca="false">IF(B275="","",UPPER(TRIM(B275))&amp;"|"&amp;UPPER(TRIM(D275)))</f>
        <v/>
      </c>
      <c r="L275" s="7" t="str">
        <f aca="false">IF(B275="","",IF(COUNTIF($V$10:$V$309,K275)=0,"Not in 2B — ITC at risk",IF(ABS(J275-SUMIF($V$10:$V$309,K275,$U$10:$U$309))&lt;=1,"Matched","Tax amount differs")))</f>
        <v/>
      </c>
      <c r="N275" s="5"/>
      <c r="O275" s="5"/>
      <c r="P275" s="16"/>
      <c r="Q275" s="17"/>
      <c r="R275" s="17"/>
      <c r="S275" s="17"/>
      <c r="T275" s="17"/>
      <c r="U275" s="21" t="str">
        <f aca="false">IF(N275="","",N(R275)+N(S275)+N(T275))</f>
        <v/>
      </c>
      <c r="V275" s="27" t="str">
        <f aca="false">IF(N275="","",UPPER(TRIM(N275))&amp;"|"&amp;UPPER(TRIM(O275)))</f>
        <v/>
      </c>
      <c r="W275" s="7" t="str">
        <f aca="false">IF(N275="","",IF(COUNTIF($K$10:$K$309,V275)=0,"In 2B, not in books — check &amp; book",IF(ABS(U275-SUMIF($K$10:$K$309,V275,$J$10:$J$309))&lt;=1,"Matched","Tax amount differs")))</f>
        <v/>
      </c>
    </row>
    <row r="276" customFormat="false" ht="15" hidden="false" customHeight="false" outlineLevel="0" collapsed="false">
      <c r="B276" s="5"/>
      <c r="C276" s="5"/>
      <c r="D276" s="5"/>
      <c r="E276" s="16"/>
      <c r="F276" s="17"/>
      <c r="G276" s="17"/>
      <c r="H276" s="17"/>
      <c r="I276" s="17"/>
      <c r="J276" s="21" t="str">
        <f aca="false">IF(B276="","",N(G276)+N(H276)+N(I276))</f>
        <v/>
      </c>
      <c r="K276" s="27" t="str">
        <f aca="false">IF(B276="","",UPPER(TRIM(B276))&amp;"|"&amp;UPPER(TRIM(D276)))</f>
        <v/>
      </c>
      <c r="L276" s="7" t="str">
        <f aca="false">IF(B276="","",IF(COUNTIF($V$10:$V$309,K276)=0,"Not in 2B — ITC at risk",IF(ABS(J276-SUMIF($V$10:$V$309,K276,$U$10:$U$309))&lt;=1,"Matched","Tax amount differs")))</f>
        <v/>
      </c>
      <c r="N276" s="5"/>
      <c r="O276" s="5"/>
      <c r="P276" s="16"/>
      <c r="Q276" s="17"/>
      <c r="R276" s="17"/>
      <c r="S276" s="17"/>
      <c r="T276" s="17"/>
      <c r="U276" s="21" t="str">
        <f aca="false">IF(N276="","",N(R276)+N(S276)+N(T276))</f>
        <v/>
      </c>
      <c r="V276" s="27" t="str">
        <f aca="false">IF(N276="","",UPPER(TRIM(N276))&amp;"|"&amp;UPPER(TRIM(O276)))</f>
        <v/>
      </c>
      <c r="W276" s="7" t="str">
        <f aca="false">IF(N276="","",IF(COUNTIF($K$10:$K$309,V276)=0,"In 2B, not in books — check &amp; book",IF(ABS(U276-SUMIF($K$10:$K$309,V276,$J$10:$J$309))&lt;=1,"Matched","Tax amount differs")))</f>
        <v/>
      </c>
    </row>
    <row r="277" customFormat="false" ht="15" hidden="false" customHeight="false" outlineLevel="0" collapsed="false">
      <c r="B277" s="5"/>
      <c r="C277" s="5"/>
      <c r="D277" s="5"/>
      <c r="E277" s="16"/>
      <c r="F277" s="17"/>
      <c r="G277" s="17"/>
      <c r="H277" s="17"/>
      <c r="I277" s="17"/>
      <c r="J277" s="21" t="str">
        <f aca="false">IF(B277="","",N(G277)+N(H277)+N(I277))</f>
        <v/>
      </c>
      <c r="K277" s="27" t="str">
        <f aca="false">IF(B277="","",UPPER(TRIM(B277))&amp;"|"&amp;UPPER(TRIM(D277)))</f>
        <v/>
      </c>
      <c r="L277" s="7" t="str">
        <f aca="false">IF(B277="","",IF(COUNTIF($V$10:$V$309,K277)=0,"Not in 2B — ITC at risk",IF(ABS(J277-SUMIF($V$10:$V$309,K277,$U$10:$U$309))&lt;=1,"Matched","Tax amount differs")))</f>
        <v/>
      </c>
      <c r="N277" s="5"/>
      <c r="O277" s="5"/>
      <c r="P277" s="16"/>
      <c r="Q277" s="17"/>
      <c r="R277" s="17"/>
      <c r="S277" s="17"/>
      <c r="T277" s="17"/>
      <c r="U277" s="21" t="str">
        <f aca="false">IF(N277="","",N(R277)+N(S277)+N(T277))</f>
        <v/>
      </c>
      <c r="V277" s="27" t="str">
        <f aca="false">IF(N277="","",UPPER(TRIM(N277))&amp;"|"&amp;UPPER(TRIM(O277)))</f>
        <v/>
      </c>
      <c r="W277" s="7" t="str">
        <f aca="false">IF(N277="","",IF(COUNTIF($K$10:$K$309,V277)=0,"In 2B, not in books — check &amp; book",IF(ABS(U277-SUMIF($K$10:$K$309,V277,$J$10:$J$309))&lt;=1,"Matched","Tax amount differs")))</f>
        <v/>
      </c>
    </row>
    <row r="278" customFormat="false" ht="15" hidden="false" customHeight="false" outlineLevel="0" collapsed="false">
      <c r="B278" s="5"/>
      <c r="C278" s="5"/>
      <c r="D278" s="5"/>
      <c r="E278" s="16"/>
      <c r="F278" s="17"/>
      <c r="G278" s="17"/>
      <c r="H278" s="17"/>
      <c r="I278" s="17"/>
      <c r="J278" s="21" t="str">
        <f aca="false">IF(B278="","",N(G278)+N(H278)+N(I278))</f>
        <v/>
      </c>
      <c r="K278" s="27" t="str">
        <f aca="false">IF(B278="","",UPPER(TRIM(B278))&amp;"|"&amp;UPPER(TRIM(D278)))</f>
        <v/>
      </c>
      <c r="L278" s="7" t="str">
        <f aca="false">IF(B278="","",IF(COUNTIF($V$10:$V$309,K278)=0,"Not in 2B — ITC at risk",IF(ABS(J278-SUMIF($V$10:$V$309,K278,$U$10:$U$309))&lt;=1,"Matched","Tax amount differs")))</f>
        <v/>
      </c>
      <c r="N278" s="5"/>
      <c r="O278" s="5"/>
      <c r="P278" s="16"/>
      <c r="Q278" s="17"/>
      <c r="R278" s="17"/>
      <c r="S278" s="17"/>
      <c r="T278" s="17"/>
      <c r="U278" s="21" t="str">
        <f aca="false">IF(N278="","",N(R278)+N(S278)+N(T278))</f>
        <v/>
      </c>
      <c r="V278" s="27" t="str">
        <f aca="false">IF(N278="","",UPPER(TRIM(N278))&amp;"|"&amp;UPPER(TRIM(O278)))</f>
        <v/>
      </c>
      <c r="W278" s="7" t="str">
        <f aca="false">IF(N278="","",IF(COUNTIF($K$10:$K$309,V278)=0,"In 2B, not in books — check &amp; book",IF(ABS(U278-SUMIF($K$10:$K$309,V278,$J$10:$J$309))&lt;=1,"Matched","Tax amount differs")))</f>
        <v/>
      </c>
    </row>
    <row r="279" customFormat="false" ht="15" hidden="false" customHeight="false" outlineLevel="0" collapsed="false">
      <c r="B279" s="5"/>
      <c r="C279" s="5"/>
      <c r="D279" s="5"/>
      <c r="E279" s="16"/>
      <c r="F279" s="17"/>
      <c r="G279" s="17"/>
      <c r="H279" s="17"/>
      <c r="I279" s="17"/>
      <c r="J279" s="21" t="str">
        <f aca="false">IF(B279="","",N(G279)+N(H279)+N(I279))</f>
        <v/>
      </c>
      <c r="K279" s="27" t="str">
        <f aca="false">IF(B279="","",UPPER(TRIM(B279))&amp;"|"&amp;UPPER(TRIM(D279)))</f>
        <v/>
      </c>
      <c r="L279" s="7" t="str">
        <f aca="false">IF(B279="","",IF(COUNTIF($V$10:$V$309,K279)=0,"Not in 2B — ITC at risk",IF(ABS(J279-SUMIF($V$10:$V$309,K279,$U$10:$U$309))&lt;=1,"Matched","Tax amount differs")))</f>
        <v/>
      </c>
      <c r="N279" s="5"/>
      <c r="O279" s="5"/>
      <c r="P279" s="16"/>
      <c r="Q279" s="17"/>
      <c r="R279" s="17"/>
      <c r="S279" s="17"/>
      <c r="T279" s="17"/>
      <c r="U279" s="21" t="str">
        <f aca="false">IF(N279="","",N(R279)+N(S279)+N(T279))</f>
        <v/>
      </c>
      <c r="V279" s="27" t="str">
        <f aca="false">IF(N279="","",UPPER(TRIM(N279))&amp;"|"&amp;UPPER(TRIM(O279)))</f>
        <v/>
      </c>
      <c r="W279" s="7" t="str">
        <f aca="false">IF(N279="","",IF(COUNTIF($K$10:$K$309,V279)=0,"In 2B, not in books — check &amp; book",IF(ABS(U279-SUMIF($K$10:$K$309,V279,$J$10:$J$309))&lt;=1,"Matched","Tax amount differs")))</f>
        <v/>
      </c>
    </row>
    <row r="280" customFormat="false" ht="15" hidden="false" customHeight="false" outlineLevel="0" collapsed="false">
      <c r="B280" s="5"/>
      <c r="C280" s="5"/>
      <c r="D280" s="5"/>
      <c r="E280" s="16"/>
      <c r="F280" s="17"/>
      <c r="G280" s="17"/>
      <c r="H280" s="17"/>
      <c r="I280" s="17"/>
      <c r="J280" s="21" t="str">
        <f aca="false">IF(B280="","",N(G280)+N(H280)+N(I280))</f>
        <v/>
      </c>
      <c r="K280" s="27" t="str">
        <f aca="false">IF(B280="","",UPPER(TRIM(B280))&amp;"|"&amp;UPPER(TRIM(D280)))</f>
        <v/>
      </c>
      <c r="L280" s="7" t="str">
        <f aca="false">IF(B280="","",IF(COUNTIF($V$10:$V$309,K280)=0,"Not in 2B — ITC at risk",IF(ABS(J280-SUMIF($V$10:$V$309,K280,$U$10:$U$309))&lt;=1,"Matched","Tax amount differs")))</f>
        <v/>
      </c>
      <c r="N280" s="5"/>
      <c r="O280" s="5"/>
      <c r="P280" s="16"/>
      <c r="Q280" s="17"/>
      <c r="R280" s="17"/>
      <c r="S280" s="17"/>
      <c r="T280" s="17"/>
      <c r="U280" s="21" t="str">
        <f aca="false">IF(N280="","",N(R280)+N(S280)+N(T280))</f>
        <v/>
      </c>
      <c r="V280" s="27" t="str">
        <f aca="false">IF(N280="","",UPPER(TRIM(N280))&amp;"|"&amp;UPPER(TRIM(O280)))</f>
        <v/>
      </c>
      <c r="W280" s="7" t="str">
        <f aca="false">IF(N280="","",IF(COUNTIF($K$10:$K$309,V280)=0,"In 2B, not in books — check &amp; book",IF(ABS(U280-SUMIF($K$10:$K$309,V280,$J$10:$J$309))&lt;=1,"Matched","Tax amount differs")))</f>
        <v/>
      </c>
    </row>
    <row r="281" customFormat="false" ht="15" hidden="false" customHeight="false" outlineLevel="0" collapsed="false">
      <c r="B281" s="5"/>
      <c r="C281" s="5"/>
      <c r="D281" s="5"/>
      <c r="E281" s="16"/>
      <c r="F281" s="17"/>
      <c r="G281" s="17"/>
      <c r="H281" s="17"/>
      <c r="I281" s="17"/>
      <c r="J281" s="21" t="str">
        <f aca="false">IF(B281="","",N(G281)+N(H281)+N(I281))</f>
        <v/>
      </c>
      <c r="K281" s="27" t="str">
        <f aca="false">IF(B281="","",UPPER(TRIM(B281))&amp;"|"&amp;UPPER(TRIM(D281)))</f>
        <v/>
      </c>
      <c r="L281" s="7" t="str">
        <f aca="false">IF(B281="","",IF(COUNTIF($V$10:$V$309,K281)=0,"Not in 2B — ITC at risk",IF(ABS(J281-SUMIF($V$10:$V$309,K281,$U$10:$U$309))&lt;=1,"Matched","Tax amount differs")))</f>
        <v/>
      </c>
      <c r="N281" s="5"/>
      <c r="O281" s="5"/>
      <c r="P281" s="16"/>
      <c r="Q281" s="17"/>
      <c r="R281" s="17"/>
      <c r="S281" s="17"/>
      <c r="T281" s="17"/>
      <c r="U281" s="21" t="str">
        <f aca="false">IF(N281="","",N(R281)+N(S281)+N(T281))</f>
        <v/>
      </c>
      <c r="V281" s="27" t="str">
        <f aca="false">IF(N281="","",UPPER(TRIM(N281))&amp;"|"&amp;UPPER(TRIM(O281)))</f>
        <v/>
      </c>
      <c r="W281" s="7" t="str">
        <f aca="false">IF(N281="","",IF(COUNTIF($K$10:$K$309,V281)=0,"In 2B, not in books — check &amp; book",IF(ABS(U281-SUMIF($K$10:$K$309,V281,$J$10:$J$309))&lt;=1,"Matched","Tax amount differs")))</f>
        <v/>
      </c>
    </row>
    <row r="282" customFormat="false" ht="15" hidden="false" customHeight="false" outlineLevel="0" collapsed="false">
      <c r="B282" s="5"/>
      <c r="C282" s="5"/>
      <c r="D282" s="5"/>
      <c r="E282" s="16"/>
      <c r="F282" s="17"/>
      <c r="G282" s="17"/>
      <c r="H282" s="17"/>
      <c r="I282" s="17"/>
      <c r="J282" s="21" t="str">
        <f aca="false">IF(B282="","",N(G282)+N(H282)+N(I282))</f>
        <v/>
      </c>
      <c r="K282" s="27" t="str">
        <f aca="false">IF(B282="","",UPPER(TRIM(B282))&amp;"|"&amp;UPPER(TRIM(D282)))</f>
        <v/>
      </c>
      <c r="L282" s="7" t="str">
        <f aca="false">IF(B282="","",IF(COUNTIF($V$10:$V$309,K282)=0,"Not in 2B — ITC at risk",IF(ABS(J282-SUMIF($V$10:$V$309,K282,$U$10:$U$309))&lt;=1,"Matched","Tax amount differs")))</f>
        <v/>
      </c>
      <c r="N282" s="5"/>
      <c r="O282" s="5"/>
      <c r="P282" s="16"/>
      <c r="Q282" s="17"/>
      <c r="R282" s="17"/>
      <c r="S282" s="17"/>
      <c r="T282" s="17"/>
      <c r="U282" s="21" t="str">
        <f aca="false">IF(N282="","",N(R282)+N(S282)+N(T282))</f>
        <v/>
      </c>
      <c r="V282" s="27" t="str">
        <f aca="false">IF(N282="","",UPPER(TRIM(N282))&amp;"|"&amp;UPPER(TRIM(O282)))</f>
        <v/>
      </c>
      <c r="W282" s="7" t="str">
        <f aca="false">IF(N282="","",IF(COUNTIF($K$10:$K$309,V282)=0,"In 2B, not in books — check &amp; book",IF(ABS(U282-SUMIF($K$10:$K$309,V282,$J$10:$J$309))&lt;=1,"Matched","Tax amount differs")))</f>
        <v/>
      </c>
    </row>
    <row r="283" customFormat="false" ht="15" hidden="false" customHeight="false" outlineLevel="0" collapsed="false">
      <c r="B283" s="5"/>
      <c r="C283" s="5"/>
      <c r="D283" s="5"/>
      <c r="E283" s="16"/>
      <c r="F283" s="17"/>
      <c r="G283" s="17"/>
      <c r="H283" s="17"/>
      <c r="I283" s="17"/>
      <c r="J283" s="21" t="str">
        <f aca="false">IF(B283="","",N(G283)+N(H283)+N(I283))</f>
        <v/>
      </c>
      <c r="K283" s="27" t="str">
        <f aca="false">IF(B283="","",UPPER(TRIM(B283))&amp;"|"&amp;UPPER(TRIM(D283)))</f>
        <v/>
      </c>
      <c r="L283" s="7" t="str">
        <f aca="false">IF(B283="","",IF(COUNTIF($V$10:$V$309,K283)=0,"Not in 2B — ITC at risk",IF(ABS(J283-SUMIF($V$10:$V$309,K283,$U$10:$U$309))&lt;=1,"Matched","Tax amount differs")))</f>
        <v/>
      </c>
      <c r="N283" s="5"/>
      <c r="O283" s="5"/>
      <c r="P283" s="16"/>
      <c r="Q283" s="17"/>
      <c r="R283" s="17"/>
      <c r="S283" s="17"/>
      <c r="T283" s="17"/>
      <c r="U283" s="21" t="str">
        <f aca="false">IF(N283="","",N(R283)+N(S283)+N(T283))</f>
        <v/>
      </c>
      <c r="V283" s="27" t="str">
        <f aca="false">IF(N283="","",UPPER(TRIM(N283))&amp;"|"&amp;UPPER(TRIM(O283)))</f>
        <v/>
      </c>
      <c r="W283" s="7" t="str">
        <f aca="false">IF(N283="","",IF(COUNTIF($K$10:$K$309,V283)=0,"In 2B, not in books — check &amp; book",IF(ABS(U283-SUMIF($K$10:$K$309,V283,$J$10:$J$309))&lt;=1,"Matched","Tax amount differs")))</f>
        <v/>
      </c>
    </row>
    <row r="284" customFormat="false" ht="15" hidden="false" customHeight="false" outlineLevel="0" collapsed="false">
      <c r="B284" s="5"/>
      <c r="C284" s="5"/>
      <c r="D284" s="5"/>
      <c r="E284" s="16"/>
      <c r="F284" s="17"/>
      <c r="G284" s="17"/>
      <c r="H284" s="17"/>
      <c r="I284" s="17"/>
      <c r="J284" s="21" t="str">
        <f aca="false">IF(B284="","",N(G284)+N(H284)+N(I284))</f>
        <v/>
      </c>
      <c r="K284" s="27" t="str">
        <f aca="false">IF(B284="","",UPPER(TRIM(B284))&amp;"|"&amp;UPPER(TRIM(D284)))</f>
        <v/>
      </c>
      <c r="L284" s="7" t="str">
        <f aca="false">IF(B284="","",IF(COUNTIF($V$10:$V$309,K284)=0,"Not in 2B — ITC at risk",IF(ABS(J284-SUMIF($V$10:$V$309,K284,$U$10:$U$309))&lt;=1,"Matched","Tax amount differs")))</f>
        <v/>
      </c>
      <c r="N284" s="5"/>
      <c r="O284" s="5"/>
      <c r="P284" s="16"/>
      <c r="Q284" s="17"/>
      <c r="R284" s="17"/>
      <c r="S284" s="17"/>
      <c r="T284" s="17"/>
      <c r="U284" s="21" t="str">
        <f aca="false">IF(N284="","",N(R284)+N(S284)+N(T284))</f>
        <v/>
      </c>
      <c r="V284" s="27" t="str">
        <f aca="false">IF(N284="","",UPPER(TRIM(N284))&amp;"|"&amp;UPPER(TRIM(O284)))</f>
        <v/>
      </c>
      <c r="W284" s="7" t="str">
        <f aca="false">IF(N284="","",IF(COUNTIF($K$10:$K$309,V284)=0,"In 2B, not in books — check &amp; book",IF(ABS(U284-SUMIF($K$10:$K$309,V284,$J$10:$J$309))&lt;=1,"Matched","Tax amount differs")))</f>
        <v/>
      </c>
    </row>
    <row r="285" customFormat="false" ht="15" hidden="false" customHeight="false" outlineLevel="0" collapsed="false">
      <c r="B285" s="5"/>
      <c r="C285" s="5"/>
      <c r="D285" s="5"/>
      <c r="E285" s="16"/>
      <c r="F285" s="17"/>
      <c r="G285" s="17"/>
      <c r="H285" s="17"/>
      <c r="I285" s="17"/>
      <c r="J285" s="21" t="str">
        <f aca="false">IF(B285="","",N(G285)+N(H285)+N(I285))</f>
        <v/>
      </c>
      <c r="K285" s="27" t="str">
        <f aca="false">IF(B285="","",UPPER(TRIM(B285))&amp;"|"&amp;UPPER(TRIM(D285)))</f>
        <v/>
      </c>
      <c r="L285" s="7" t="str">
        <f aca="false">IF(B285="","",IF(COUNTIF($V$10:$V$309,K285)=0,"Not in 2B — ITC at risk",IF(ABS(J285-SUMIF($V$10:$V$309,K285,$U$10:$U$309))&lt;=1,"Matched","Tax amount differs")))</f>
        <v/>
      </c>
      <c r="N285" s="5"/>
      <c r="O285" s="5"/>
      <c r="P285" s="16"/>
      <c r="Q285" s="17"/>
      <c r="R285" s="17"/>
      <c r="S285" s="17"/>
      <c r="T285" s="17"/>
      <c r="U285" s="21" t="str">
        <f aca="false">IF(N285="","",N(R285)+N(S285)+N(T285))</f>
        <v/>
      </c>
      <c r="V285" s="27" t="str">
        <f aca="false">IF(N285="","",UPPER(TRIM(N285))&amp;"|"&amp;UPPER(TRIM(O285)))</f>
        <v/>
      </c>
      <c r="W285" s="7" t="str">
        <f aca="false">IF(N285="","",IF(COUNTIF($K$10:$K$309,V285)=0,"In 2B, not in books — check &amp; book",IF(ABS(U285-SUMIF($K$10:$K$309,V285,$J$10:$J$309))&lt;=1,"Matched","Tax amount differs")))</f>
        <v/>
      </c>
    </row>
    <row r="286" customFormat="false" ht="15" hidden="false" customHeight="false" outlineLevel="0" collapsed="false">
      <c r="B286" s="5"/>
      <c r="C286" s="5"/>
      <c r="D286" s="5"/>
      <c r="E286" s="16"/>
      <c r="F286" s="17"/>
      <c r="G286" s="17"/>
      <c r="H286" s="17"/>
      <c r="I286" s="17"/>
      <c r="J286" s="21" t="str">
        <f aca="false">IF(B286="","",N(G286)+N(H286)+N(I286))</f>
        <v/>
      </c>
      <c r="K286" s="27" t="str">
        <f aca="false">IF(B286="","",UPPER(TRIM(B286))&amp;"|"&amp;UPPER(TRIM(D286)))</f>
        <v/>
      </c>
      <c r="L286" s="7" t="str">
        <f aca="false">IF(B286="","",IF(COUNTIF($V$10:$V$309,K286)=0,"Not in 2B — ITC at risk",IF(ABS(J286-SUMIF($V$10:$V$309,K286,$U$10:$U$309))&lt;=1,"Matched","Tax amount differs")))</f>
        <v/>
      </c>
      <c r="N286" s="5"/>
      <c r="O286" s="5"/>
      <c r="P286" s="16"/>
      <c r="Q286" s="17"/>
      <c r="R286" s="17"/>
      <c r="S286" s="17"/>
      <c r="T286" s="17"/>
      <c r="U286" s="21" t="str">
        <f aca="false">IF(N286="","",N(R286)+N(S286)+N(T286))</f>
        <v/>
      </c>
      <c r="V286" s="27" t="str">
        <f aca="false">IF(N286="","",UPPER(TRIM(N286))&amp;"|"&amp;UPPER(TRIM(O286)))</f>
        <v/>
      </c>
      <c r="W286" s="7" t="str">
        <f aca="false">IF(N286="","",IF(COUNTIF($K$10:$K$309,V286)=0,"In 2B, not in books — check &amp; book",IF(ABS(U286-SUMIF($K$10:$K$309,V286,$J$10:$J$309))&lt;=1,"Matched","Tax amount differs")))</f>
        <v/>
      </c>
    </row>
    <row r="287" customFormat="false" ht="15" hidden="false" customHeight="false" outlineLevel="0" collapsed="false">
      <c r="B287" s="5"/>
      <c r="C287" s="5"/>
      <c r="D287" s="5"/>
      <c r="E287" s="16"/>
      <c r="F287" s="17"/>
      <c r="G287" s="17"/>
      <c r="H287" s="17"/>
      <c r="I287" s="17"/>
      <c r="J287" s="21" t="str">
        <f aca="false">IF(B287="","",N(G287)+N(H287)+N(I287))</f>
        <v/>
      </c>
      <c r="K287" s="27" t="str">
        <f aca="false">IF(B287="","",UPPER(TRIM(B287))&amp;"|"&amp;UPPER(TRIM(D287)))</f>
        <v/>
      </c>
      <c r="L287" s="7" t="str">
        <f aca="false">IF(B287="","",IF(COUNTIF($V$10:$V$309,K287)=0,"Not in 2B — ITC at risk",IF(ABS(J287-SUMIF($V$10:$V$309,K287,$U$10:$U$309))&lt;=1,"Matched","Tax amount differs")))</f>
        <v/>
      </c>
      <c r="N287" s="5"/>
      <c r="O287" s="5"/>
      <c r="P287" s="16"/>
      <c r="Q287" s="17"/>
      <c r="R287" s="17"/>
      <c r="S287" s="17"/>
      <c r="T287" s="17"/>
      <c r="U287" s="21" t="str">
        <f aca="false">IF(N287="","",N(R287)+N(S287)+N(T287))</f>
        <v/>
      </c>
      <c r="V287" s="27" t="str">
        <f aca="false">IF(N287="","",UPPER(TRIM(N287))&amp;"|"&amp;UPPER(TRIM(O287)))</f>
        <v/>
      </c>
      <c r="W287" s="7" t="str">
        <f aca="false">IF(N287="","",IF(COUNTIF($K$10:$K$309,V287)=0,"In 2B, not in books — check &amp; book",IF(ABS(U287-SUMIF($K$10:$K$309,V287,$J$10:$J$309))&lt;=1,"Matched","Tax amount differs")))</f>
        <v/>
      </c>
    </row>
    <row r="288" customFormat="false" ht="15" hidden="false" customHeight="false" outlineLevel="0" collapsed="false">
      <c r="B288" s="5"/>
      <c r="C288" s="5"/>
      <c r="D288" s="5"/>
      <c r="E288" s="16"/>
      <c r="F288" s="17"/>
      <c r="G288" s="17"/>
      <c r="H288" s="17"/>
      <c r="I288" s="17"/>
      <c r="J288" s="21" t="str">
        <f aca="false">IF(B288="","",N(G288)+N(H288)+N(I288))</f>
        <v/>
      </c>
      <c r="K288" s="27" t="str">
        <f aca="false">IF(B288="","",UPPER(TRIM(B288))&amp;"|"&amp;UPPER(TRIM(D288)))</f>
        <v/>
      </c>
      <c r="L288" s="7" t="str">
        <f aca="false">IF(B288="","",IF(COUNTIF($V$10:$V$309,K288)=0,"Not in 2B — ITC at risk",IF(ABS(J288-SUMIF($V$10:$V$309,K288,$U$10:$U$309))&lt;=1,"Matched","Tax amount differs")))</f>
        <v/>
      </c>
      <c r="N288" s="5"/>
      <c r="O288" s="5"/>
      <c r="P288" s="16"/>
      <c r="Q288" s="17"/>
      <c r="R288" s="17"/>
      <c r="S288" s="17"/>
      <c r="T288" s="17"/>
      <c r="U288" s="21" t="str">
        <f aca="false">IF(N288="","",N(R288)+N(S288)+N(T288))</f>
        <v/>
      </c>
      <c r="V288" s="27" t="str">
        <f aca="false">IF(N288="","",UPPER(TRIM(N288))&amp;"|"&amp;UPPER(TRIM(O288)))</f>
        <v/>
      </c>
      <c r="W288" s="7" t="str">
        <f aca="false">IF(N288="","",IF(COUNTIF($K$10:$K$309,V288)=0,"In 2B, not in books — check &amp; book",IF(ABS(U288-SUMIF($K$10:$K$309,V288,$J$10:$J$309))&lt;=1,"Matched","Tax amount differs")))</f>
        <v/>
      </c>
    </row>
    <row r="289" customFormat="false" ht="15" hidden="false" customHeight="false" outlineLevel="0" collapsed="false">
      <c r="B289" s="5"/>
      <c r="C289" s="5"/>
      <c r="D289" s="5"/>
      <c r="E289" s="16"/>
      <c r="F289" s="17"/>
      <c r="G289" s="17"/>
      <c r="H289" s="17"/>
      <c r="I289" s="17"/>
      <c r="J289" s="21" t="str">
        <f aca="false">IF(B289="","",N(G289)+N(H289)+N(I289))</f>
        <v/>
      </c>
      <c r="K289" s="27" t="str">
        <f aca="false">IF(B289="","",UPPER(TRIM(B289))&amp;"|"&amp;UPPER(TRIM(D289)))</f>
        <v/>
      </c>
      <c r="L289" s="7" t="str">
        <f aca="false">IF(B289="","",IF(COUNTIF($V$10:$V$309,K289)=0,"Not in 2B — ITC at risk",IF(ABS(J289-SUMIF($V$10:$V$309,K289,$U$10:$U$309))&lt;=1,"Matched","Tax amount differs")))</f>
        <v/>
      </c>
      <c r="N289" s="5"/>
      <c r="O289" s="5"/>
      <c r="P289" s="16"/>
      <c r="Q289" s="17"/>
      <c r="R289" s="17"/>
      <c r="S289" s="17"/>
      <c r="T289" s="17"/>
      <c r="U289" s="21" t="str">
        <f aca="false">IF(N289="","",N(R289)+N(S289)+N(T289))</f>
        <v/>
      </c>
      <c r="V289" s="27" t="str">
        <f aca="false">IF(N289="","",UPPER(TRIM(N289))&amp;"|"&amp;UPPER(TRIM(O289)))</f>
        <v/>
      </c>
      <c r="W289" s="7" t="str">
        <f aca="false">IF(N289="","",IF(COUNTIF($K$10:$K$309,V289)=0,"In 2B, not in books — check &amp; book",IF(ABS(U289-SUMIF($K$10:$K$309,V289,$J$10:$J$309))&lt;=1,"Matched","Tax amount differs")))</f>
        <v/>
      </c>
    </row>
    <row r="290" customFormat="false" ht="15" hidden="false" customHeight="false" outlineLevel="0" collapsed="false">
      <c r="B290" s="5"/>
      <c r="C290" s="5"/>
      <c r="D290" s="5"/>
      <c r="E290" s="16"/>
      <c r="F290" s="17"/>
      <c r="G290" s="17"/>
      <c r="H290" s="17"/>
      <c r="I290" s="17"/>
      <c r="J290" s="21" t="str">
        <f aca="false">IF(B290="","",N(G290)+N(H290)+N(I290))</f>
        <v/>
      </c>
      <c r="K290" s="27" t="str">
        <f aca="false">IF(B290="","",UPPER(TRIM(B290))&amp;"|"&amp;UPPER(TRIM(D290)))</f>
        <v/>
      </c>
      <c r="L290" s="7" t="str">
        <f aca="false">IF(B290="","",IF(COUNTIF($V$10:$V$309,K290)=0,"Not in 2B — ITC at risk",IF(ABS(J290-SUMIF($V$10:$V$309,K290,$U$10:$U$309))&lt;=1,"Matched","Tax amount differs")))</f>
        <v/>
      </c>
      <c r="N290" s="5"/>
      <c r="O290" s="5"/>
      <c r="P290" s="16"/>
      <c r="Q290" s="17"/>
      <c r="R290" s="17"/>
      <c r="S290" s="17"/>
      <c r="T290" s="17"/>
      <c r="U290" s="21" t="str">
        <f aca="false">IF(N290="","",N(R290)+N(S290)+N(T290))</f>
        <v/>
      </c>
      <c r="V290" s="27" t="str">
        <f aca="false">IF(N290="","",UPPER(TRIM(N290))&amp;"|"&amp;UPPER(TRIM(O290)))</f>
        <v/>
      </c>
      <c r="W290" s="7" t="str">
        <f aca="false">IF(N290="","",IF(COUNTIF($K$10:$K$309,V290)=0,"In 2B, not in books — check &amp; book",IF(ABS(U290-SUMIF($K$10:$K$309,V290,$J$10:$J$309))&lt;=1,"Matched","Tax amount differs")))</f>
        <v/>
      </c>
    </row>
    <row r="291" customFormat="false" ht="15" hidden="false" customHeight="false" outlineLevel="0" collapsed="false">
      <c r="B291" s="5"/>
      <c r="C291" s="5"/>
      <c r="D291" s="5"/>
      <c r="E291" s="16"/>
      <c r="F291" s="17"/>
      <c r="G291" s="17"/>
      <c r="H291" s="17"/>
      <c r="I291" s="17"/>
      <c r="J291" s="21" t="str">
        <f aca="false">IF(B291="","",N(G291)+N(H291)+N(I291))</f>
        <v/>
      </c>
      <c r="K291" s="27" t="str">
        <f aca="false">IF(B291="","",UPPER(TRIM(B291))&amp;"|"&amp;UPPER(TRIM(D291)))</f>
        <v/>
      </c>
      <c r="L291" s="7" t="str">
        <f aca="false">IF(B291="","",IF(COUNTIF($V$10:$V$309,K291)=0,"Not in 2B — ITC at risk",IF(ABS(J291-SUMIF($V$10:$V$309,K291,$U$10:$U$309))&lt;=1,"Matched","Tax amount differs")))</f>
        <v/>
      </c>
      <c r="N291" s="5"/>
      <c r="O291" s="5"/>
      <c r="P291" s="16"/>
      <c r="Q291" s="17"/>
      <c r="R291" s="17"/>
      <c r="S291" s="17"/>
      <c r="T291" s="17"/>
      <c r="U291" s="21" t="str">
        <f aca="false">IF(N291="","",N(R291)+N(S291)+N(T291))</f>
        <v/>
      </c>
      <c r="V291" s="27" t="str">
        <f aca="false">IF(N291="","",UPPER(TRIM(N291))&amp;"|"&amp;UPPER(TRIM(O291)))</f>
        <v/>
      </c>
      <c r="W291" s="7" t="str">
        <f aca="false">IF(N291="","",IF(COUNTIF($K$10:$K$309,V291)=0,"In 2B, not in books — check &amp; book",IF(ABS(U291-SUMIF($K$10:$K$309,V291,$J$10:$J$309))&lt;=1,"Matched","Tax amount differs")))</f>
        <v/>
      </c>
    </row>
    <row r="292" customFormat="false" ht="15" hidden="false" customHeight="false" outlineLevel="0" collapsed="false">
      <c r="B292" s="5"/>
      <c r="C292" s="5"/>
      <c r="D292" s="5"/>
      <c r="E292" s="16"/>
      <c r="F292" s="17"/>
      <c r="G292" s="17"/>
      <c r="H292" s="17"/>
      <c r="I292" s="17"/>
      <c r="J292" s="21" t="str">
        <f aca="false">IF(B292="","",N(G292)+N(H292)+N(I292))</f>
        <v/>
      </c>
      <c r="K292" s="27" t="str">
        <f aca="false">IF(B292="","",UPPER(TRIM(B292))&amp;"|"&amp;UPPER(TRIM(D292)))</f>
        <v/>
      </c>
      <c r="L292" s="7" t="str">
        <f aca="false">IF(B292="","",IF(COUNTIF($V$10:$V$309,K292)=0,"Not in 2B — ITC at risk",IF(ABS(J292-SUMIF($V$10:$V$309,K292,$U$10:$U$309))&lt;=1,"Matched","Tax amount differs")))</f>
        <v/>
      </c>
      <c r="N292" s="5"/>
      <c r="O292" s="5"/>
      <c r="P292" s="16"/>
      <c r="Q292" s="17"/>
      <c r="R292" s="17"/>
      <c r="S292" s="17"/>
      <c r="T292" s="17"/>
      <c r="U292" s="21" t="str">
        <f aca="false">IF(N292="","",N(R292)+N(S292)+N(T292))</f>
        <v/>
      </c>
      <c r="V292" s="27" t="str">
        <f aca="false">IF(N292="","",UPPER(TRIM(N292))&amp;"|"&amp;UPPER(TRIM(O292)))</f>
        <v/>
      </c>
      <c r="W292" s="7" t="str">
        <f aca="false">IF(N292="","",IF(COUNTIF($K$10:$K$309,V292)=0,"In 2B, not in books — check &amp; book",IF(ABS(U292-SUMIF($K$10:$K$309,V292,$J$10:$J$309))&lt;=1,"Matched","Tax amount differs")))</f>
        <v/>
      </c>
    </row>
    <row r="293" customFormat="false" ht="15" hidden="false" customHeight="false" outlineLevel="0" collapsed="false">
      <c r="B293" s="5"/>
      <c r="C293" s="5"/>
      <c r="D293" s="5"/>
      <c r="E293" s="16"/>
      <c r="F293" s="17"/>
      <c r="G293" s="17"/>
      <c r="H293" s="17"/>
      <c r="I293" s="17"/>
      <c r="J293" s="21" t="str">
        <f aca="false">IF(B293="","",N(G293)+N(H293)+N(I293))</f>
        <v/>
      </c>
      <c r="K293" s="27" t="str">
        <f aca="false">IF(B293="","",UPPER(TRIM(B293))&amp;"|"&amp;UPPER(TRIM(D293)))</f>
        <v/>
      </c>
      <c r="L293" s="7" t="str">
        <f aca="false">IF(B293="","",IF(COUNTIF($V$10:$V$309,K293)=0,"Not in 2B — ITC at risk",IF(ABS(J293-SUMIF($V$10:$V$309,K293,$U$10:$U$309))&lt;=1,"Matched","Tax amount differs")))</f>
        <v/>
      </c>
      <c r="N293" s="5"/>
      <c r="O293" s="5"/>
      <c r="P293" s="16"/>
      <c r="Q293" s="17"/>
      <c r="R293" s="17"/>
      <c r="S293" s="17"/>
      <c r="T293" s="17"/>
      <c r="U293" s="21" t="str">
        <f aca="false">IF(N293="","",N(R293)+N(S293)+N(T293))</f>
        <v/>
      </c>
      <c r="V293" s="27" t="str">
        <f aca="false">IF(N293="","",UPPER(TRIM(N293))&amp;"|"&amp;UPPER(TRIM(O293)))</f>
        <v/>
      </c>
      <c r="W293" s="7" t="str">
        <f aca="false">IF(N293="","",IF(COUNTIF($K$10:$K$309,V293)=0,"In 2B, not in books — check &amp; book",IF(ABS(U293-SUMIF($K$10:$K$309,V293,$J$10:$J$309))&lt;=1,"Matched","Tax amount differs")))</f>
        <v/>
      </c>
    </row>
    <row r="294" customFormat="false" ht="15" hidden="false" customHeight="false" outlineLevel="0" collapsed="false">
      <c r="B294" s="5"/>
      <c r="C294" s="5"/>
      <c r="D294" s="5"/>
      <c r="E294" s="16"/>
      <c r="F294" s="17"/>
      <c r="G294" s="17"/>
      <c r="H294" s="17"/>
      <c r="I294" s="17"/>
      <c r="J294" s="21" t="str">
        <f aca="false">IF(B294="","",N(G294)+N(H294)+N(I294))</f>
        <v/>
      </c>
      <c r="K294" s="27" t="str">
        <f aca="false">IF(B294="","",UPPER(TRIM(B294))&amp;"|"&amp;UPPER(TRIM(D294)))</f>
        <v/>
      </c>
      <c r="L294" s="7" t="str">
        <f aca="false">IF(B294="","",IF(COUNTIF($V$10:$V$309,K294)=0,"Not in 2B — ITC at risk",IF(ABS(J294-SUMIF($V$10:$V$309,K294,$U$10:$U$309))&lt;=1,"Matched","Tax amount differs")))</f>
        <v/>
      </c>
      <c r="N294" s="5"/>
      <c r="O294" s="5"/>
      <c r="P294" s="16"/>
      <c r="Q294" s="17"/>
      <c r="R294" s="17"/>
      <c r="S294" s="17"/>
      <c r="T294" s="17"/>
      <c r="U294" s="21" t="str">
        <f aca="false">IF(N294="","",N(R294)+N(S294)+N(T294))</f>
        <v/>
      </c>
      <c r="V294" s="27" t="str">
        <f aca="false">IF(N294="","",UPPER(TRIM(N294))&amp;"|"&amp;UPPER(TRIM(O294)))</f>
        <v/>
      </c>
      <c r="W294" s="7" t="str">
        <f aca="false">IF(N294="","",IF(COUNTIF($K$10:$K$309,V294)=0,"In 2B, not in books — check &amp; book",IF(ABS(U294-SUMIF($K$10:$K$309,V294,$J$10:$J$309))&lt;=1,"Matched","Tax amount differs")))</f>
        <v/>
      </c>
    </row>
    <row r="295" customFormat="false" ht="15" hidden="false" customHeight="false" outlineLevel="0" collapsed="false">
      <c r="B295" s="5"/>
      <c r="C295" s="5"/>
      <c r="D295" s="5"/>
      <c r="E295" s="16"/>
      <c r="F295" s="17"/>
      <c r="G295" s="17"/>
      <c r="H295" s="17"/>
      <c r="I295" s="17"/>
      <c r="J295" s="21" t="str">
        <f aca="false">IF(B295="","",N(G295)+N(H295)+N(I295))</f>
        <v/>
      </c>
      <c r="K295" s="27" t="str">
        <f aca="false">IF(B295="","",UPPER(TRIM(B295))&amp;"|"&amp;UPPER(TRIM(D295)))</f>
        <v/>
      </c>
      <c r="L295" s="7" t="str">
        <f aca="false">IF(B295="","",IF(COUNTIF($V$10:$V$309,K295)=0,"Not in 2B — ITC at risk",IF(ABS(J295-SUMIF($V$10:$V$309,K295,$U$10:$U$309))&lt;=1,"Matched","Tax amount differs")))</f>
        <v/>
      </c>
      <c r="N295" s="5"/>
      <c r="O295" s="5"/>
      <c r="P295" s="16"/>
      <c r="Q295" s="17"/>
      <c r="R295" s="17"/>
      <c r="S295" s="17"/>
      <c r="T295" s="17"/>
      <c r="U295" s="21" t="str">
        <f aca="false">IF(N295="","",N(R295)+N(S295)+N(T295))</f>
        <v/>
      </c>
      <c r="V295" s="27" t="str">
        <f aca="false">IF(N295="","",UPPER(TRIM(N295))&amp;"|"&amp;UPPER(TRIM(O295)))</f>
        <v/>
      </c>
      <c r="W295" s="7" t="str">
        <f aca="false">IF(N295="","",IF(COUNTIF($K$10:$K$309,V295)=0,"In 2B, not in books — check &amp; book",IF(ABS(U295-SUMIF($K$10:$K$309,V295,$J$10:$J$309))&lt;=1,"Matched","Tax amount differs")))</f>
        <v/>
      </c>
    </row>
    <row r="296" customFormat="false" ht="15" hidden="false" customHeight="false" outlineLevel="0" collapsed="false">
      <c r="B296" s="5"/>
      <c r="C296" s="5"/>
      <c r="D296" s="5"/>
      <c r="E296" s="16"/>
      <c r="F296" s="17"/>
      <c r="G296" s="17"/>
      <c r="H296" s="17"/>
      <c r="I296" s="17"/>
      <c r="J296" s="21" t="str">
        <f aca="false">IF(B296="","",N(G296)+N(H296)+N(I296))</f>
        <v/>
      </c>
      <c r="K296" s="27" t="str">
        <f aca="false">IF(B296="","",UPPER(TRIM(B296))&amp;"|"&amp;UPPER(TRIM(D296)))</f>
        <v/>
      </c>
      <c r="L296" s="7" t="str">
        <f aca="false">IF(B296="","",IF(COUNTIF($V$10:$V$309,K296)=0,"Not in 2B — ITC at risk",IF(ABS(J296-SUMIF($V$10:$V$309,K296,$U$10:$U$309))&lt;=1,"Matched","Tax amount differs")))</f>
        <v/>
      </c>
      <c r="N296" s="5"/>
      <c r="O296" s="5"/>
      <c r="P296" s="16"/>
      <c r="Q296" s="17"/>
      <c r="R296" s="17"/>
      <c r="S296" s="17"/>
      <c r="T296" s="17"/>
      <c r="U296" s="21" t="str">
        <f aca="false">IF(N296="","",N(R296)+N(S296)+N(T296))</f>
        <v/>
      </c>
      <c r="V296" s="27" t="str">
        <f aca="false">IF(N296="","",UPPER(TRIM(N296))&amp;"|"&amp;UPPER(TRIM(O296)))</f>
        <v/>
      </c>
      <c r="W296" s="7" t="str">
        <f aca="false">IF(N296="","",IF(COUNTIF($K$10:$K$309,V296)=0,"In 2B, not in books — check &amp; book",IF(ABS(U296-SUMIF($K$10:$K$309,V296,$J$10:$J$309))&lt;=1,"Matched","Tax amount differs")))</f>
        <v/>
      </c>
    </row>
    <row r="297" customFormat="false" ht="15" hidden="false" customHeight="false" outlineLevel="0" collapsed="false">
      <c r="B297" s="5"/>
      <c r="C297" s="5"/>
      <c r="D297" s="5"/>
      <c r="E297" s="16"/>
      <c r="F297" s="17"/>
      <c r="G297" s="17"/>
      <c r="H297" s="17"/>
      <c r="I297" s="17"/>
      <c r="J297" s="21" t="str">
        <f aca="false">IF(B297="","",N(G297)+N(H297)+N(I297))</f>
        <v/>
      </c>
      <c r="K297" s="27" t="str">
        <f aca="false">IF(B297="","",UPPER(TRIM(B297))&amp;"|"&amp;UPPER(TRIM(D297)))</f>
        <v/>
      </c>
      <c r="L297" s="7" t="str">
        <f aca="false">IF(B297="","",IF(COUNTIF($V$10:$V$309,K297)=0,"Not in 2B — ITC at risk",IF(ABS(J297-SUMIF($V$10:$V$309,K297,$U$10:$U$309))&lt;=1,"Matched","Tax amount differs")))</f>
        <v/>
      </c>
      <c r="N297" s="5"/>
      <c r="O297" s="5"/>
      <c r="P297" s="16"/>
      <c r="Q297" s="17"/>
      <c r="R297" s="17"/>
      <c r="S297" s="17"/>
      <c r="T297" s="17"/>
      <c r="U297" s="21" t="str">
        <f aca="false">IF(N297="","",N(R297)+N(S297)+N(T297))</f>
        <v/>
      </c>
      <c r="V297" s="27" t="str">
        <f aca="false">IF(N297="","",UPPER(TRIM(N297))&amp;"|"&amp;UPPER(TRIM(O297)))</f>
        <v/>
      </c>
      <c r="W297" s="7" t="str">
        <f aca="false">IF(N297="","",IF(COUNTIF($K$10:$K$309,V297)=0,"In 2B, not in books — check &amp; book",IF(ABS(U297-SUMIF($K$10:$K$309,V297,$J$10:$J$309))&lt;=1,"Matched","Tax amount differs")))</f>
        <v/>
      </c>
    </row>
    <row r="298" customFormat="false" ht="15" hidden="false" customHeight="false" outlineLevel="0" collapsed="false">
      <c r="B298" s="5"/>
      <c r="C298" s="5"/>
      <c r="D298" s="5"/>
      <c r="E298" s="16"/>
      <c r="F298" s="17"/>
      <c r="G298" s="17"/>
      <c r="H298" s="17"/>
      <c r="I298" s="17"/>
      <c r="J298" s="21" t="str">
        <f aca="false">IF(B298="","",N(G298)+N(H298)+N(I298))</f>
        <v/>
      </c>
      <c r="K298" s="27" t="str">
        <f aca="false">IF(B298="","",UPPER(TRIM(B298))&amp;"|"&amp;UPPER(TRIM(D298)))</f>
        <v/>
      </c>
      <c r="L298" s="7" t="str">
        <f aca="false">IF(B298="","",IF(COUNTIF($V$10:$V$309,K298)=0,"Not in 2B — ITC at risk",IF(ABS(J298-SUMIF($V$10:$V$309,K298,$U$10:$U$309))&lt;=1,"Matched","Tax amount differs")))</f>
        <v/>
      </c>
      <c r="N298" s="5"/>
      <c r="O298" s="5"/>
      <c r="P298" s="16"/>
      <c r="Q298" s="17"/>
      <c r="R298" s="17"/>
      <c r="S298" s="17"/>
      <c r="T298" s="17"/>
      <c r="U298" s="21" t="str">
        <f aca="false">IF(N298="","",N(R298)+N(S298)+N(T298))</f>
        <v/>
      </c>
      <c r="V298" s="27" t="str">
        <f aca="false">IF(N298="","",UPPER(TRIM(N298))&amp;"|"&amp;UPPER(TRIM(O298)))</f>
        <v/>
      </c>
      <c r="W298" s="7" t="str">
        <f aca="false">IF(N298="","",IF(COUNTIF($K$10:$K$309,V298)=0,"In 2B, not in books — check &amp; book",IF(ABS(U298-SUMIF($K$10:$K$309,V298,$J$10:$J$309))&lt;=1,"Matched","Tax amount differs")))</f>
        <v/>
      </c>
    </row>
    <row r="299" customFormat="false" ht="15" hidden="false" customHeight="false" outlineLevel="0" collapsed="false">
      <c r="B299" s="5"/>
      <c r="C299" s="5"/>
      <c r="D299" s="5"/>
      <c r="E299" s="16"/>
      <c r="F299" s="17"/>
      <c r="G299" s="17"/>
      <c r="H299" s="17"/>
      <c r="I299" s="17"/>
      <c r="J299" s="21" t="str">
        <f aca="false">IF(B299="","",N(G299)+N(H299)+N(I299))</f>
        <v/>
      </c>
      <c r="K299" s="27" t="str">
        <f aca="false">IF(B299="","",UPPER(TRIM(B299))&amp;"|"&amp;UPPER(TRIM(D299)))</f>
        <v/>
      </c>
      <c r="L299" s="7" t="str">
        <f aca="false">IF(B299="","",IF(COUNTIF($V$10:$V$309,K299)=0,"Not in 2B — ITC at risk",IF(ABS(J299-SUMIF($V$10:$V$309,K299,$U$10:$U$309))&lt;=1,"Matched","Tax amount differs")))</f>
        <v/>
      </c>
      <c r="N299" s="5"/>
      <c r="O299" s="5"/>
      <c r="P299" s="16"/>
      <c r="Q299" s="17"/>
      <c r="R299" s="17"/>
      <c r="S299" s="17"/>
      <c r="T299" s="17"/>
      <c r="U299" s="21" t="str">
        <f aca="false">IF(N299="","",N(R299)+N(S299)+N(T299))</f>
        <v/>
      </c>
      <c r="V299" s="27" t="str">
        <f aca="false">IF(N299="","",UPPER(TRIM(N299))&amp;"|"&amp;UPPER(TRIM(O299)))</f>
        <v/>
      </c>
      <c r="W299" s="7" t="str">
        <f aca="false">IF(N299="","",IF(COUNTIF($K$10:$K$309,V299)=0,"In 2B, not in books — check &amp; book",IF(ABS(U299-SUMIF($K$10:$K$309,V299,$J$10:$J$309))&lt;=1,"Matched","Tax amount differs")))</f>
        <v/>
      </c>
    </row>
    <row r="300" customFormat="false" ht="15" hidden="false" customHeight="false" outlineLevel="0" collapsed="false">
      <c r="B300" s="5"/>
      <c r="C300" s="5"/>
      <c r="D300" s="5"/>
      <c r="E300" s="16"/>
      <c r="F300" s="17"/>
      <c r="G300" s="17"/>
      <c r="H300" s="17"/>
      <c r="I300" s="17"/>
      <c r="J300" s="21" t="str">
        <f aca="false">IF(B300="","",N(G300)+N(H300)+N(I300))</f>
        <v/>
      </c>
      <c r="K300" s="27" t="str">
        <f aca="false">IF(B300="","",UPPER(TRIM(B300))&amp;"|"&amp;UPPER(TRIM(D300)))</f>
        <v/>
      </c>
      <c r="L300" s="7" t="str">
        <f aca="false">IF(B300="","",IF(COUNTIF($V$10:$V$309,K300)=0,"Not in 2B — ITC at risk",IF(ABS(J300-SUMIF($V$10:$V$309,K300,$U$10:$U$309))&lt;=1,"Matched","Tax amount differs")))</f>
        <v/>
      </c>
      <c r="N300" s="5"/>
      <c r="O300" s="5"/>
      <c r="P300" s="16"/>
      <c r="Q300" s="17"/>
      <c r="R300" s="17"/>
      <c r="S300" s="17"/>
      <c r="T300" s="17"/>
      <c r="U300" s="21" t="str">
        <f aca="false">IF(N300="","",N(R300)+N(S300)+N(T300))</f>
        <v/>
      </c>
      <c r="V300" s="27" t="str">
        <f aca="false">IF(N300="","",UPPER(TRIM(N300))&amp;"|"&amp;UPPER(TRIM(O300)))</f>
        <v/>
      </c>
      <c r="W300" s="7" t="str">
        <f aca="false">IF(N300="","",IF(COUNTIF($K$10:$K$309,V300)=0,"In 2B, not in books — check &amp; book",IF(ABS(U300-SUMIF($K$10:$K$309,V300,$J$10:$J$309))&lt;=1,"Matched","Tax amount differs")))</f>
        <v/>
      </c>
    </row>
    <row r="301" customFormat="false" ht="15" hidden="false" customHeight="false" outlineLevel="0" collapsed="false">
      <c r="B301" s="5"/>
      <c r="C301" s="5"/>
      <c r="D301" s="5"/>
      <c r="E301" s="16"/>
      <c r="F301" s="17"/>
      <c r="G301" s="17"/>
      <c r="H301" s="17"/>
      <c r="I301" s="17"/>
      <c r="J301" s="21" t="str">
        <f aca="false">IF(B301="","",N(G301)+N(H301)+N(I301))</f>
        <v/>
      </c>
      <c r="K301" s="27" t="str">
        <f aca="false">IF(B301="","",UPPER(TRIM(B301))&amp;"|"&amp;UPPER(TRIM(D301)))</f>
        <v/>
      </c>
      <c r="L301" s="7" t="str">
        <f aca="false">IF(B301="","",IF(COUNTIF($V$10:$V$309,K301)=0,"Not in 2B — ITC at risk",IF(ABS(J301-SUMIF($V$10:$V$309,K301,$U$10:$U$309))&lt;=1,"Matched","Tax amount differs")))</f>
        <v/>
      </c>
      <c r="N301" s="5"/>
      <c r="O301" s="5"/>
      <c r="P301" s="16"/>
      <c r="Q301" s="17"/>
      <c r="R301" s="17"/>
      <c r="S301" s="17"/>
      <c r="T301" s="17"/>
      <c r="U301" s="21" t="str">
        <f aca="false">IF(N301="","",N(R301)+N(S301)+N(T301))</f>
        <v/>
      </c>
      <c r="V301" s="27" t="str">
        <f aca="false">IF(N301="","",UPPER(TRIM(N301))&amp;"|"&amp;UPPER(TRIM(O301)))</f>
        <v/>
      </c>
      <c r="W301" s="7" t="str">
        <f aca="false">IF(N301="","",IF(COUNTIF($K$10:$K$309,V301)=0,"In 2B, not in books — check &amp; book",IF(ABS(U301-SUMIF($K$10:$K$309,V301,$J$10:$J$309))&lt;=1,"Matched","Tax amount differs")))</f>
        <v/>
      </c>
    </row>
    <row r="302" customFormat="false" ht="15" hidden="false" customHeight="false" outlineLevel="0" collapsed="false">
      <c r="B302" s="5"/>
      <c r="C302" s="5"/>
      <c r="D302" s="5"/>
      <c r="E302" s="16"/>
      <c r="F302" s="17"/>
      <c r="G302" s="17"/>
      <c r="H302" s="17"/>
      <c r="I302" s="17"/>
      <c r="J302" s="21" t="str">
        <f aca="false">IF(B302="","",N(G302)+N(H302)+N(I302))</f>
        <v/>
      </c>
      <c r="K302" s="27" t="str">
        <f aca="false">IF(B302="","",UPPER(TRIM(B302))&amp;"|"&amp;UPPER(TRIM(D302)))</f>
        <v/>
      </c>
      <c r="L302" s="7" t="str">
        <f aca="false">IF(B302="","",IF(COUNTIF($V$10:$V$309,K302)=0,"Not in 2B — ITC at risk",IF(ABS(J302-SUMIF($V$10:$V$309,K302,$U$10:$U$309))&lt;=1,"Matched","Tax amount differs")))</f>
        <v/>
      </c>
      <c r="N302" s="5"/>
      <c r="O302" s="5"/>
      <c r="P302" s="16"/>
      <c r="Q302" s="17"/>
      <c r="R302" s="17"/>
      <c r="S302" s="17"/>
      <c r="T302" s="17"/>
      <c r="U302" s="21" t="str">
        <f aca="false">IF(N302="","",N(R302)+N(S302)+N(T302))</f>
        <v/>
      </c>
      <c r="V302" s="27" t="str">
        <f aca="false">IF(N302="","",UPPER(TRIM(N302))&amp;"|"&amp;UPPER(TRIM(O302)))</f>
        <v/>
      </c>
      <c r="W302" s="7" t="str">
        <f aca="false">IF(N302="","",IF(COUNTIF($K$10:$K$309,V302)=0,"In 2B, not in books — check &amp; book",IF(ABS(U302-SUMIF($K$10:$K$309,V302,$J$10:$J$309))&lt;=1,"Matched","Tax amount differs")))</f>
        <v/>
      </c>
    </row>
    <row r="303" customFormat="false" ht="15" hidden="false" customHeight="false" outlineLevel="0" collapsed="false">
      <c r="B303" s="5"/>
      <c r="C303" s="5"/>
      <c r="D303" s="5"/>
      <c r="E303" s="16"/>
      <c r="F303" s="17"/>
      <c r="G303" s="17"/>
      <c r="H303" s="17"/>
      <c r="I303" s="17"/>
      <c r="J303" s="21" t="str">
        <f aca="false">IF(B303="","",N(G303)+N(H303)+N(I303))</f>
        <v/>
      </c>
      <c r="K303" s="27" t="str">
        <f aca="false">IF(B303="","",UPPER(TRIM(B303))&amp;"|"&amp;UPPER(TRIM(D303)))</f>
        <v/>
      </c>
      <c r="L303" s="7" t="str">
        <f aca="false">IF(B303="","",IF(COUNTIF($V$10:$V$309,K303)=0,"Not in 2B — ITC at risk",IF(ABS(J303-SUMIF($V$10:$V$309,K303,$U$10:$U$309))&lt;=1,"Matched","Tax amount differs")))</f>
        <v/>
      </c>
      <c r="N303" s="5"/>
      <c r="O303" s="5"/>
      <c r="P303" s="16"/>
      <c r="Q303" s="17"/>
      <c r="R303" s="17"/>
      <c r="S303" s="17"/>
      <c r="T303" s="17"/>
      <c r="U303" s="21" t="str">
        <f aca="false">IF(N303="","",N(R303)+N(S303)+N(T303))</f>
        <v/>
      </c>
      <c r="V303" s="27" t="str">
        <f aca="false">IF(N303="","",UPPER(TRIM(N303))&amp;"|"&amp;UPPER(TRIM(O303)))</f>
        <v/>
      </c>
      <c r="W303" s="7" t="str">
        <f aca="false">IF(N303="","",IF(COUNTIF($K$10:$K$309,V303)=0,"In 2B, not in books — check &amp; book",IF(ABS(U303-SUMIF($K$10:$K$309,V303,$J$10:$J$309))&lt;=1,"Matched","Tax amount differs")))</f>
        <v/>
      </c>
    </row>
    <row r="304" customFormat="false" ht="15" hidden="false" customHeight="false" outlineLevel="0" collapsed="false">
      <c r="B304" s="5"/>
      <c r="C304" s="5"/>
      <c r="D304" s="5"/>
      <c r="E304" s="16"/>
      <c r="F304" s="17"/>
      <c r="G304" s="17"/>
      <c r="H304" s="17"/>
      <c r="I304" s="17"/>
      <c r="J304" s="21" t="str">
        <f aca="false">IF(B304="","",N(G304)+N(H304)+N(I304))</f>
        <v/>
      </c>
      <c r="K304" s="27" t="str">
        <f aca="false">IF(B304="","",UPPER(TRIM(B304))&amp;"|"&amp;UPPER(TRIM(D304)))</f>
        <v/>
      </c>
      <c r="L304" s="7" t="str">
        <f aca="false">IF(B304="","",IF(COUNTIF($V$10:$V$309,K304)=0,"Not in 2B — ITC at risk",IF(ABS(J304-SUMIF($V$10:$V$309,K304,$U$10:$U$309))&lt;=1,"Matched","Tax amount differs")))</f>
        <v/>
      </c>
      <c r="N304" s="5"/>
      <c r="O304" s="5"/>
      <c r="P304" s="16"/>
      <c r="Q304" s="17"/>
      <c r="R304" s="17"/>
      <c r="S304" s="17"/>
      <c r="T304" s="17"/>
      <c r="U304" s="21" t="str">
        <f aca="false">IF(N304="","",N(R304)+N(S304)+N(T304))</f>
        <v/>
      </c>
      <c r="V304" s="27" t="str">
        <f aca="false">IF(N304="","",UPPER(TRIM(N304))&amp;"|"&amp;UPPER(TRIM(O304)))</f>
        <v/>
      </c>
      <c r="W304" s="7" t="str">
        <f aca="false">IF(N304="","",IF(COUNTIF($K$10:$K$309,V304)=0,"In 2B, not in books — check &amp; book",IF(ABS(U304-SUMIF($K$10:$K$309,V304,$J$10:$J$309))&lt;=1,"Matched","Tax amount differs")))</f>
        <v/>
      </c>
    </row>
    <row r="305" customFormat="false" ht="15" hidden="false" customHeight="false" outlineLevel="0" collapsed="false">
      <c r="B305" s="5"/>
      <c r="C305" s="5"/>
      <c r="D305" s="5"/>
      <c r="E305" s="16"/>
      <c r="F305" s="17"/>
      <c r="G305" s="17"/>
      <c r="H305" s="17"/>
      <c r="I305" s="17"/>
      <c r="J305" s="21" t="str">
        <f aca="false">IF(B305="","",N(G305)+N(H305)+N(I305))</f>
        <v/>
      </c>
      <c r="K305" s="27" t="str">
        <f aca="false">IF(B305="","",UPPER(TRIM(B305))&amp;"|"&amp;UPPER(TRIM(D305)))</f>
        <v/>
      </c>
      <c r="L305" s="7" t="str">
        <f aca="false">IF(B305="","",IF(COUNTIF($V$10:$V$309,K305)=0,"Not in 2B — ITC at risk",IF(ABS(J305-SUMIF($V$10:$V$309,K305,$U$10:$U$309))&lt;=1,"Matched","Tax amount differs")))</f>
        <v/>
      </c>
      <c r="N305" s="5"/>
      <c r="O305" s="5"/>
      <c r="P305" s="16"/>
      <c r="Q305" s="17"/>
      <c r="R305" s="17"/>
      <c r="S305" s="17"/>
      <c r="T305" s="17"/>
      <c r="U305" s="21" t="str">
        <f aca="false">IF(N305="","",N(R305)+N(S305)+N(T305))</f>
        <v/>
      </c>
      <c r="V305" s="27" t="str">
        <f aca="false">IF(N305="","",UPPER(TRIM(N305))&amp;"|"&amp;UPPER(TRIM(O305)))</f>
        <v/>
      </c>
      <c r="W305" s="7" t="str">
        <f aca="false">IF(N305="","",IF(COUNTIF($K$10:$K$309,V305)=0,"In 2B, not in books — check &amp; book",IF(ABS(U305-SUMIF($K$10:$K$309,V305,$J$10:$J$309))&lt;=1,"Matched","Tax amount differs")))</f>
        <v/>
      </c>
    </row>
    <row r="306" customFormat="false" ht="15" hidden="false" customHeight="false" outlineLevel="0" collapsed="false">
      <c r="B306" s="5"/>
      <c r="C306" s="5"/>
      <c r="D306" s="5"/>
      <c r="E306" s="16"/>
      <c r="F306" s="17"/>
      <c r="G306" s="17"/>
      <c r="H306" s="17"/>
      <c r="I306" s="17"/>
      <c r="J306" s="21" t="str">
        <f aca="false">IF(B306="","",N(G306)+N(H306)+N(I306))</f>
        <v/>
      </c>
      <c r="K306" s="27" t="str">
        <f aca="false">IF(B306="","",UPPER(TRIM(B306))&amp;"|"&amp;UPPER(TRIM(D306)))</f>
        <v/>
      </c>
      <c r="L306" s="7" t="str">
        <f aca="false">IF(B306="","",IF(COUNTIF($V$10:$V$309,K306)=0,"Not in 2B — ITC at risk",IF(ABS(J306-SUMIF($V$10:$V$309,K306,$U$10:$U$309))&lt;=1,"Matched","Tax amount differs")))</f>
        <v/>
      </c>
      <c r="N306" s="5"/>
      <c r="O306" s="5"/>
      <c r="P306" s="16"/>
      <c r="Q306" s="17"/>
      <c r="R306" s="17"/>
      <c r="S306" s="17"/>
      <c r="T306" s="17"/>
      <c r="U306" s="21" t="str">
        <f aca="false">IF(N306="","",N(R306)+N(S306)+N(T306))</f>
        <v/>
      </c>
      <c r="V306" s="27" t="str">
        <f aca="false">IF(N306="","",UPPER(TRIM(N306))&amp;"|"&amp;UPPER(TRIM(O306)))</f>
        <v/>
      </c>
      <c r="W306" s="7" t="str">
        <f aca="false">IF(N306="","",IF(COUNTIF($K$10:$K$309,V306)=0,"In 2B, not in books — check &amp; book",IF(ABS(U306-SUMIF($K$10:$K$309,V306,$J$10:$J$309))&lt;=1,"Matched","Tax amount differs")))</f>
        <v/>
      </c>
    </row>
    <row r="307" customFormat="false" ht="15" hidden="false" customHeight="false" outlineLevel="0" collapsed="false">
      <c r="B307" s="5"/>
      <c r="C307" s="5"/>
      <c r="D307" s="5"/>
      <c r="E307" s="16"/>
      <c r="F307" s="17"/>
      <c r="G307" s="17"/>
      <c r="H307" s="17"/>
      <c r="I307" s="17"/>
      <c r="J307" s="21" t="str">
        <f aca="false">IF(B307="","",N(G307)+N(H307)+N(I307))</f>
        <v/>
      </c>
      <c r="K307" s="27" t="str">
        <f aca="false">IF(B307="","",UPPER(TRIM(B307))&amp;"|"&amp;UPPER(TRIM(D307)))</f>
        <v/>
      </c>
      <c r="L307" s="7" t="str">
        <f aca="false">IF(B307="","",IF(COUNTIF($V$10:$V$309,K307)=0,"Not in 2B — ITC at risk",IF(ABS(J307-SUMIF($V$10:$V$309,K307,$U$10:$U$309))&lt;=1,"Matched","Tax amount differs")))</f>
        <v/>
      </c>
      <c r="N307" s="5"/>
      <c r="O307" s="5"/>
      <c r="P307" s="16"/>
      <c r="Q307" s="17"/>
      <c r="R307" s="17"/>
      <c r="S307" s="17"/>
      <c r="T307" s="17"/>
      <c r="U307" s="21" t="str">
        <f aca="false">IF(N307="","",N(R307)+N(S307)+N(T307))</f>
        <v/>
      </c>
      <c r="V307" s="27" t="str">
        <f aca="false">IF(N307="","",UPPER(TRIM(N307))&amp;"|"&amp;UPPER(TRIM(O307)))</f>
        <v/>
      </c>
      <c r="W307" s="7" t="str">
        <f aca="false">IF(N307="","",IF(COUNTIF($K$10:$K$309,V307)=0,"In 2B, not in books — check &amp; book",IF(ABS(U307-SUMIF($K$10:$K$309,V307,$J$10:$J$309))&lt;=1,"Matched","Tax amount differs")))</f>
        <v/>
      </c>
    </row>
    <row r="308" customFormat="false" ht="15" hidden="false" customHeight="false" outlineLevel="0" collapsed="false">
      <c r="B308" s="5"/>
      <c r="C308" s="5"/>
      <c r="D308" s="5"/>
      <c r="E308" s="16"/>
      <c r="F308" s="17"/>
      <c r="G308" s="17"/>
      <c r="H308" s="17"/>
      <c r="I308" s="17"/>
      <c r="J308" s="21" t="str">
        <f aca="false">IF(B308="","",N(G308)+N(H308)+N(I308))</f>
        <v/>
      </c>
      <c r="K308" s="27" t="str">
        <f aca="false">IF(B308="","",UPPER(TRIM(B308))&amp;"|"&amp;UPPER(TRIM(D308)))</f>
        <v/>
      </c>
      <c r="L308" s="7" t="str">
        <f aca="false">IF(B308="","",IF(COUNTIF($V$10:$V$309,K308)=0,"Not in 2B — ITC at risk",IF(ABS(J308-SUMIF($V$10:$V$309,K308,$U$10:$U$309))&lt;=1,"Matched","Tax amount differs")))</f>
        <v/>
      </c>
      <c r="N308" s="5"/>
      <c r="O308" s="5"/>
      <c r="P308" s="16"/>
      <c r="Q308" s="17"/>
      <c r="R308" s="17"/>
      <c r="S308" s="17"/>
      <c r="T308" s="17"/>
      <c r="U308" s="21" t="str">
        <f aca="false">IF(N308="","",N(R308)+N(S308)+N(T308))</f>
        <v/>
      </c>
      <c r="V308" s="27" t="str">
        <f aca="false">IF(N308="","",UPPER(TRIM(N308))&amp;"|"&amp;UPPER(TRIM(O308)))</f>
        <v/>
      </c>
      <c r="W308" s="7" t="str">
        <f aca="false">IF(N308="","",IF(COUNTIF($K$10:$K$309,V308)=0,"In 2B, not in books — check &amp; book",IF(ABS(U308-SUMIF($K$10:$K$309,V308,$J$10:$J$309))&lt;=1,"Matched","Tax amount differs")))</f>
        <v/>
      </c>
    </row>
    <row r="309" customFormat="false" ht="15" hidden="false" customHeight="false" outlineLevel="0" collapsed="false">
      <c r="B309" s="5"/>
      <c r="C309" s="5"/>
      <c r="D309" s="5"/>
      <c r="E309" s="16"/>
      <c r="F309" s="17"/>
      <c r="G309" s="17"/>
      <c r="H309" s="17"/>
      <c r="I309" s="17"/>
      <c r="J309" s="21" t="str">
        <f aca="false">IF(B309="","",N(G309)+N(H309)+N(I309))</f>
        <v/>
      </c>
      <c r="K309" s="27" t="str">
        <f aca="false">IF(B309="","",UPPER(TRIM(B309))&amp;"|"&amp;UPPER(TRIM(D309)))</f>
        <v/>
      </c>
      <c r="L309" s="7" t="str">
        <f aca="false">IF(B309="","",IF(COUNTIF($V$10:$V$309,K309)=0,"Not in 2B — ITC at risk",IF(ABS(J309-SUMIF($V$10:$V$309,K309,$U$10:$U$309))&lt;=1,"Matched","Tax amount differs")))</f>
        <v/>
      </c>
      <c r="N309" s="5"/>
      <c r="O309" s="5"/>
      <c r="P309" s="16"/>
      <c r="Q309" s="17"/>
      <c r="R309" s="17"/>
      <c r="S309" s="17"/>
      <c r="T309" s="17"/>
      <c r="U309" s="21" t="str">
        <f aca="false">IF(N309="","",N(R309)+N(S309)+N(T309))</f>
        <v/>
      </c>
      <c r="V309" s="27" t="str">
        <f aca="false">IF(N309="","",UPPER(TRIM(N309))&amp;"|"&amp;UPPER(TRIM(O309)))</f>
        <v/>
      </c>
      <c r="W309" s="7" t="str">
        <f aca="false">IF(N309="","",IF(COUNTIF($K$10:$K$309,V309)=0,"In 2B, not in books — check &amp; book",IF(ABS(U309-SUMIF($K$10:$K$309,V309,$J$10:$J$309))&lt;=1,"Matched","Tax amount differs")))</f>
        <v/>
      </c>
    </row>
  </sheetData>
  <conditionalFormatting sqref="L10:L309">
    <cfRule type="expression" priority="2" aboveAverage="0" equalAverage="0" bottom="0" percent="0" rank="0" text="" dxfId="2">
      <formula>L10="Matched"</formula>
    </cfRule>
    <cfRule type="expression" priority="3" aboveAverage="0" equalAverage="0" bottom="0" percent="0" rank="0" text="" dxfId="1">
      <formula>AND(L10&lt;&gt;"",L10&lt;&gt;"Matched")</formula>
    </cfRule>
  </conditionalFormatting>
  <conditionalFormatting sqref="W10:W309">
    <cfRule type="expression" priority="4" aboveAverage="0" equalAverage="0" bottom="0" percent="0" rank="0" text="" dxfId="2">
      <formula>W10="Matched"</formula>
    </cfRule>
    <cfRule type="expression" priority="5" aboveAverage="0" equalAverage="0" bottom="0" percent="0" rank="0" text="" dxfId="1">
      <formula>AND(W10&lt;&gt;"",W10&lt;&gt;"Matched")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8"/>
  </cols>
  <sheetData>
    <row r="2" customFormat="false" ht="19.7" hidden="false" customHeight="false" outlineLevel="0" collapsed="false">
      <c r="B2" s="1" t="s">
        <v>135</v>
      </c>
    </row>
    <row r="3" customFormat="false" ht="15" hidden="false" customHeight="false" outlineLevel="0" collapsed="false">
      <c r="B3" s="2" t="s">
        <v>136</v>
      </c>
    </row>
    <row r="4" customFormat="false" ht="15" hidden="false" customHeight="false" outlineLevel="0" collapsed="false">
      <c r="B4" s="9" t="s">
        <v>33</v>
      </c>
      <c r="C4" s="5" t="s">
        <v>34</v>
      </c>
    </row>
    <row r="5" customFormat="false" ht="15" hidden="false" customHeight="false" outlineLevel="0" collapsed="false">
      <c r="B5" s="9" t="s">
        <v>137</v>
      </c>
      <c r="C5" s="5" t="s">
        <v>138</v>
      </c>
    </row>
    <row r="6" customFormat="false" ht="15" hidden="false" customHeight="false" outlineLevel="0" collapsed="false">
      <c r="B6" s="9" t="s">
        <v>76</v>
      </c>
      <c r="C6" s="5" t="s">
        <v>139</v>
      </c>
    </row>
    <row r="8" customFormat="false" ht="30" hidden="false" customHeight="true" outlineLevel="0" collapsed="false">
      <c r="B8" s="18" t="s">
        <v>140</v>
      </c>
      <c r="C8" s="19" t="s">
        <v>141</v>
      </c>
      <c r="D8" s="19" t="s">
        <v>142</v>
      </c>
      <c r="E8" s="19" t="s">
        <v>143</v>
      </c>
      <c r="F8" s="19" t="s">
        <v>144</v>
      </c>
      <c r="G8" s="19" t="s">
        <v>145</v>
      </c>
      <c r="H8" s="19" t="s">
        <v>146</v>
      </c>
      <c r="I8" s="19" t="s">
        <v>147</v>
      </c>
      <c r="J8" s="19" t="s">
        <v>148</v>
      </c>
    </row>
    <row r="9" customFormat="false" ht="15" hidden="false" customHeight="false" outlineLevel="0" collapsed="false">
      <c r="B9" s="5" t="s">
        <v>149</v>
      </c>
      <c r="C9" s="5" t="s">
        <v>150</v>
      </c>
      <c r="D9" s="5" t="s">
        <v>151</v>
      </c>
      <c r="E9" s="17" t="n">
        <v>500000</v>
      </c>
      <c r="F9" s="17" t="n">
        <v>50000</v>
      </c>
      <c r="G9" s="17" t="n">
        <v>500000</v>
      </c>
      <c r="H9" s="17" t="n">
        <v>50000</v>
      </c>
      <c r="I9" s="21" t="n">
        <f aca="false">IF(B9="","",N(F9)-N(H9))</f>
        <v>0</v>
      </c>
      <c r="J9" s="7" t="str">
        <f aca="false">IF(B9="","",IF(ABS(I9)&lt;1,"Matched",IF(N(H9)=0,"Not in 26AS — ask customer to file / correct TDS return",IF(I9&gt;0,"Short in 26AS — follow up with customer","More in 26AS — check unbooked income"))))</f>
        <v>Matched</v>
      </c>
    </row>
    <row r="10" customFormat="false" ht="15" hidden="false" customHeight="false" outlineLevel="0" collapsed="false">
      <c r="B10" s="5" t="s">
        <v>152</v>
      </c>
      <c r="C10" s="5" t="s">
        <v>153</v>
      </c>
      <c r="D10" s="5" t="s">
        <v>154</v>
      </c>
      <c r="E10" s="17" t="n">
        <v>320000</v>
      </c>
      <c r="F10" s="17" t="n">
        <v>6400</v>
      </c>
      <c r="G10" s="17" t="n">
        <v>320000</v>
      </c>
      <c r="H10" s="17" t="n">
        <v>6400</v>
      </c>
      <c r="I10" s="21" t="n">
        <f aca="false">IF(B10="","",N(F10)-N(H10))</f>
        <v>0</v>
      </c>
      <c r="J10" s="7" t="str">
        <f aca="false">IF(B10="","",IF(ABS(I10)&lt;1,"Matched",IF(N(H10)=0,"Not in 26AS — ask customer to file / correct TDS return",IF(I10&gt;0,"Short in 26AS — follow up with customer","More in 26AS — check unbooked income"))))</f>
        <v>Matched</v>
      </c>
    </row>
    <row r="11" customFormat="false" ht="15" hidden="false" customHeight="false" outlineLevel="0" collapsed="false">
      <c r="B11" s="5" t="s">
        <v>155</v>
      </c>
      <c r="C11" s="5" t="s">
        <v>156</v>
      </c>
      <c r="D11" s="5" t="s">
        <v>151</v>
      </c>
      <c r="E11" s="17" t="n">
        <v>250000</v>
      </c>
      <c r="F11" s="17" t="n">
        <v>25000</v>
      </c>
      <c r="G11" s="17" t="n">
        <v>0</v>
      </c>
      <c r="H11" s="17" t="n">
        <v>0</v>
      </c>
      <c r="I11" s="21" t="n">
        <f aca="false">IF(B11="","",N(F11)-N(H11))</f>
        <v>25000</v>
      </c>
      <c r="J11" s="7" t="str">
        <f aca="false">IF(B11="","",IF(ABS(I11)&lt;1,"Matched",IF(N(H11)=0,"Not in 26AS — ask customer to file / correct TDS return",IF(I11&gt;0,"Short in 26AS — follow up with customer","More in 26AS — check unbooked income"))))</f>
        <v>Not in 26AS — ask customer to file / correct TDS return</v>
      </c>
    </row>
    <row r="12" customFormat="false" ht="15" hidden="false" customHeight="false" outlineLevel="0" collapsed="false">
      <c r="B12" s="5" t="s">
        <v>157</v>
      </c>
      <c r="C12" s="5" t="s">
        <v>158</v>
      </c>
      <c r="D12" s="5" t="s">
        <v>151</v>
      </c>
      <c r="E12" s="17" t="n">
        <v>180000</v>
      </c>
      <c r="F12" s="17" t="n">
        <v>18000</v>
      </c>
      <c r="G12" s="17" t="n">
        <v>200000</v>
      </c>
      <c r="H12" s="17" t="n">
        <v>20000</v>
      </c>
      <c r="I12" s="21" t="n">
        <f aca="false">IF(B12="","",N(F12)-N(H12))</f>
        <v>-2000</v>
      </c>
      <c r="J12" s="7" t="str">
        <f aca="false">IF(B12="","",IF(ABS(I12)&lt;1,"Matched",IF(N(H12)=0,"Not in 26AS — ask customer to file / correct TDS return",IF(I12&gt;0,"Short in 26AS — follow up with customer","More in 26AS — check unbooked income"))))</f>
        <v>More in 26AS — check unbooked income</v>
      </c>
    </row>
    <row r="13" customFormat="false" ht="15" hidden="false" customHeight="false" outlineLevel="0" collapsed="false">
      <c r="B13" s="5"/>
      <c r="C13" s="5"/>
      <c r="D13" s="5"/>
      <c r="E13" s="17"/>
      <c r="F13" s="17"/>
      <c r="G13" s="17"/>
      <c r="H13" s="17"/>
      <c r="I13" s="21" t="str">
        <f aca="false">IF(B13="","",N(F13)-N(H13))</f>
        <v/>
      </c>
      <c r="J13" s="7" t="str">
        <f aca="false">IF(B13="","",IF(ABS(I13)&lt;1,"Matched",IF(N(H13)=0,"Not in 26AS — ask customer to file / correct TDS return",IF(I13&gt;0,"Short in 26AS — follow up with customer","More in 26AS — check unbooked income"))))</f>
        <v/>
      </c>
    </row>
    <row r="14" customFormat="false" ht="15" hidden="false" customHeight="false" outlineLevel="0" collapsed="false">
      <c r="B14" s="5"/>
      <c r="C14" s="5"/>
      <c r="D14" s="5"/>
      <c r="E14" s="17"/>
      <c r="F14" s="17"/>
      <c r="G14" s="17"/>
      <c r="H14" s="17"/>
      <c r="I14" s="21" t="str">
        <f aca="false">IF(B14="","",N(F14)-N(H14))</f>
        <v/>
      </c>
      <c r="J14" s="7" t="str">
        <f aca="false">IF(B14="","",IF(ABS(I14)&lt;1,"Matched",IF(N(H14)=0,"Not in 26AS — ask customer to file / correct TDS return",IF(I14&gt;0,"Short in 26AS — follow up with customer","More in 26AS — check unbooked income"))))</f>
        <v/>
      </c>
    </row>
    <row r="15" customFormat="false" ht="15" hidden="false" customHeight="false" outlineLevel="0" collapsed="false">
      <c r="B15" s="5"/>
      <c r="C15" s="5"/>
      <c r="D15" s="5"/>
      <c r="E15" s="17"/>
      <c r="F15" s="17"/>
      <c r="G15" s="17"/>
      <c r="H15" s="17"/>
      <c r="I15" s="21" t="str">
        <f aca="false">IF(B15="","",N(F15)-N(H15))</f>
        <v/>
      </c>
      <c r="J15" s="7" t="str">
        <f aca="false">IF(B15="","",IF(ABS(I15)&lt;1,"Matched",IF(N(H15)=0,"Not in 26AS — ask customer to file / correct TDS return",IF(I15&gt;0,"Short in 26AS — follow up with customer","More in 26AS — check unbooked income"))))</f>
        <v/>
      </c>
    </row>
    <row r="16" customFormat="false" ht="15" hidden="false" customHeight="false" outlineLevel="0" collapsed="false">
      <c r="B16" s="5"/>
      <c r="C16" s="5"/>
      <c r="D16" s="5"/>
      <c r="E16" s="17"/>
      <c r="F16" s="17"/>
      <c r="G16" s="17"/>
      <c r="H16" s="17"/>
      <c r="I16" s="21" t="str">
        <f aca="false">IF(B16="","",N(F16)-N(H16))</f>
        <v/>
      </c>
      <c r="J16" s="7" t="str">
        <f aca="false">IF(B16="","",IF(ABS(I16)&lt;1,"Matched",IF(N(H16)=0,"Not in 26AS — ask customer to file / correct TDS return",IF(I16&gt;0,"Short in 26AS — follow up with customer","More in 26AS — check unbooked income"))))</f>
        <v/>
      </c>
    </row>
    <row r="17" customFormat="false" ht="15" hidden="false" customHeight="false" outlineLevel="0" collapsed="false">
      <c r="B17" s="5"/>
      <c r="C17" s="5"/>
      <c r="D17" s="5"/>
      <c r="E17" s="17"/>
      <c r="F17" s="17"/>
      <c r="G17" s="17"/>
      <c r="H17" s="17"/>
      <c r="I17" s="21" t="str">
        <f aca="false">IF(B17="","",N(F17)-N(H17))</f>
        <v/>
      </c>
      <c r="J17" s="7" t="str">
        <f aca="false">IF(B17="","",IF(ABS(I17)&lt;1,"Matched",IF(N(H17)=0,"Not in 26AS — ask customer to file / correct TDS return",IF(I17&gt;0,"Short in 26AS — follow up with customer","More in 26AS — check unbooked income"))))</f>
        <v/>
      </c>
    </row>
    <row r="18" customFormat="false" ht="15" hidden="false" customHeight="false" outlineLevel="0" collapsed="false">
      <c r="B18" s="5"/>
      <c r="C18" s="5"/>
      <c r="D18" s="5"/>
      <c r="E18" s="17"/>
      <c r="F18" s="17"/>
      <c r="G18" s="17"/>
      <c r="H18" s="17"/>
      <c r="I18" s="21" t="str">
        <f aca="false">IF(B18="","",N(F18)-N(H18))</f>
        <v/>
      </c>
      <c r="J18" s="7" t="str">
        <f aca="false">IF(B18="","",IF(ABS(I18)&lt;1,"Matched",IF(N(H18)=0,"Not in 26AS — ask customer to file / correct TDS return",IF(I18&gt;0,"Short in 26AS — follow up with customer","More in 26AS — check unbooked income"))))</f>
        <v/>
      </c>
    </row>
    <row r="19" customFormat="false" ht="15" hidden="false" customHeight="false" outlineLevel="0" collapsed="false">
      <c r="B19" s="5"/>
      <c r="C19" s="5"/>
      <c r="D19" s="5"/>
      <c r="E19" s="17"/>
      <c r="F19" s="17"/>
      <c r="G19" s="17"/>
      <c r="H19" s="17"/>
      <c r="I19" s="21" t="str">
        <f aca="false">IF(B19="","",N(F19)-N(H19))</f>
        <v/>
      </c>
      <c r="J19" s="7" t="str">
        <f aca="false">IF(B19="","",IF(ABS(I19)&lt;1,"Matched",IF(N(H19)=0,"Not in 26AS — ask customer to file / correct TDS return",IF(I19&gt;0,"Short in 26AS — follow up with customer","More in 26AS — check unbooked income"))))</f>
        <v/>
      </c>
    </row>
    <row r="20" customFormat="false" ht="15" hidden="false" customHeight="false" outlineLevel="0" collapsed="false">
      <c r="B20" s="5"/>
      <c r="C20" s="5"/>
      <c r="D20" s="5"/>
      <c r="E20" s="17"/>
      <c r="F20" s="17"/>
      <c r="G20" s="17"/>
      <c r="H20" s="17"/>
      <c r="I20" s="21" t="str">
        <f aca="false">IF(B20="","",N(F20)-N(H20))</f>
        <v/>
      </c>
      <c r="J20" s="7" t="str">
        <f aca="false">IF(B20="","",IF(ABS(I20)&lt;1,"Matched",IF(N(H20)=0,"Not in 26AS — ask customer to file / correct TDS return",IF(I20&gt;0,"Short in 26AS — follow up with customer","More in 26AS — check unbooked income"))))</f>
        <v/>
      </c>
    </row>
    <row r="21" customFormat="false" ht="15" hidden="false" customHeight="false" outlineLevel="0" collapsed="false">
      <c r="B21" s="5"/>
      <c r="C21" s="5"/>
      <c r="D21" s="5"/>
      <c r="E21" s="17"/>
      <c r="F21" s="17"/>
      <c r="G21" s="17"/>
      <c r="H21" s="17"/>
      <c r="I21" s="21" t="str">
        <f aca="false">IF(B21="","",N(F21)-N(H21))</f>
        <v/>
      </c>
      <c r="J21" s="7" t="str">
        <f aca="false">IF(B21="","",IF(ABS(I21)&lt;1,"Matched",IF(N(H21)=0,"Not in 26AS — ask customer to file / correct TDS return",IF(I21&gt;0,"Short in 26AS — follow up with customer","More in 26AS — check unbooked income"))))</f>
        <v/>
      </c>
    </row>
    <row r="22" customFormat="false" ht="15" hidden="false" customHeight="false" outlineLevel="0" collapsed="false">
      <c r="B22" s="5"/>
      <c r="C22" s="5"/>
      <c r="D22" s="5"/>
      <c r="E22" s="17"/>
      <c r="F22" s="17"/>
      <c r="G22" s="17"/>
      <c r="H22" s="17"/>
      <c r="I22" s="21" t="str">
        <f aca="false">IF(B22="","",N(F22)-N(H22))</f>
        <v/>
      </c>
      <c r="J22" s="7" t="str">
        <f aca="false">IF(B22="","",IF(ABS(I22)&lt;1,"Matched",IF(N(H22)=0,"Not in 26AS — ask customer to file / correct TDS return",IF(I22&gt;0,"Short in 26AS — follow up with customer","More in 26AS — check unbooked income"))))</f>
        <v/>
      </c>
    </row>
    <row r="23" customFormat="false" ht="15" hidden="false" customHeight="false" outlineLevel="0" collapsed="false">
      <c r="B23" s="5"/>
      <c r="C23" s="5"/>
      <c r="D23" s="5"/>
      <c r="E23" s="17"/>
      <c r="F23" s="17"/>
      <c r="G23" s="17"/>
      <c r="H23" s="17"/>
      <c r="I23" s="21" t="str">
        <f aca="false">IF(B23="","",N(F23)-N(H23))</f>
        <v/>
      </c>
      <c r="J23" s="7" t="str">
        <f aca="false">IF(B23="","",IF(ABS(I23)&lt;1,"Matched",IF(N(H23)=0,"Not in 26AS — ask customer to file / correct TDS return",IF(I23&gt;0,"Short in 26AS — follow up with customer","More in 26AS — check unbooked income"))))</f>
        <v/>
      </c>
    </row>
    <row r="24" customFormat="false" ht="15" hidden="false" customHeight="false" outlineLevel="0" collapsed="false">
      <c r="B24" s="5"/>
      <c r="C24" s="5"/>
      <c r="D24" s="5"/>
      <c r="E24" s="17"/>
      <c r="F24" s="17"/>
      <c r="G24" s="17"/>
      <c r="H24" s="17"/>
      <c r="I24" s="21" t="str">
        <f aca="false">IF(B24="","",N(F24)-N(H24))</f>
        <v/>
      </c>
      <c r="J24" s="7" t="str">
        <f aca="false">IF(B24="","",IF(ABS(I24)&lt;1,"Matched",IF(N(H24)=0,"Not in 26AS — ask customer to file / correct TDS return",IF(I24&gt;0,"Short in 26AS — follow up with customer","More in 26AS — check unbooked income"))))</f>
        <v/>
      </c>
    </row>
    <row r="25" customFormat="false" ht="15" hidden="false" customHeight="false" outlineLevel="0" collapsed="false">
      <c r="B25" s="5"/>
      <c r="C25" s="5"/>
      <c r="D25" s="5"/>
      <c r="E25" s="17"/>
      <c r="F25" s="17"/>
      <c r="G25" s="17"/>
      <c r="H25" s="17"/>
      <c r="I25" s="21" t="str">
        <f aca="false">IF(B25="","",N(F25)-N(H25))</f>
        <v/>
      </c>
      <c r="J25" s="7" t="str">
        <f aca="false">IF(B25="","",IF(ABS(I25)&lt;1,"Matched",IF(N(H25)=0,"Not in 26AS — ask customer to file / correct TDS return",IF(I25&gt;0,"Short in 26AS — follow up with customer","More in 26AS — check unbooked income"))))</f>
        <v/>
      </c>
    </row>
    <row r="26" customFormat="false" ht="15" hidden="false" customHeight="false" outlineLevel="0" collapsed="false">
      <c r="B26" s="5"/>
      <c r="C26" s="5"/>
      <c r="D26" s="5"/>
      <c r="E26" s="17"/>
      <c r="F26" s="17"/>
      <c r="G26" s="17"/>
      <c r="H26" s="17"/>
      <c r="I26" s="21" t="str">
        <f aca="false">IF(B26="","",N(F26)-N(H26))</f>
        <v/>
      </c>
      <c r="J26" s="7" t="str">
        <f aca="false">IF(B26="","",IF(ABS(I26)&lt;1,"Matched",IF(N(H26)=0,"Not in 26AS — ask customer to file / correct TDS return",IF(I26&gt;0,"Short in 26AS — follow up with customer","More in 26AS — check unbooked income"))))</f>
        <v/>
      </c>
    </row>
    <row r="27" customFormat="false" ht="15" hidden="false" customHeight="false" outlineLevel="0" collapsed="false">
      <c r="B27" s="5"/>
      <c r="C27" s="5"/>
      <c r="D27" s="5"/>
      <c r="E27" s="17"/>
      <c r="F27" s="17"/>
      <c r="G27" s="17"/>
      <c r="H27" s="17"/>
      <c r="I27" s="21" t="str">
        <f aca="false">IF(B27="","",N(F27)-N(H27))</f>
        <v/>
      </c>
      <c r="J27" s="7" t="str">
        <f aca="false">IF(B27="","",IF(ABS(I27)&lt;1,"Matched",IF(N(H27)=0,"Not in 26AS — ask customer to file / correct TDS return",IF(I27&gt;0,"Short in 26AS — follow up with customer","More in 26AS — check unbooked income"))))</f>
        <v/>
      </c>
    </row>
    <row r="28" customFormat="false" ht="15" hidden="false" customHeight="false" outlineLevel="0" collapsed="false">
      <c r="B28" s="5"/>
      <c r="C28" s="5"/>
      <c r="D28" s="5"/>
      <c r="E28" s="17"/>
      <c r="F28" s="17"/>
      <c r="G28" s="17"/>
      <c r="H28" s="17"/>
      <c r="I28" s="21" t="str">
        <f aca="false">IF(B28="","",N(F28)-N(H28))</f>
        <v/>
      </c>
      <c r="J28" s="7" t="str">
        <f aca="false">IF(B28="","",IF(ABS(I28)&lt;1,"Matched",IF(N(H28)=0,"Not in 26AS — ask customer to file / correct TDS return",IF(I28&gt;0,"Short in 26AS — follow up with customer","More in 26AS — check unbooked income"))))</f>
        <v/>
      </c>
    </row>
    <row r="29" customFormat="false" ht="15" hidden="false" customHeight="false" outlineLevel="0" collapsed="false">
      <c r="B29" s="5"/>
      <c r="C29" s="5"/>
      <c r="D29" s="5"/>
      <c r="E29" s="17"/>
      <c r="F29" s="17"/>
      <c r="G29" s="17"/>
      <c r="H29" s="17"/>
      <c r="I29" s="21" t="str">
        <f aca="false">IF(B29="","",N(F29)-N(H29))</f>
        <v/>
      </c>
      <c r="J29" s="7" t="str">
        <f aca="false">IF(B29="","",IF(ABS(I29)&lt;1,"Matched",IF(N(H29)=0,"Not in 26AS — ask customer to file / correct TDS return",IF(I29&gt;0,"Short in 26AS — follow up with customer","More in 26AS — check unbooked income"))))</f>
        <v/>
      </c>
    </row>
    <row r="30" customFormat="false" ht="15" hidden="false" customHeight="false" outlineLevel="0" collapsed="false">
      <c r="B30" s="5"/>
      <c r="C30" s="5"/>
      <c r="D30" s="5"/>
      <c r="E30" s="17"/>
      <c r="F30" s="17"/>
      <c r="G30" s="17"/>
      <c r="H30" s="17"/>
      <c r="I30" s="21" t="str">
        <f aca="false">IF(B30="","",N(F30)-N(H30))</f>
        <v/>
      </c>
      <c r="J30" s="7" t="str">
        <f aca="false">IF(B30="","",IF(ABS(I30)&lt;1,"Matched",IF(N(H30)=0,"Not in 26AS — ask customer to file / correct TDS return",IF(I30&gt;0,"Short in 26AS — follow up with customer","More in 26AS — check unbooked income"))))</f>
        <v/>
      </c>
    </row>
    <row r="31" customFormat="false" ht="15" hidden="false" customHeight="false" outlineLevel="0" collapsed="false">
      <c r="B31" s="5"/>
      <c r="C31" s="5"/>
      <c r="D31" s="5"/>
      <c r="E31" s="17"/>
      <c r="F31" s="17"/>
      <c r="G31" s="17"/>
      <c r="H31" s="17"/>
      <c r="I31" s="21" t="str">
        <f aca="false">IF(B31="","",N(F31)-N(H31))</f>
        <v/>
      </c>
      <c r="J31" s="7" t="str">
        <f aca="false">IF(B31="","",IF(ABS(I31)&lt;1,"Matched",IF(N(H31)=0,"Not in 26AS — ask customer to file / correct TDS return",IF(I31&gt;0,"Short in 26AS — follow up with customer","More in 26AS — check unbooked income"))))</f>
        <v/>
      </c>
    </row>
    <row r="32" customFormat="false" ht="15" hidden="false" customHeight="false" outlineLevel="0" collapsed="false">
      <c r="B32" s="5"/>
      <c r="C32" s="5"/>
      <c r="D32" s="5"/>
      <c r="E32" s="17"/>
      <c r="F32" s="17"/>
      <c r="G32" s="17"/>
      <c r="H32" s="17"/>
      <c r="I32" s="21" t="str">
        <f aca="false">IF(B32="","",N(F32)-N(H32))</f>
        <v/>
      </c>
      <c r="J32" s="7" t="str">
        <f aca="false">IF(B32="","",IF(ABS(I32)&lt;1,"Matched",IF(N(H32)=0,"Not in 26AS — ask customer to file / correct TDS return",IF(I32&gt;0,"Short in 26AS — follow up with customer","More in 26AS — check unbooked income"))))</f>
        <v/>
      </c>
    </row>
    <row r="33" customFormat="false" ht="15" hidden="false" customHeight="false" outlineLevel="0" collapsed="false">
      <c r="B33" s="5"/>
      <c r="C33" s="5"/>
      <c r="D33" s="5"/>
      <c r="E33" s="17"/>
      <c r="F33" s="17"/>
      <c r="G33" s="17"/>
      <c r="H33" s="17"/>
      <c r="I33" s="21" t="str">
        <f aca="false">IF(B33="","",N(F33)-N(H33))</f>
        <v/>
      </c>
      <c r="J33" s="7" t="str">
        <f aca="false">IF(B33="","",IF(ABS(I33)&lt;1,"Matched",IF(N(H33)=0,"Not in 26AS — ask customer to file / correct TDS return",IF(I33&gt;0,"Short in 26AS — follow up with customer","More in 26AS — check unbooked income"))))</f>
        <v/>
      </c>
    </row>
    <row r="34" customFormat="false" ht="15" hidden="false" customHeight="false" outlineLevel="0" collapsed="false">
      <c r="B34" s="5"/>
      <c r="C34" s="5"/>
      <c r="D34" s="5"/>
      <c r="E34" s="17"/>
      <c r="F34" s="17"/>
      <c r="G34" s="17"/>
      <c r="H34" s="17"/>
      <c r="I34" s="21" t="str">
        <f aca="false">IF(B34="","",N(F34)-N(H34))</f>
        <v/>
      </c>
      <c r="J34" s="7" t="str">
        <f aca="false">IF(B34="","",IF(ABS(I34)&lt;1,"Matched",IF(N(H34)=0,"Not in 26AS — ask customer to file / correct TDS return",IF(I34&gt;0,"Short in 26AS — follow up with customer","More in 26AS — check unbooked income"))))</f>
        <v/>
      </c>
    </row>
    <row r="35" customFormat="false" ht="15" hidden="false" customHeight="false" outlineLevel="0" collapsed="false">
      <c r="B35" s="5"/>
      <c r="C35" s="5"/>
      <c r="D35" s="5"/>
      <c r="E35" s="17"/>
      <c r="F35" s="17"/>
      <c r="G35" s="17"/>
      <c r="H35" s="17"/>
      <c r="I35" s="21" t="str">
        <f aca="false">IF(B35="","",N(F35)-N(H35))</f>
        <v/>
      </c>
      <c r="J35" s="7" t="str">
        <f aca="false">IF(B35="","",IF(ABS(I35)&lt;1,"Matched",IF(N(H35)=0,"Not in 26AS — ask customer to file / correct TDS return",IF(I35&gt;0,"Short in 26AS — follow up with customer","More in 26AS — check unbooked income"))))</f>
        <v/>
      </c>
    </row>
    <row r="36" customFormat="false" ht="15" hidden="false" customHeight="false" outlineLevel="0" collapsed="false">
      <c r="B36" s="5"/>
      <c r="C36" s="5"/>
      <c r="D36" s="5"/>
      <c r="E36" s="17"/>
      <c r="F36" s="17"/>
      <c r="G36" s="17"/>
      <c r="H36" s="17"/>
      <c r="I36" s="21" t="str">
        <f aca="false">IF(B36="","",N(F36)-N(H36))</f>
        <v/>
      </c>
      <c r="J36" s="7" t="str">
        <f aca="false">IF(B36="","",IF(ABS(I36)&lt;1,"Matched",IF(N(H36)=0,"Not in 26AS — ask customer to file / correct TDS return",IF(I36&gt;0,"Short in 26AS — follow up with customer","More in 26AS — check unbooked income"))))</f>
        <v/>
      </c>
    </row>
    <row r="37" customFormat="false" ht="15" hidden="false" customHeight="false" outlineLevel="0" collapsed="false">
      <c r="B37" s="5"/>
      <c r="C37" s="5"/>
      <c r="D37" s="5"/>
      <c r="E37" s="17"/>
      <c r="F37" s="17"/>
      <c r="G37" s="17"/>
      <c r="H37" s="17"/>
      <c r="I37" s="21" t="str">
        <f aca="false">IF(B37="","",N(F37)-N(H37))</f>
        <v/>
      </c>
      <c r="J37" s="7" t="str">
        <f aca="false">IF(B37="","",IF(ABS(I37)&lt;1,"Matched",IF(N(H37)=0,"Not in 26AS — ask customer to file / correct TDS return",IF(I37&gt;0,"Short in 26AS — follow up with customer","More in 26AS — check unbooked income"))))</f>
        <v/>
      </c>
    </row>
    <row r="38" customFormat="false" ht="15" hidden="false" customHeight="false" outlineLevel="0" collapsed="false">
      <c r="B38" s="5"/>
      <c r="C38" s="5"/>
      <c r="D38" s="5"/>
      <c r="E38" s="17"/>
      <c r="F38" s="17"/>
      <c r="G38" s="17"/>
      <c r="H38" s="17"/>
      <c r="I38" s="21" t="str">
        <f aca="false">IF(B38="","",N(F38)-N(H38))</f>
        <v/>
      </c>
      <c r="J38" s="7" t="str">
        <f aca="false">IF(B38="","",IF(ABS(I38)&lt;1,"Matched",IF(N(H38)=0,"Not in 26AS — ask customer to file / correct TDS return",IF(I38&gt;0,"Short in 26AS — follow up with customer","More in 26AS — check unbooked income"))))</f>
        <v/>
      </c>
    </row>
    <row r="39" customFormat="false" ht="15" hidden="false" customHeight="false" outlineLevel="0" collapsed="false">
      <c r="B39" s="5"/>
      <c r="C39" s="5"/>
      <c r="D39" s="5"/>
      <c r="E39" s="17"/>
      <c r="F39" s="17"/>
      <c r="G39" s="17"/>
      <c r="H39" s="17"/>
      <c r="I39" s="21" t="str">
        <f aca="false">IF(B39="","",N(F39)-N(H39))</f>
        <v/>
      </c>
      <c r="J39" s="7" t="str">
        <f aca="false">IF(B39="","",IF(ABS(I39)&lt;1,"Matched",IF(N(H39)=0,"Not in 26AS — ask customer to file / correct TDS return",IF(I39&gt;0,"Short in 26AS — follow up with customer","More in 26AS — check unbooked income"))))</f>
        <v/>
      </c>
    </row>
    <row r="40" customFormat="false" ht="15" hidden="false" customHeight="false" outlineLevel="0" collapsed="false">
      <c r="B40" s="5"/>
      <c r="C40" s="5"/>
      <c r="D40" s="5"/>
      <c r="E40" s="17"/>
      <c r="F40" s="17"/>
      <c r="G40" s="17"/>
      <c r="H40" s="17"/>
      <c r="I40" s="21" t="str">
        <f aca="false">IF(B40="","",N(F40)-N(H40))</f>
        <v/>
      </c>
      <c r="J40" s="7" t="str">
        <f aca="false">IF(B40="","",IF(ABS(I40)&lt;1,"Matched",IF(N(H40)=0,"Not in 26AS — ask customer to file / correct TDS return",IF(I40&gt;0,"Short in 26AS — follow up with customer","More in 26AS — check unbooked income"))))</f>
        <v/>
      </c>
    </row>
    <row r="41" customFormat="false" ht="15" hidden="false" customHeight="false" outlineLevel="0" collapsed="false">
      <c r="B41" s="5"/>
      <c r="C41" s="5"/>
      <c r="D41" s="5"/>
      <c r="E41" s="17"/>
      <c r="F41" s="17"/>
      <c r="G41" s="17"/>
      <c r="H41" s="17"/>
      <c r="I41" s="21" t="str">
        <f aca="false">IF(B41="","",N(F41)-N(H41))</f>
        <v/>
      </c>
      <c r="J41" s="7" t="str">
        <f aca="false">IF(B41="","",IF(ABS(I41)&lt;1,"Matched",IF(N(H41)=0,"Not in 26AS — ask customer to file / correct TDS return",IF(I41&gt;0,"Short in 26AS — follow up with customer","More in 26AS — check unbooked income"))))</f>
        <v/>
      </c>
    </row>
    <row r="42" customFormat="false" ht="15" hidden="false" customHeight="false" outlineLevel="0" collapsed="false">
      <c r="B42" s="5"/>
      <c r="C42" s="5"/>
      <c r="D42" s="5"/>
      <c r="E42" s="17"/>
      <c r="F42" s="17"/>
      <c r="G42" s="17"/>
      <c r="H42" s="17"/>
      <c r="I42" s="21" t="str">
        <f aca="false">IF(B42="","",N(F42)-N(H42))</f>
        <v/>
      </c>
      <c r="J42" s="7" t="str">
        <f aca="false">IF(B42="","",IF(ABS(I42)&lt;1,"Matched",IF(N(H42)=0,"Not in 26AS — ask customer to file / correct TDS return",IF(I42&gt;0,"Short in 26AS — follow up with customer","More in 26AS — check unbooked income"))))</f>
        <v/>
      </c>
    </row>
    <row r="43" customFormat="false" ht="15" hidden="false" customHeight="false" outlineLevel="0" collapsed="false">
      <c r="B43" s="5"/>
      <c r="C43" s="5"/>
      <c r="D43" s="5"/>
      <c r="E43" s="17"/>
      <c r="F43" s="17"/>
      <c r="G43" s="17"/>
      <c r="H43" s="17"/>
      <c r="I43" s="21" t="str">
        <f aca="false">IF(B43="","",N(F43)-N(H43))</f>
        <v/>
      </c>
      <c r="J43" s="7" t="str">
        <f aca="false">IF(B43="","",IF(ABS(I43)&lt;1,"Matched",IF(N(H43)=0,"Not in 26AS — ask customer to file / correct TDS return",IF(I43&gt;0,"Short in 26AS — follow up with customer","More in 26AS — check unbooked income"))))</f>
        <v/>
      </c>
    </row>
    <row r="44" customFormat="false" ht="15" hidden="false" customHeight="false" outlineLevel="0" collapsed="false">
      <c r="B44" s="5"/>
      <c r="C44" s="5"/>
      <c r="D44" s="5"/>
      <c r="E44" s="17"/>
      <c r="F44" s="17"/>
      <c r="G44" s="17"/>
      <c r="H44" s="17"/>
      <c r="I44" s="21" t="str">
        <f aca="false">IF(B44="","",N(F44)-N(H44))</f>
        <v/>
      </c>
      <c r="J44" s="7" t="str">
        <f aca="false">IF(B44="","",IF(ABS(I44)&lt;1,"Matched",IF(N(H44)=0,"Not in 26AS — ask customer to file / correct TDS return",IF(I44&gt;0,"Short in 26AS — follow up with customer","More in 26AS — check unbooked income"))))</f>
        <v/>
      </c>
    </row>
    <row r="45" customFormat="false" ht="15" hidden="false" customHeight="false" outlineLevel="0" collapsed="false">
      <c r="B45" s="5"/>
      <c r="C45" s="5"/>
      <c r="D45" s="5"/>
      <c r="E45" s="17"/>
      <c r="F45" s="17"/>
      <c r="G45" s="17"/>
      <c r="H45" s="17"/>
      <c r="I45" s="21" t="str">
        <f aca="false">IF(B45="","",N(F45)-N(H45))</f>
        <v/>
      </c>
      <c r="J45" s="7" t="str">
        <f aca="false">IF(B45="","",IF(ABS(I45)&lt;1,"Matched",IF(N(H45)=0,"Not in 26AS — ask customer to file / correct TDS return",IF(I45&gt;0,"Short in 26AS — follow up with customer","More in 26AS — check unbooked income"))))</f>
        <v/>
      </c>
    </row>
    <row r="46" customFormat="false" ht="15" hidden="false" customHeight="false" outlineLevel="0" collapsed="false">
      <c r="B46" s="5"/>
      <c r="C46" s="5"/>
      <c r="D46" s="5"/>
      <c r="E46" s="17"/>
      <c r="F46" s="17"/>
      <c r="G46" s="17"/>
      <c r="H46" s="17"/>
      <c r="I46" s="21" t="str">
        <f aca="false">IF(B46="","",N(F46)-N(H46))</f>
        <v/>
      </c>
      <c r="J46" s="7" t="str">
        <f aca="false">IF(B46="","",IF(ABS(I46)&lt;1,"Matched",IF(N(H46)=0,"Not in 26AS — ask customer to file / correct TDS return",IF(I46&gt;0,"Short in 26AS — follow up with customer","More in 26AS — check unbooked income"))))</f>
        <v/>
      </c>
    </row>
    <row r="47" customFormat="false" ht="15" hidden="false" customHeight="false" outlineLevel="0" collapsed="false">
      <c r="B47" s="5"/>
      <c r="C47" s="5"/>
      <c r="D47" s="5"/>
      <c r="E47" s="17"/>
      <c r="F47" s="17"/>
      <c r="G47" s="17"/>
      <c r="H47" s="17"/>
      <c r="I47" s="21" t="str">
        <f aca="false">IF(B47="","",N(F47)-N(H47))</f>
        <v/>
      </c>
      <c r="J47" s="7" t="str">
        <f aca="false">IF(B47="","",IF(ABS(I47)&lt;1,"Matched",IF(N(H47)=0,"Not in 26AS — ask customer to file / correct TDS return",IF(I47&gt;0,"Short in 26AS — follow up with customer","More in 26AS — check unbooked income"))))</f>
        <v/>
      </c>
    </row>
    <row r="48" customFormat="false" ht="15" hidden="false" customHeight="false" outlineLevel="0" collapsed="false">
      <c r="B48" s="5"/>
      <c r="C48" s="5"/>
      <c r="D48" s="5"/>
      <c r="E48" s="17"/>
      <c r="F48" s="17"/>
      <c r="G48" s="17"/>
      <c r="H48" s="17"/>
      <c r="I48" s="21" t="str">
        <f aca="false">IF(B48="","",N(F48)-N(H48))</f>
        <v/>
      </c>
      <c r="J48" s="7" t="str">
        <f aca="false">IF(B48="","",IF(ABS(I48)&lt;1,"Matched",IF(N(H48)=0,"Not in 26AS — ask customer to file / correct TDS return",IF(I48&gt;0,"Short in 26AS — follow up with customer","More in 26AS — check unbooked income"))))</f>
        <v/>
      </c>
    </row>
    <row r="49" customFormat="false" ht="15" hidden="false" customHeight="false" outlineLevel="0" collapsed="false">
      <c r="B49" s="5"/>
      <c r="C49" s="5"/>
      <c r="D49" s="5"/>
      <c r="E49" s="17"/>
      <c r="F49" s="17"/>
      <c r="G49" s="17"/>
      <c r="H49" s="17"/>
      <c r="I49" s="21" t="str">
        <f aca="false">IF(B49="","",N(F49)-N(H49))</f>
        <v/>
      </c>
      <c r="J49" s="7" t="str">
        <f aca="false">IF(B49="","",IF(ABS(I49)&lt;1,"Matched",IF(N(H49)=0,"Not in 26AS — ask customer to file / correct TDS return",IF(I49&gt;0,"Short in 26AS — follow up with customer","More in 26AS — check unbooked income"))))</f>
        <v/>
      </c>
    </row>
    <row r="50" customFormat="false" ht="15" hidden="false" customHeight="false" outlineLevel="0" collapsed="false">
      <c r="B50" s="5"/>
      <c r="C50" s="5"/>
      <c r="D50" s="5"/>
      <c r="E50" s="17"/>
      <c r="F50" s="17"/>
      <c r="G50" s="17"/>
      <c r="H50" s="17"/>
      <c r="I50" s="21" t="str">
        <f aca="false">IF(B50="","",N(F50)-N(H50))</f>
        <v/>
      </c>
      <c r="J50" s="7" t="str">
        <f aca="false">IF(B50="","",IF(ABS(I50)&lt;1,"Matched",IF(N(H50)=0,"Not in 26AS — ask customer to file / correct TDS return",IF(I50&gt;0,"Short in 26AS — follow up with customer","More in 26AS — check unbooked income"))))</f>
        <v/>
      </c>
    </row>
    <row r="51" customFormat="false" ht="15" hidden="false" customHeight="false" outlineLevel="0" collapsed="false">
      <c r="B51" s="5"/>
      <c r="C51" s="5"/>
      <c r="D51" s="5"/>
      <c r="E51" s="17"/>
      <c r="F51" s="17"/>
      <c r="G51" s="17"/>
      <c r="H51" s="17"/>
      <c r="I51" s="21" t="str">
        <f aca="false">IF(B51="","",N(F51)-N(H51))</f>
        <v/>
      </c>
      <c r="J51" s="7" t="str">
        <f aca="false">IF(B51="","",IF(ABS(I51)&lt;1,"Matched",IF(N(H51)=0,"Not in 26AS — ask customer to file / correct TDS return",IF(I51&gt;0,"Short in 26AS — follow up with customer","More in 26AS — check unbooked income"))))</f>
        <v/>
      </c>
    </row>
    <row r="52" customFormat="false" ht="15" hidden="false" customHeight="false" outlineLevel="0" collapsed="false">
      <c r="B52" s="5"/>
      <c r="C52" s="5"/>
      <c r="D52" s="5"/>
      <c r="E52" s="17"/>
      <c r="F52" s="17"/>
      <c r="G52" s="17"/>
      <c r="H52" s="17"/>
      <c r="I52" s="21" t="str">
        <f aca="false">IF(B52="","",N(F52)-N(H52))</f>
        <v/>
      </c>
      <c r="J52" s="7" t="str">
        <f aca="false">IF(B52="","",IF(ABS(I52)&lt;1,"Matched",IF(N(H52)=0,"Not in 26AS — ask customer to file / correct TDS return",IF(I52&gt;0,"Short in 26AS — follow up with customer","More in 26AS — check unbooked income"))))</f>
        <v/>
      </c>
    </row>
    <row r="53" customFormat="false" ht="15" hidden="false" customHeight="false" outlineLevel="0" collapsed="false">
      <c r="B53" s="5"/>
      <c r="C53" s="5"/>
      <c r="D53" s="5"/>
      <c r="E53" s="17"/>
      <c r="F53" s="17"/>
      <c r="G53" s="17"/>
      <c r="H53" s="17"/>
      <c r="I53" s="21" t="str">
        <f aca="false">IF(B53="","",N(F53)-N(H53))</f>
        <v/>
      </c>
      <c r="J53" s="7" t="str">
        <f aca="false">IF(B53="","",IF(ABS(I53)&lt;1,"Matched",IF(N(H53)=0,"Not in 26AS — ask customer to file / correct TDS return",IF(I53&gt;0,"Short in 26AS — follow up with customer","More in 26AS — check unbooked income"))))</f>
        <v/>
      </c>
    </row>
    <row r="54" customFormat="false" ht="15" hidden="false" customHeight="false" outlineLevel="0" collapsed="false">
      <c r="B54" s="5"/>
      <c r="C54" s="5"/>
      <c r="D54" s="5"/>
      <c r="E54" s="17"/>
      <c r="F54" s="17"/>
      <c r="G54" s="17"/>
      <c r="H54" s="17"/>
      <c r="I54" s="21" t="str">
        <f aca="false">IF(B54="","",N(F54)-N(H54))</f>
        <v/>
      </c>
      <c r="J54" s="7" t="str">
        <f aca="false">IF(B54="","",IF(ABS(I54)&lt;1,"Matched",IF(N(H54)=0,"Not in 26AS — ask customer to file / correct TDS return",IF(I54&gt;0,"Short in 26AS — follow up with customer","More in 26AS — check unbooked income"))))</f>
        <v/>
      </c>
    </row>
    <row r="55" customFormat="false" ht="15" hidden="false" customHeight="false" outlineLevel="0" collapsed="false">
      <c r="B55" s="5"/>
      <c r="C55" s="5"/>
      <c r="D55" s="5"/>
      <c r="E55" s="17"/>
      <c r="F55" s="17"/>
      <c r="G55" s="17"/>
      <c r="H55" s="17"/>
      <c r="I55" s="21" t="str">
        <f aca="false">IF(B55="","",N(F55)-N(H55))</f>
        <v/>
      </c>
      <c r="J55" s="7" t="str">
        <f aca="false">IF(B55="","",IF(ABS(I55)&lt;1,"Matched",IF(N(H55)=0,"Not in 26AS — ask customer to file / correct TDS return",IF(I55&gt;0,"Short in 26AS — follow up with customer","More in 26AS — check unbooked income"))))</f>
        <v/>
      </c>
    </row>
    <row r="56" customFormat="false" ht="15" hidden="false" customHeight="false" outlineLevel="0" collapsed="false">
      <c r="B56" s="5"/>
      <c r="C56" s="5"/>
      <c r="D56" s="5"/>
      <c r="E56" s="17"/>
      <c r="F56" s="17"/>
      <c r="G56" s="17"/>
      <c r="H56" s="17"/>
      <c r="I56" s="21" t="str">
        <f aca="false">IF(B56="","",N(F56)-N(H56))</f>
        <v/>
      </c>
      <c r="J56" s="7" t="str">
        <f aca="false">IF(B56="","",IF(ABS(I56)&lt;1,"Matched",IF(N(H56)=0,"Not in 26AS — ask customer to file / correct TDS return",IF(I56&gt;0,"Short in 26AS — follow up with customer","More in 26AS — check unbooked income"))))</f>
        <v/>
      </c>
    </row>
    <row r="57" customFormat="false" ht="15" hidden="false" customHeight="false" outlineLevel="0" collapsed="false">
      <c r="B57" s="5"/>
      <c r="C57" s="5"/>
      <c r="D57" s="5"/>
      <c r="E57" s="17"/>
      <c r="F57" s="17"/>
      <c r="G57" s="17"/>
      <c r="H57" s="17"/>
      <c r="I57" s="21" t="str">
        <f aca="false">IF(B57="","",N(F57)-N(H57))</f>
        <v/>
      </c>
      <c r="J57" s="7" t="str">
        <f aca="false">IF(B57="","",IF(ABS(I57)&lt;1,"Matched",IF(N(H57)=0,"Not in 26AS — ask customer to file / correct TDS return",IF(I57&gt;0,"Short in 26AS — follow up with customer","More in 26AS — check unbooked income"))))</f>
        <v/>
      </c>
    </row>
    <row r="58" customFormat="false" ht="15" hidden="false" customHeight="false" outlineLevel="0" collapsed="false">
      <c r="B58" s="5"/>
      <c r="C58" s="5"/>
      <c r="D58" s="5"/>
      <c r="E58" s="17"/>
      <c r="F58" s="17"/>
      <c r="G58" s="17"/>
      <c r="H58" s="17"/>
      <c r="I58" s="21" t="str">
        <f aca="false">IF(B58="","",N(F58)-N(H58))</f>
        <v/>
      </c>
      <c r="J58" s="7" t="str">
        <f aca="false">IF(B58="","",IF(ABS(I58)&lt;1,"Matched",IF(N(H58)=0,"Not in 26AS — ask customer to file / correct TDS return",IF(I58&gt;0,"Short in 26AS — follow up with customer","More in 26AS — check unbooked income"))))</f>
        <v/>
      </c>
    </row>
    <row r="59" customFormat="false" ht="15" hidden="false" customHeight="false" outlineLevel="0" collapsed="false">
      <c r="B59" s="5"/>
      <c r="C59" s="5"/>
      <c r="D59" s="5"/>
      <c r="E59" s="17"/>
      <c r="F59" s="17"/>
      <c r="G59" s="17"/>
      <c r="H59" s="17"/>
      <c r="I59" s="21" t="str">
        <f aca="false">IF(B59="","",N(F59)-N(H59))</f>
        <v/>
      </c>
      <c r="J59" s="7" t="str">
        <f aca="false">IF(B59="","",IF(ABS(I59)&lt;1,"Matched",IF(N(H59)=0,"Not in 26AS — ask customer to file / correct TDS return",IF(I59&gt;0,"Short in 26AS — follow up with customer","More in 26AS — check unbooked income"))))</f>
        <v/>
      </c>
    </row>
    <row r="60" customFormat="false" ht="15" hidden="false" customHeight="false" outlineLevel="0" collapsed="false">
      <c r="B60" s="5"/>
      <c r="C60" s="5"/>
      <c r="D60" s="5"/>
      <c r="E60" s="17"/>
      <c r="F60" s="17"/>
      <c r="G60" s="17"/>
      <c r="H60" s="17"/>
      <c r="I60" s="21" t="str">
        <f aca="false">IF(B60="","",N(F60)-N(H60))</f>
        <v/>
      </c>
      <c r="J60" s="7" t="str">
        <f aca="false">IF(B60="","",IF(ABS(I60)&lt;1,"Matched",IF(N(H60)=0,"Not in 26AS — ask customer to file / correct TDS return",IF(I60&gt;0,"Short in 26AS — follow up with customer","More in 26AS — check unbooked income"))))</f>
        <v/>
      </c>
    </row>
    <row r="61" customFormat="false" ht="15" hidden="false" customHeight="false" outlineLevel="0" collapsed="false">
      <c r="B61" s="5"/>
      <c r="C61" s="5"/>
      <c r="D61" s="5"/>
      <c r="E61" s="17"/>
      <c r="F61" s="17"/>
      <c r="G61" s="17"/>
      <c r="H61" s="17"/>
      <c r="I61" s="21" t="str">
        <f aca="false">IF(B61="","",N(F61)-N(H61))</f>
        <v/>
      </c>
      <c r="J61" s="7" t="str">
        <f aca="false">IF(B61="","",IF(ABS(I61)&lt;1,"Matched",IF(N(H61)=0,"Not in 26AS — ask customer to file / correct TDS return",IF(I61&gt;0,"Short in 26AS — follow up with customer","More in 26AS — check unbooked income"))))</f>
        <v/>
      </c>
    </row>
    <row r="62" customFormat="false" ht="15" hidden="false" customHeight="false" outlineLevel="0" collapsed="false">
      <c r="B62" s="5"/>
      <c r="C62" s="5"/>
      <c r="D62" s="5"/>
      <c r="E62" s="17"/>
      <c r="F62" s="17"/>
      <c r="G62" s="17"/>
      <c r="H62" s="17"/>
      <c r="I62" s="21" t="str">
        <f aca="false">IF(B62="","",N(F62)-N(H62))</f>
        <v/>
      </c>
      <c r="J62" s="7" t="str">
        <f aca="false">IF(B62="","",IF(ABS(I62)&lt;1,"Matched",IF(N(H62)=0,"Not in 26AS — ask customer to file / correct TDS return",IF(I62&gt;0,"Short in 26AS — follow up with customer","More in 26AS — check unbooked income"))))</f>
        <v/>
      </c>
    </row>
    <row r="63" customFormat="false" ht="15" hidden="false" customHeight="false" outlineLevel="0" collapsed="false">
      <c r="B63" s="5"/>
      <c r="C63" s="5"/>
      <c r="D63" s="5"/>
      <c r="E63" s="17"/>
      <c r="F63" s="17"/>
      <c r="G63" s="17"/>
      <c r="H63" s="17"/>
      <c r="I63" s="21" t="str">
        <f aca="false">IF(B63="","",N(F63)-N(H63))</f>
        <v/>
      </c>
      <c r="J63" s="7" t="str">
        <f aca="false">IF(B63="","",IF(ABS(I63)&lt;1,"Matched",IF(N(H63)=0,"Not in 26AS — ask customer to file / correct TDS return",IF(I63&gt;0,"Short in 26AS — follow up with customer","More in 26AS — check unbooked income"))))</f>
        <v/>
      </c>
    </row>
    <row r="64" customFormat="false" ht="15" hidden="false" customHeight="false" outlineLevel="0" collapsed="false">
      <c r="B64" s="5"/>
      <c r="C64" s="5"/>
      <c r="D64" s="5"/>
      <c r="E64" s="17"/>
      <c r="F64" s="17"/>
      <c r="G64" s="17"/>
      <c r="H64" s="17"/>
      <c r="I64" s="21" t="str">
        <f aca="false">IF(B64="","",N(F64)-N(H64))</f>
        <v/>
      </c>
      <c r="J64" s="7" t="str">
        <f aca="false">IF(B64="","",IF(ABS(I64)&lt;1,"Matched",IF(N(H64)=0,"Not in 26AS — ask customer to file / correct TDS return",IF(I64&gt;0,"Short in 26AS — follow up with customer","More in 26AS — check unbooked income"))))</f>
        <v/>
      </c>
    </row>
    <row r="65" customFormat="false" ht="15" hidden="false" customHeight="false" outlineLevel="0" collapsed="false">
      <c r="B65" s="5"/>
      <c r="C65" s="5"/>
      <c r="D65" s="5"/>
      <c r="E65" s="17"/>
      <c r="F65" s="17"/>
      <c r="G65" s="17"/>
      <c r="H65" s="17"/>
      <c r="I65" s="21" t="str">
        <f aca="false">IF(B65="","",N(F65)-N(H65))</f>
        <v/>
      </c>
      <c r="J65" s="7" t="str">
        <f aca="false">IF(B65="","",IF(ABS(I65)&lt;1,"Matched",IF(N(H65)=0,"Not in 26AS — ask customer to file / correct TDS return",IF(I65&gt;0,"Short in 26AS — follow up with customer","More in 26AS — check unbooked income"))))</f>
        <v/>
      </c>
    </row>
    <row r="66" customFormat="false" ht="15" hidden="false" customHeight="false" outlineLevel="0" collapsed="false">
      <c r="B66" s="5"/>
      <c r="C66" s="5"/>
      <c r="D66" s="5"/>
      <c r="E66" s="17"/>
      <c r="F66" s="17"/>
      <c r="G66" s="17"/>
      <c r="H66" s="17"/>
      <c r="I66" s="21" t="str">
        <f aca="false">IF(B66="","",N(F66)-N(H66))</f>
        <v/>
      </c>
      <c r="J66" s="7" t="str">
        <f aca="false">IF(B66="","",IF(ABS(I66)&lt;1,"Matched",IF(N(H66)=0,"Not in 26AS — ask customer to file / correct TDS return",IF(I66&gt;0,"Short in 26AS — follow up with customer","More in 26AS — check unbooked income"))))</f>
        <v/>
      </c>
    </row>
    <row r="67" customFormat="false" ht="15" hidden="false" customHeight="false" outlineLevel="0" collapsed="false">
      <c r="B67" s="5"/>
      <c r="C67" s="5"/>
      <c r="D67" s="5"/>
      <c r="E67" s="17"/>
      <c r="F67" s="17"/>
      <c r="G67" s="17"/>
      <c r="H67" s="17"/>
      <c r="I67" s="21" t="str">
        <f aca="false">IF(B67="","",N(F67)-N(H67))</f>
        <v/>
      </c>
      <c r="J67" s="7" t="str">
        <f aca="false">IF(B67="","",IF(ABS(I67)&lt;1,"Matched",IF(N(H67)=0,"Not in 26AS — ask customer to file / correct TDS return",IF(I67&gt;0,"Short in 26AS — follow up with customer","More in 26AS — check unbooked income"))))</f>
        <v/>
      </c>
    </row>
    <row r="68" customFormat="false" ht="15" hidden="false" customHeight="false" outlineLevel="0" collapsed="false">
      <c r="B68" s="5"/>
      <c r="C68" s="5"/>
      <c r="D68" s="5"/>
      <c r="E68" s="17"/>
      <c r="F68" s="17"/>
      <c r="G68" s="17"/>
      <c r="H68" s="17"/>
      <c r="I68" s="21" t="str">
        <f aca="false">IF(B68="","",N(F68)-N(H68))</f>
        <v/>
      </c>
      <c r="J68" s="7" t="str">
        <f aca="false">IF(B68="","",IF(ABS(I68)&lt;1,"Matched",IF(N(H68)=0,"Not in 26AS — ask customer to file / correct TDS return",IF(I68&gt;0,"Short in 26AS — follow up with customer","More in 26AS — check unbooked income"))))</f>
        <v/>
      </c>
    </row>
    <row r="69" customFormat="false" ht="15" hidden="false" customHeight="false" outlineLevel="0" collapsed="false">
      <c r="B69" s="5"/>
      <c r="C69" s="5"/>
      <c r="D69" s="5"/>
      <c r="E69" s="17"/>
      <c r="F69" s="17"/>
      <c r="G69" s="17"/>
      <c r="H69" s="17"/>
      <c r="I69" s="21" t="str">
        <f aca="false">IF(B69="","",N(F69)-N(H69))</f>
        <v/>
      </c>
      <c r="J69" s="7" t="str">
        <f aca="false">IF(B69="","",IF(ABS(I69)&lt;1,"Matched",IF(N(H69)=0,"Not in 26AS — ask customer to file / correct TDS return",IF(I69&gt;0,"Short in 26AS — follow up with customer","More in 26AS — check unbooked income"))))</f>
        <v/>
      </c>
    </row>
    <row r="70" customFormat="false" ht="15" hidden="false" customHeight="false" outlineLevel="0" collapsed="false">
      <c r="B70" s="5"/>
      <c r="C70" s="5"/>
      <c r="D70" s="5"/>
      <c r="E70" s="17"/>
      <c r="F70" s="17"/>
      <c r="G70" s="17"/>
      <c r="H70" s="17"/>
      <c r="I70" s="21" t="str">
        <f aca="false">IF(B70="","",N(F70)-N(H70))</f>
        <v/>
      </c>
      <c r="J70" s="7" t="str">
        <f aca="false">IF(B70="","",IF(ABS(I70)&lt;1,"Matched",IF(N(H70)=0,"Not in 26AS — ask customer to file / correct TDS return",IF(I70&gt;0,"Short in 26AS — follow up with customer","More in 26AS — check unbooked income"))))</f>
        <v/>
      </c>
    </row>
    <row r="71" customFormat="false" ht="15" hidden="false" customHeight="false" outlineLevel="0" collapsed="false">
      <c r="B71" s="5"/>
      <c r="C71" s="5"/>
      <c r="D71" s="5"/>
      <c r="E71" s="17"/>
      <c r="F71" s="17"/>
      <c r="G71" s="17"/>
      <c r="H71" s="17"/>
      <c r="I71" s="21" t="str">
        <f aca="false">IF(B71="","",N(F71)-N(H71))</f>
        <v/>
      </c>
      <c r="J71" s="7" t="str">
        <f aca="false">IF(B71="","",IF(ABS(I71)&lt;1,"Matched",IF(N(H71)=0,"Not in 26AS — ask customer to file / correct TDS return",IF(I71&gt;0,"Short in 26AS — follow up with customer","More in 26AS — check unbooked income"))))</f>
        <v/>
      </c>
    </row>
    <row r="72" customFormat="false" ht="15" hidden="false" customHeight="false" outlineLevel="0" collapsed="false">
      <c r="B72" s="5"/>
      <c r="C72" s="5"/>
      <c r="D72" s="5"/>
      <c r="E72" s="17"/>
      <c r="F72" s="17"/>
      <c r="G72" s="17"/>
      <c r="H72" s="17"/>
      <c r="I72" s="21" t="str">
        <f aca="false">IF(B72="","",N(F72)-N(H72))</f>
        <v/>
      </c>
      <c r="J72" s="7" t="str">
        <f aca="false">IF(B72="","",IF(ABS(I72)&lt;1,"Matched",IF(N(H72)=0,"Not in 26AS — ask customer to file / correct TDS return",IF(I72&gt;0,"Short in 26AS — follow up with customer","More in 26AS — check unbooked income"))))</f>
        <v/>
      </c>
    </row>
    <row r="73" customFormat="false" ht="15" hidden="false" customHeight="false" outlineLevel="0" collapsed="false">
      <c r="B73" s="5"/>
      <c r="C73" s="5"/>
      <c r="D73" s="5"/>
      <c r="E73" s="17"/>
      <c r="F73" s="17"/>
      <c r="G73" s="17"/>
      <c r="H73" s="17"/>
      <c r="I73" s="21" t="str">
        <f aca="false">IF(B73="","",N(F73)-N(H73))</f>
        <v/>
      </c>
      <c r="J73" s="7" t="str">
        <f aca="false">IF(B73="","",IF(ABS(I73)&lt;1,"Matched",IF(N(H73)=0,"Not in 26AS — ask customer to file / correct TDS return",IF(I73&gt;0,"Short in 26AS — follow up with customer","More in 26AS — check unbooked income"))))</f>
        <v/>
      </c>
    </row>
    <row r="74" customFormat="false" ht="15" hidden="false" customHeight="false" outlineLevel="0" collapsed="false">
      <c r="B74" s="5"/>
      <c r="C74" s="5"/>
      <c r="D74" s="5"/>
      <c r="E74" s="17"/>
      <c r="F74" s="17"/>
      <c r="G74" s="17"/>
      <c r="H74" s="17"/>
      <c r="I74" s="21" t="str">
        <f aca="false">IF(B74="","",N(F74)-N(H74))</f>
        <v/>
      </c>
      <c r="J74" s="7" t="str">
        <f aca="false">IF(B74="","",IF(ABS(I74)&lt;1,"Matched",IF(N(H74)=0,"Not in 26AS — ask customer to file / correct TDS return",IF(I74&gt;0,"Short in 26AS — follow up with customer","More in 26AS — check unbooked income"))))</f>
        <v/>
      </c>
    </row>
    <row r="75" customFormat="false" ht="15" hidden="false" customHeight="false" outlineLevel="0" collapsed="false">
      <c r="B75" s="5"/>
      <c r="C75" s="5"/>
      <c r="D75" s="5"/>
      <c r="E75" s="17"/>
      <c r="F75" s="17"/>
      <c r="G75" s="17"/>
      <c r="H75" s="17"/>
      <c r="I75" s="21" t="str">
        <f aca="false">IF(B75="","",N(F75)-N(H75))</f>
        <v/>
      </c>
      <c r="J75" s="7" t="str">
        <f aca="false">IF(B75="","",IF(ABS(I75)&lt;1,"Matched",IF(N(H75)=0,"Not in 26AS — ask customer to file / correct TDS return",IF(I75&gt;0,"Short in 26AS — follow up with customer","More in 26AS — check unbooked income"))))</f>
        <v/>
      </c>
    </row>
    <row r="76" customFormat="false" ht="15" hidden="false" customHeight="false" outlineLevel="0" collapsed="false">
      <c r="B76" s="5"/>
      <c r="C76" s="5"/>
      <c r="D76" s="5"/>
      <c r="E76" s="17"/>
      <c r="F76" s="17"/>
      <c r="G76" s="17"/>
      <c r="H76" s="17"/>
      <c r="I76" s="21" t="str">
        <f aca="false">IF(B76="","",N(F76)-N(H76))</f>
        <v/>
      </c>
      <c r="J76" s="7" t="str">
        <f aca="false">IF(B76="","",IF(ABS(I76)&lt;1,"Matched",IF(N(H76)=0,"Not in 26AS — ask customer to file / correct TDS return",IF(I76&gt;0,"Short in 26AS — follow up with customer","More in 26AS — check unbooked income"))))</f>
        <v/>
      </c>
    </row>
    <row r="77" customFormat="false" ht="15" hidden="false" customHeight="false" outlineLevel="0" collapsed="false">
      <c r="B77" s="5"/>
      <c r="C77" s="5"/>
      <c r="D77" s="5"/>
      <c r="E77" s="17"/>
      <c r="F77" s="17"/>
      <c r="G77" s="17"/>
      <c r="H77" s="17"/>
      <c r="I77" s="21" t="str">
        <f aca="false">IF(B77="","",N(F77)-N(H77))</f>
        <v/>
      </c>
      <c r="J77" s="7" t="str">
        <f aca="false">IF(B77="","",IF(ABS(I77)&lt;1,"Matched",IF(N(H77)=0,"Not in 26AS — ask customer to file / correct TDS return",IF(I77&gt;0,"Short in 26AS — follow up with customer","More in 26AS — check unbooked income"))))</f>
        <v/>
      </c>
    </row>
    <row r="78" customFormat="false" ht="15" hidden="false" customHeight="false" outlineLevel="0" collapsed="false">
      <c r="B78" s="5"/>
      <c r="C78" s="5"/>
      <c r="D78" s="5"/>
      <c r="E78" s="17"/>
      <c r="F78" s="17"/>
      <c r="G78" s="17"/>
      <c r="H78" s="17"/>
      <c r="I78" s="21" t="str">
        <f aca="false">IF(B78="","",N(F78)-N(H78))</f>
        <v/>
      </c>
      <c r="J78" s="7" t="str">
        <f aca="false">IF(B78="","",IF(ABS(I78)&lt;1,"Matched",IF(N(H78)=0,"Not in 26AS — ask customer to file / correct TDS return",IF(I78&gt;0,"Short in 26AS — follow up with customer","More in 26AS — check unbooked income"))))</f>
        <v/>
      </c>
    </row>
    <row r="79" customFormat="false" ht="15" hidden="false" customHeight="false" outlineLevel="0" collapsed="false">
      <c r="B79" s="5"/>
      <c r="C79" s="5"/>
      <c r="D79" s="5"/>
      <c r="E79" s="17"/>
      <c r="F79" s="17"/>
      <c r="G79" s="17"/>
      <c r="H79" s="17"/>
      <c r="I79" s="21" t="str">
        <f aca="false">IF(B79="","",N(F79)-N(H79))</f>
        <v/>
      </c>
      <c r="J79" s="7" t="str">
        <f aca="false">IF(B79="","",IF(ABS(I79)&lt;1,"Matched",IF(N(H79)=0,"Not in 26AS — ask customer to file / correct TDS return",IF(I79&gt;0,"Short in 26AS — follow up with customer","More in 26AS — check unbooked income"))))</f>
        <v/>
      </c>
    </row>
    <row r="80" customFormat="false" ht="15" hidden="false" customHeight="false" outlineLevel="0" collapsed="false">
      <c r="B80" s="5"/>
      <c r="C80" s="5"/>
      <c r="D80" s="5"/>
      <c r="E80" s="17"/>
      <c r="F80" s="17"/>
      <c r="G80" s="17"/>
      <c r="H80" s="17"/>
      <c r="I80" s="21" t="str">
        <f aca="false">IF(B80="","",N(F80)-N(H80))</f>
        <v/>
      </c>
      <c r="J80" s="7" t="str">
        <f aca="false">IF(B80="","",IF(ABS(I80)&lt;1,"Matched",IF(N(H80)=0,"Not in 26AS — ask customer to file / correct TDS return",IF(I80&gt;0,"Short in 26AS — follow up with customer","More in 26AS — check unbooked income"))))</f>
        <v/>
      </c>
    </row>
    <row r="81" customFormat="false" ht="15" hidden="false" customHeight="false" outlineLevel="0" collapsed="false">
      <c r="B81" s="5"/>
      <c r="C81" s="5"/>
      <c r="D81" s="5"/>
      <c r="E81" s="17"/>
      <c r="F81" s="17"/>
      <c r="G81" s="17"/>
      <c r="H81" s="17"/>
      <c r="I81" s="21" t="str">
        <f aca="false">IF(B81="","",N(F81)-N(H81))</f>
        <v/>
      </c>
      <c r="J81" s="7" t="str">
        <f aca="false">IF(B81="","",IF(ABS(I81)&lt;1,"Matched",IF(N(H81)=0,"Not in 26AS — ask customer to file / correct TDS return",IF(I81&gt;0,"Short in 26AS — follow up with customer","More in 26AS — check unbooked income"))))</f>
        <v/>
      </c>
    </row>
    <row r="82" customFormat="false" ht="15" hidden="false" customHeight="false" outlineLevel="0" collapsed="false">
      <c r="B82" s="5"/>
      <c r="C82" s="5"/>
      <c r="D82" s="5"/>
      <c r="E82" s="17"/>
      <c r="F82" s="17"/>
      <c r="G82" s="17"/>
      <c r="H82" s="17"/>
      <c r="I82" s="21" t="str">
        <f aca="false">IF(B82="","",N(F82)-N(H82))</f>
        <v/>
      </c>
      <c r="J82" s="7" t="str">
        <f aca="false">IF(B82="","",IF(ABS(I82)&lt;1,"Matched",IF(N(H82)=0,"Not in 26AS — ask customer to file / correct TDS return",IF(I82&gt;0,"Short in 26AS — follow up with customer","More in 26AS — check unbooked income"))))</f>
        <v/>
      </c>
    </row>
    <row r="83" customFormat="false" ht="15" hidden="false" customHeight="false" outlineLevel="0" collapsed="false">
      <c r="B83" s="5"/>
      <c r="C83" s="5"/>
      <c r="D83" s="5"/>
      <c r="E83" s="17"/>
      <c r="F83" s="17"/>
      <c r="G83" s="17"/>
      <c r="H83" s="17"/>
      <c r="I83" s="21" t="str">
        <f aca="false">IF(B83="","",N(F83)-N(H83))</f>
        <v/>
      </c>
      <c r="J83" s="7" t="str">
        <f aca="false">IF(B83="","",IF(ABS(I83)&lt;1,"Matched",IF(N(H83)=0,"Not in 26AS — ask customer to file / correct TDS return",IF(I83&gt;0,"Short in 26AS — follow up with customer","More in 26AS — check unbooked income"))))</f>
        <v/>
      </c>
    </row>
    <row r="84" customFormat="false" ht="15" hidden="false" customHeight="false" outlineLevel="0" collapsed="false">
      <c r="B84" s="5"/>
      <c r="C84" s="5"/>
      <c r="D84" s="5"/>
      <c r="E84" s="17"/>
      <c r="F84" s="17"/>
      <c r="G84" s="17"/>
      <c r="H84" s="17"/>
      <c r="I84" s="21" t="str">
        <f aca="false">IF(B84="","",N(F84)-N(H84))</f>
        <v/>
      </c>
      <c r="J84" s="7" t="str">
        <f aca="false">IF(B84="","",IF(ABS(I84)&lt;1,"Matched",IF(N(H84)=0,"Not in 26AS — ask customer to file / correct TDS return",IF(I84&gt;0,"Short in 26AS — follow up with customer","More in 26AS — check unbooked income"))))</f>
        <v/>
      </c>
    </row>
    <row r="85" customFormat="false" ht="15" hidden="false" customHeight="false" outlineLevel="0" collapsed="false">
      <c r="B85" s="5"/>
      <c r="C85" s="5"/>
      <c r="D85" s="5"/>
      <c r="E85" s="17"/>
      <c r="F85" s="17"/>
      <c r="G85" s="17"/>
      <c r="H85" s="17"/>
      <c r="I85" s="21" t="str">
        <f aca="false">IF(B85="","",N(F85)-N(H85))</f>
        <v/>
      </c>
      <c r="J85" s="7" t="str">
        <f aca="false">IF(B85="","",IF(ABS(I85)&lt;1,"Matched",IF(N(H85)=0,"Not in 26AS — ask customer to file / correct TDS return",IF(I85&gt;0,"Short in 26AS — follow up with customer","More in 26AS — check unbooked income"))))</f>
        <v/>
      </c>
    </row>
    <row r="86" customFormat="false" ht="15" hidden="false" customHeight="false" outlineLevel="0" collapsed="false">
      <c r="B86" s="5"/>
      <c r="C86" s="5"/>
      <c r="D86" s="5"/>
      <c r="E86" s="17"/>
      <c r="F86" s="17"/>
      <c r="G86" s="17"/>
      <c r="H86" s="17"/>
      <c r="I86" s="21" t="str">
        <f aca="false">IF(B86="","",N(F86)-N(H86))</f>
        <v/>
      </c>
      <c r="J86" s="7" t="str">
        <f aca="false">IF(B86="","",IF(ABS(I86)&lt;1,"Matched",IF(N(H86)=0,"Not in 26AS — ask customer to file / correct TDS return",IF(I86&gt;0,"Short in 26AS — follow up with customer","More in 26AS — check unbooked income"))))</f>
        <v/>
      </c>
    </row>
    <row r="87" customFormat="false" ht="15" hidden="false" customHeight="false" outlineLevel="0" collapsed="false">
      <c r="B87" s="5"/>
      <c r="C87" s="5"/>
      <c r="D87" s="5"/>
      <c r="E87" s="17"/>
      <c r="F87" s="17"/>
      <c r="G87" s="17"/>
      <c r="H87" s="17"/>
      <c r="I87" s="21" t="str">
        <f aca="false">IF(B87="","",N(F87)-N(H87))</f>
        <v/>
      </c>
      <c r="J87" s="7" t="str">
        <f aca="false">IF(B87="","",IF(ABS(I87)&lt;1,"Matched",IF(N(H87)=0,"Not in 26AS — ask customer to file / correct TDS return",IF(I87&gt;0,"Short in 26AS — follow up with customer","More in 26AS — check unbooked income"))))</f>
        <v/>
      </c>
    </row>
    <row r="88" customFormat="false" ht="15" hidden="false" customHeight="false" outlineLevel="0" collapsed="false">
      <c r="B88" s="5"/>
      <c r="C88" s="5"/>
      <c r="D88" s="5"/>
      <c r="E88" s="17"/>
      <c r="F88" s="17"/>
      <c r="G88" s="17"/>
      <c r="H88" s="17"/>
      <c r="I88" s="21" t="str">
        <f aca="false">IF(B88="","",N(F88)-N(H88))</f>
        <v/>
      </c>
      <c r="J88" s="7" t="str">
        <f aca="false">IF(B88="","",IF(ABS(I88)&lt;1,"Matched",IF(N(H88)=0,"Not in 26AS — ask customer to file / correct TDS return",IF(I88&gt;0,"Short in 26AS — follow up with customer","More in 26AS — check unbooked income"))))</f>
        <v/>
      </c>
    </row>
    <row r="89" customFormat="false" ht="15" hidden="false" customHeight="false" outlineLevel="0" collapsed="false">
      <c r="B89" s="5"/>
      <c r="C89" s="5"/>
      <c r="D89" s="5"/>
      <c r="E89" s="17"/>
      <c r="F89" s="17"/>
      <c r="G89" s="17"/>
      <c r="H89" s="17"/>
      <c r="I89" s="21" t="str">
        <f aca="false">IF(B89="","",N(F89)-N(H89))</f>
        <v/>
      </c>
      <c r="J89" s="7" t="str">
        <f aca="false">IF(B89="","",IF(ABS(I89)&lt;1,"Matched",IF(N(H89)=0,"Not in 26AS — ask customer to file / correct TDS return",IF(I89&gt;0,"Short in 26AS — follow up with customer","More in 26AS — check unbooked income"))))</f>
        <v/>
      </c>
    </row>
    <row r="90" customFormat="false" ht="15" hidden="false" customHeight="false" outlineLevel="0" collapsed="false">
      <c r="B90" s="5"/>
      <c r="C90" s="5"/>
      <c r="D90" s="5"/>
      <c r="E90" s="17"/>
      <c r="F90" s="17"/>
      <c r="G90" s="17"/>
      <c r="H90" s="17"/>
      <c r="I90" s="21" t="str">
        <f aca="false">IF(B90="","",N(F90)-N(H90))</f>
        <v/>
      </c>
      <c r="J90" s="7" t="str">
        <f aca="false">IF(B90="","",IF(ABS(I90)&lt;1,"Matched",IF(N(H90)=0,"Not in 26AS — ask customer to file / correct TDS return",IF(I90&gt;0,"Short in 26AS — follow up with customer","More in 26AS — check unbooked income"))))</f>
        <v/>
      </c>
    </row>
    <row r="91" customFormat="false" ht="15" hidden="false" customHeight="false" outlineLevel="0" collapsed="false">
      <c r="B91" s="5"/>
      <c r="C91" s="5"/>
      <c r="D91" s="5"/>
      <c r="E91" s="17"/>
      <c r="F91" s="17"/>
      <c r="G91" s="17"/>
      <c r="H91" s="17"/>
      <c r="I91" s="21" t="str">
        <f aca="false">IF(B91="","",N(F91)-N(H91))</f>
        <v/>
      </c>
      <c r="J91" s="7" t="str">
        <f aca="false">IF(B91="","",IF(ABS(I91)&lt;1,"Matched",IF(N(H91)=0,"Not in 26AS — ask customer to file / correct TDS return",IF(I91&gt;0,"Short in 26AS — follow up with customer","More in 26AS — check unbooked income"))))</f>
        <v/>
      </c>
    </row>
    <row r="92" customFormat="false" ht="15" hidden="false" customHeight="false" outlineLevel="0" collapsed="false">
      <c r="B92" s="5"/>
      <c r="C92" s="5"/>
      <c r="D92" s="5"/>
      <c r="E92" s="17"/>
      <c r="F92" s="17"/>
      <c r="G92" s="17"/>
      <c r="H92" s="17"/>
      <c r="I92" s="21" t="str">
        <f aca="false">IF(B92="","",N(F92)-N(H92))</f>
        <v/>
      </c>
      <c r="J92" s="7" t="str">
        <f aca="false">IF(B92="","",IF(ABS(I92)&lt;1,"Matched",IF(N(H92)=0,"Not in 26AS — ask customer to file / correct TDS return",IF(I92&gt;0,"Short in 26AS — follow up with customer","More in 26AS — check unbooked income"))))</f>
        <v/>
      </c>
    </row>
    <row r="93" customFormat="false" ht="15" hidden="false" customHeight="false" outlineLevel="0" collapsed="false">
      <c r="B93" s="5"/>
      <c r="C93" s="5"/>
      <c r="D93" s="5"/>
      <c r="E93" s="17"/>
      <c r="F93" s="17"/>
      <c r="G93" s="17"/>
      <c r="H93" s="17"/>
      <c r="I93" s="21" t="str">
        <f aca="false">IF(B93="","",N(F93)-N(H93))</f>
        <v/>
      </c>
      <c r="J93" s="7" t="str">
        <f aca="false">IF(B93="","",IF(ABS(I93)&lt;1,"Matched",IF(N(H93)=0,"Not in 26AS — ask customer to file / correct TDS return",IF(I93&gt;0,"Short in 26AS — follow up with customer","More in 26AS — check unbooked income"))))</f>
        <v/>
      </c>
    </row>
    <row r="94" customFormat="false" ht="15" hidden="false" customHeight="false" outlineLevel="0" collapsed="false">
      <c r="B94" s="5"/>
      <c r="C94" s="5"/>
      <c r="D94" s="5"/>
      <c r="E94" s="17"/>
      <c r="F94" s="17"/>
      <c r="G94" s="17"/>
      <c r="H94" s="17"/>
      <c r="I94" s="21" t="str">
        <f aca="false">IF(B94="","",N(F94)-N(H94))</f>
        <v/>
      </c>
      <c r="J94" s="7" t="str">
        <f aca="false">IF(B94="","",IF(ABS(I94)&lt;1,"Matched",IF(N(H94)=0,"Not in 26AS — ask customer to file / correct TDS return",IF(I94&gt;0,"Short in 26AS — follow up with customer","More in 26AS — check unbooked income"))))</f>
        <v/>
      </c>
    </row>
    <row r="95" customFormat="false" ht="15" hidden="false" customHeight="false" outlineLevel="0" collapsed="false">
      <c r="B95" s="5"/>
      <c r="C95" s="5"/>
      <c r="D95" s="5"/>
      <c r="E95" s="17"/>
      <c r="F95" s="17"/>
      <c r="G95" s="17"/>
      <c r="H95" s="17"/>
      <c r="I95" s="21" t="str">
        <f aca="false">IF(B95="","",N(F95)-N(H95))</f>
        <v/>
      </c>
      <c r="J95" s="7" t="str">
        <f aca="false">IF(B95="","",IF(ABS(I95)&lt;1,"Matched",IF(N(H95)=0,"Not in 26AS — ask customer to file / correct TDS return",IF(I95&gt;0,"Short in 26AS — follow up with customer","More in 26AS — check unbooked income"))))</f>
        <v/>
      </c>
    </row>
    <row r="96" customFormat="false" ht="15" hidden="false" customHeight="false" outlineLevel="0" collapsed="false">
      <c r="B96" s="5"/>
      <c r="C96" s="5"/>
      <c r="D96" s="5"/>
      <c r="E96" s="17"/>
      <c r="F96" s="17"/>
      <c r="G96" s="17"/>
      <c r="H96" s="17"/>
      <c r="I96" s="21" t="str">
        <f aca="false">IF(B96="","",N(F96)-N(H96))</f>
        <v/>
      </c>
      <c r="J96" s="7" t="str">
        <f aca="false">IF(B96="","",IF(ABS(I96)&lt;1,"Matched",IF(N(H96)=0,"Not in 26AS — ask customer to file / correct TDS return",IF(I96&gt;0,"Short in 26AS — follow up with customer","More in 26AS — check unbooked income"))))</f>
        <v/>
      </c>
    </row>
    <row r="97" customFormat="false" ht="15" hidden="false" customHeight="false" outlineLevel="0" collapsed="false">
      <c r="B97" s="5"/>
      <c r="C97" s="5"/>
      <c r="D97" s="5"/>
      <c r="E97" s="17"/>
      <c r="F97" s="17"/>
      <c r="G97" s="17"/>
      <c r="H97" s="17"/>
      <c r="I97" s="21" t="str">
        <f aca="false">IF(B97="","",N(F97)-N(H97))</f>
        <v/>
      </c>
      <c r="J97" s="7" t="str">
        <f aca="false">IF(B97="","",IF(ABS(I97)&lt;1,"Matched",IF(N(H97)=0,"Not in 26AS — ask customer to file / correct TDS return",IF(I97&gt;0,"Short in 26AS — follow up with customer","More in 26AS — check unbooked income"))))</f>
        <v/>
      </c>
    </row>
    <row r="98" customFormat="false" ht="15" hidden="false" customHeight="false" outlineLevel="0" collapsed="false">
      <c r="B98" s="5"/>
      <c r="C98" s="5"/>
      <c r="D98" s="5"/>
      <c r="E98" s="17"/>
      <c r="F98" s="17"/>
      <c r="G98" s="17"/>
      <c r="H98" s="17"/>
      <c r="I98" s="21" t="str">
        <f aca="false">IF(B98="","",N(F98)-N(H98))</f>
        <v/>
      </c>
      <c r="J98" s="7" t="str">
        <f aca="false">IF(B98="","",IF(ABS(I98)&lt;1,"Matched",IF(N(H98)=0,"Not in 26AS — ask customer to file / correct TDS return",IF(I98&gt;0,"Short in 26AS — follow up with customer","More in 26AS — check unbooked income"))))</f>
        <v/>
      </c>
    </row>
    <row r="99" customFormat="false" ht="15" hidden="false" customHeight="false" outlineLevel="0" collapsed="false">
      <c r="B99" s="5"/>
      <c r="C99" s="5"/>
      <c r="D99" s="5"/>
      <c r="E99" s="17"/>
      <c r="F99" s="17"/>
      <c r="G99" s="17"/>
      <c r="H99" s="17"/>
      <c r="I99" s="21" t="str">
        <f aca="false">IF(B99="","",N(F99)-N(H99))</f>
        <v/>
      </c>
      <c r="J99" s="7" t="str">
        <f aca="false">IF(B99="","",IF(ABS(I99)&lt;1,"Matched",IF(N(H99)=0,"Not in 26AS — ask customer to file / correct TDS return",IF(I99&gt;0,"Short in 26AS — follow up with customer","More in 26AS — check unbooked income"))))</f>
        <v/>
      </c>
    </row>
    <row r="100" customFormat="false" ht="15" hidden="false" customHeight="false" outlineLevel="0" collapsed="false">
      <c r="B100" s="5"/>
      <c r="C100" s="5"/>
      <c r="D100" s="5"/>
      <c r="E100" s="17"/>
      <c r="F100" s="17"/>
      <c r="G100" s="17"/>
      <c r="H100" s="17"/>
      <c r="I100" s="21" t="str">
        <f aca="false">IF(B100="","",N(F100)-N(H100))</f>
        <v/>
      </c>
      <c r="J100" s="7" t="str">
        <f aca="false">IF(B100="","",IF(ABS(I100)&lt;1,"Matched",IF(N(H100)=0,"Not in 26AS — ask customer to file / correct TDS return",IF(I100&gt;0,"Short in 26AS — follow up with customer","More in 26AS — check unbooked income"))))</f>
        <v/>
      </c>
    </row>
    <row r="101" customFormat="false" ht="15" hidden="false" customHeight="false" outlineLevel="0" collapsed="false">
      <c r="B101" s="5"/>
      <c r="C101" s="5"/>
      <c r="D101" s="5"/>
      <c r="E101" s="17"/>
      <c r="F101" s="17"/>
      <c r="G101" s="17"/>
      <c r="H101" s="17"/>
      <c r="I101" s="21" t="str">
        <f aca="false">IF(B101="","",N(F101)-N(H101))</f>
        <v/>
      </c>
      <c r="J101" s="7" t="str">
        <f aca="false">IF(B101="","",IF(ABS(I101)&lt;1,"Matched",IF(N(H101)=0,"Not in 26AS — ask customer to file / correct TDS return",IF(I101&gt;0,"Short in 26AS — follow up with customer","More in 26AS — check unbooked income"))))</f>
        <v/>
      </c>
    </row>
    <row r="102" customFormat="false" ht="15" hidden="false" customHeight="false" outlineLevel="0" collapsed="false">
      <c r="B102" s="5"/>
      <c r="C102" s="5"/>
      <c r="D102" s="5"/>
      <c r="E102" s="17"/>
      <c r="F102" s="17"/>
      <c r="G102" s="17"/>
      <c r="H102" s="17"/>
      <c r="I102" s="21" t="str">
        <f aca="false">IF(B102="","",N(F102)-N(H102))</f>
        <v/>
      </c>
      <c r="J102" s="7" t="str">
        <f aca="false">IF(B102="","",IF(ABS(I102)&lt;1,"Matched",IF(N(H102)=0,"Not in 26AS — ask customer to file / correct TDS return",IF(I102&gt;0,"Short in 26AS — follow up with customer","More in 26AS — check unbooked income"))))</f>
        <v/>
      </c>
    </row>
    <row r="103" customFormat="false" ht="15" hidden="false" customHeight="false" outlineLevel="0" collapsed="false">
      <c r="B103" s="5"/>
      <c r="C103" s="5"/>
      <c r="D103" s="5"/>
      <c r="E103" s="17"/>
      <c r="F103" s="17"/>
      <c r="G103" s="17"/>
      <c r="H103" s="17"/>
      <c r="I103" s="21" t="str">
        <f aca="false">IF(B103="","",N(F103)-N(H103))</f>
        <v/>
      </c>
      <c r="J103" s="7" t="str">
        <f aca="false">IF(B103="","",IF(ABS(I103)&lt;1,"Matched",IF(N(H103)=0,"Not in 26AS — ask customer to file / correct TDS return",IF(I103&gt;0,"Short in 26AS — follow up with customer","More in 26AS — check unbooked income"))))</f>
        <v/>
      </c>
    </row>
    <row r="104" customFormat="false" ht="15" hidden="false" customHeight="false" outlineLevel="0" collapsed="false">
      <c r="B104" s="5"/>
      <c r="C104" s="5"/>
      <c r="D104" s="5"/>
      <c r="E104" s="17"/>
      <c r="F104" s="17"/>
      <c r="G104" s="17"/>
      <c r="H104" s="17"/>
      <c r="I104" s="21" t="str">
        <f aca="false">IF(B104="","",N(F104)-N(H104))</f>
        <v/>
      </c>
      <c r="J104" s="7" t="str">
        <f aca="false">IF(B104="","",IF(ABS(I104)&lt;1,"Matched",IF(N(H104)=0,"Not in 26AS — ask customer to file / correct TDS return",IF(I104&gt;0,"Short in 26AS — follow up with customer","More in 26AS — check unbooked income"))))</f>
        <v/>
      </c>
    </row>
    <row r="105" customFormat="false" ht="15" hidden="false" customHeight="false" outlineLevel="0" collapsed="false">
      <c r="B105" s="5"/>
      <c r="C105" s="5"/>
      <c r="D105" s="5"/>
      <c r="E105" s="17"/>
      <c r="F105" s="17"/>
      <c r="G105" s="17"/>
      <c r="H105" s="17"/>
      <c r="I105" s="21" t="str">
        <f aca="false">IF(B105="","",N(F105)-N(H105))</f>
        <v/>
      </c>
      <c r="J105" s="7" t="str">
        <f aca="false">IF(B105="","",IF(ABS(I105)&lt;1,"Matched",IF(N(H105)=0,"Not in 26AS — ask customer to file / correct TDS return",IF(I105&gt;0,"Short in 26AS — follow up with customer","More in 26AS — check unbooked income"))))</f>
        <v/>
      </c>
    </row>
    <row r="106" customFormat="false" ht="15" hidden="false" customHeight="false" outlineLevel="0" collapsed="false">
      <c r="B106" s="5"/>
      <c r="C106" s="5"/>
      <c r="D106" s="5"/>
      <c r="E106" s="17"/>
      <c r="F106" s="17"/>
      <c r="G106" s="17"/>
      <c r="H106" s="17"/>
      <c r="I106" s="21" t="str">
        <f aca="false">IF(B106="","",N(F106)-N(H106))</f>
        <v/>
      </c>
      <c r="J106" s="7" t="str">
        <f aca="false">IF(B106="","",IF(ABS(I106)&lt;1,"Matched",IF(N(H106)=0,"Not in 26AS — ask customer to file / correct TDS return",IF(I106&gt;0,"Short in 26AS — follow up with customer","More in 26AS — check unbooked income"))))</f>
        <v/>
      </c>
    </row>
    <row r="107" customFormat="false" ht="15" hidden="false" customHeight="false" outlineLevel="0" collapsed="false">
      <c r="B107" s="5"/>
      <c r="C107" s="5"/>
      <c r="D107" s="5"/>
      <c r="E107" s="17"/>
      <c r="F107" s="17"/>
      <c r="G107" s="17"/>
      <c r="H107" s="17"/>
      <c r="I107" s="21" t="str">
        <f aca="false">IF(B107="","",N(F107)-N(H107))</f>
        <v/>
      </c>
      <c r="J107" s="7" t="str">
        <f aca="false">IF(B107="","",IF(ABS(I107)&lt;1,"Matched",IF(N(H107)=0,"Not in 26AS — ask customer to file / correct TDS return",IF(I107&gt;0,"Short in 26AS — follow up with customer","More in 26AS — check unbooked income"))))</f>
        <v/>
      </c>
    </row>
    <row r="108" customFormat="false" ht="15" hidden="false" customHeight="false" outlineLevel="0" collapsed="false">
      <c r="B108" s="5"/>
      <c r="C108" s="5"/>
      <c r="D108" s="5"/>
      <c r="E108" s="17"/>
      <c r="F108" s="17"/>
      <c r="G108" s="17"/>
      <c r="H108" s="17"/>
      <c r="I108" s="21" t="str">
        <f aca="false">IF(B108="","",N(F108)-N(H108))</f>
        <v/>
      </c>
      <c r="J108" s="7" t="str">
        <f aca="false">IF(B108="","",IF(ABS(I108)&lt;1,"Matched",IF(N(H108)=0,"Not in 26AS — ask customer to file / correct TDS return",IF(I108&gt;0,"Short in 26AS — follow up with customer","More in 26AS — check unbooked income"))))</f>
        <v/>
      </c>
    </row>
    <row r="110" customFormat="false" ht="15" hidden="false" customHeight="false" outlineLevel="0" collapsed="false">
      <c r="B110" s="22" t="s">
        <v>159</v>
      </c>
      <c r="C110" s="20"/>
      <c r="D110" s="20"/>
      <c r="E110" s="23" t="n">
        <f aca="false">SUM(E9:E108)</f>
        <v>1250000</v>
      </c>
      <c r="F110" s="23" t="n">
        <f aca="false">SUM(F9:F108)</f>
        <v>99400</v>
      </c>
      <c r="G110" s="23" t="n">
        <f aca="false">SUM(G9:G108)</f>
        <v>1020000</v>
      </c>
      <c r="H110" s="23" t="n">
        <f aca="false">SUM(H9:H108)</f>
        <v>76400</v>
      </c>
      <c r="I110" s="23" t="n">
        <f aca="false">SUM(I9:I108)</f>
        <v>23000</v>
      </c>
    </row>
  </sheetData>
  <conditionalFormatting sqref="J9:J108">
    <cfRule type="expression" priority="2" aboveAverage="0" equalAverage="0" bottom="0" percent="0" rank="0" text="" dxfId="2">
      <formula>J9="Matched"</formula>
    </cfRule>
    <cfRule type="expression" priority="3" aboveAverage="0" equalAverage="0" bottom="0" percent="0" rank="0" text="" dxfId="1">
      <formula>AND(J9&lt;&gt;"",J9&lt;&gt;"Matched")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2026-10-26T18:07:17Z</dcterms:created>
  <dc:creator>openpyxl</dc:creator>
  <dc:description/>
  <dc:language>en-US</dc:language>
  <cp:lastModifiedBy/>
  <dcterms:modified xsi:type="dcterms:W3CDTF">2026-10-26T18:07:18Z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