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Dashboard" sheetId="2" state="visible" r:id="rId4"/>
    <sheet name="Setup" sheetId="3" state="visible" r:id="rId5"/>
    <sheet name="P&amp;L Data" sheetId="4" state="visible" r:id="rId6"/>
    <sheet name="Balance Sheet Data" sheetId="5" state="visible" r:id="rId7"/>
    <sheet name="MIS Repor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<sst xmlns="http://schemas.openxmlformats.org/spreadsheetml/2006/main" count="149" uniqueCount="110">
  <si>
    <t xml:space="preserve">MyFinMantra — Monthly MIS &amp; Dashboard</t>
  </si>
  <si>
    <t xml:space="preserve">Client service format · Clear books. Confident business.</t>
  </si>
  <si>
    <t xml:space="preserve">Purpose</t>
  </si>
  <si>
    <t xml:space="preserve">A one-page monthly management report for the business owner: profit and loss for the month and year to date, key ratios, cash and statutory dues, plus a visual dashboard.</t>
  </si>
  <si>
    <t xml:space="preserve">Colour legend</t>
  </si>
  <si>
    <t xml:space="preserve">12,500</t>
  </si>
  <si>
    <t xml:space="preserve">Blue text on yellow = input. Type or paste your client's figures here.</t>
  </si>
  <si>
    <t xml:space="preserve">Formula</t>
  </si>
  <si>
    <t xml:space="preserve">Black text = formula. Don't overwrite; it updates automatically.</t>
  </si>
  <si>
    <t xml:space="preserve">Header</t>
  </si>
  <si>
    <t xml:space="preserve">Section and column headings.</t>
  </si>
  <si>
    <t xml:space="preserve">Steps</t>
  </si>
  <si>
    <t xml:space="preserve">Step 1</t>
  </si>
  <si>
    <t xml:space="preserve">On 'Setup', enter the client name and choose the report month from the dropdown.</t>
  </si>
  <si>
    <t xml:space="preserve">Step 2</t>
  </si>
  <si>
    <t xml:space="preserve">On 'P&amp;L Data', enter each month's figures from Tally / Zoho (Profit &amp; Loss for the month). Totals, gross profit, EBITDA and net profit calculate automatically.</t>
  </si>
  <si>
    <t xml:space="preserve">Step 3</t>
  </si>
  <si>
    <t xml:space="preserve">On 'Balance Sheet Data', enter month-end balances: bank, receivables, payables, statutory dues and loans.</t>
  </si>
  <si>
    <t xml:space="preserve">Step 4</t>
  </si>
  <si>
    <t xml:space="preserve">Review 'MIS Report' — month vs previous month, year to date and KPIs. Write 3 key observations in the commentary box.</t>
  </si>
  <si>
    <t xml:space="preserve">Step 5</t>
  </si>
  <si>
    <t xml:space="preserve">Share 'MIS Report' and 'Dashboard' with the client (File → Export → PDF, or copy into an email).</t>
  </si>
  <si>
    <t xml:space="preserve">Notes</t>
  </si>
  <si>
    <t xml:space="preserve">Months run April to March (FY 2026-27). To start a new year, copy the file and change the month headings on 'P&amp;L Data' and 'Balance Sheet Data' together.</t>
  </si>
  <si>
    <t xml:space="preserve">Debtor and creditor days use the current month's revenue and direct costs × 30. Months of cash cover = bank balance ÷ (direct costs + operating expenses) for the month.</t>
  </si>
  <si>
    <t xml:space="preserve">Sample figures are filled in so you can see how the format works. Replace them with your own data.</t>
  </si>
  <si>
    <t xml:space="preserve">Free template by MyFinMantra</t>
  </si>
  <si>
    <t xml:space="preserve">Accounting, GST, payroll and Virtual CFO services · www.myfinmantra.com · WhatsApp +91 97118 99555</t>
  </si>
  <si>
    <t xml:space="preserve">General template for guidance only — verify rates and rules for your case. Not professional advice.</t>
  </si>
  <si>
    <t xml:space="preserve">Dashboard</t>
  </si>
  <si>
    <t xml:space="preserve">Revenue (month)</t>
  </si>
  <si>
    <t xml:space="preserve">EBITDA (month)</t>
  </si>
  <si>
    <t xml:space="preserve">Net profit (month)</t>
  </si>
  <si>
    <t xml:space="preserve">Cash &amp; bank</t>
  </si>
  <si>
    <t xml:space="preserve">Revenue (YTD)</t>
  </si>
  <si>
    <t xml:space="preserve">Net profit (YTD)</t>
  </si>
  <si>
    <t xml:space="preserve">EBITDA margin</t>
  </si>
  <si>
    <t xml:space="preserve">Debtor days</t>
  </si>
  <si>
    <t xml:space="preserve">Setup</t>
  </si>
  <si>
    <t xml:space="preserve">Choose the client and report month</t>
  </si>
  <si>
    <t xml:space="preserve">Client name</t>
  </si>
  <si>
    <t xml:space="preserve">Sample Traders Pvt Ltd</t>
  </si>
  <si>
    <t xml:space="preserve">Financial year</t>
  </si>
  <si>
    <t xml:space="preserve">2026-27</t>
  </si>
  <si>
    <t xml:space="preserve">Report month</t>
  </si>
  <si>
    <t xml:space="preserve">Sep-26</t>
  </si>
  <si>
    <t xml:space="preserve">← pick from the dropdown</t>
  </si>
  <si>
    <t xml:space="preserve">Prepared by</t>
  </si>
  <si>
    <t xml:space="preserve">MyFinMantra</t>
  </si>
  <si>
    <t xml:space="preserve">Profit &amp; Loss — monthly data</t>
  </si>
  <si>
    <t xml:space="preserve">Enter monthly figures in ₹ (blue cells). Bold shaded rows are formulas.</t>
  </si>
  <si>
    <t xml:space="preserve">Particulars (₹)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</si>
  <si>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</si>
  <si>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</si>
  <si>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</si>
  <si>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</si>
  <si>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</si>
  <si>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</si>
  <si>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</si>
  <si>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</si>
  <si>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</si>
  <si>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</si>
  <si>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</si>
  <si>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Full year</t>
  </si>
  <si>
    <t xml:space="preserve">Revenue from operations</t>
  </si>
  <si>
    <t xml:space="preserve">Other income</t>
  </si>
  <si>
    <t xml:space="preserve">Total income</t>
  </si>
  <si>
    <t xml:space="preserve">Direct costs / cost of sales</t>
  </si>
  <si>
    <t xml:space="preserve">Gross profit</t>
  </si>
  <si>
    <t xml:space="preserve">Employee costs</t>
  </si>
  <si>
    <t xml:space="preserve">Rent &amp; utilities</t>
  </si>
  <si>
    <t xml:space="preserve">Professional &amp; consultancy fees</t>
  </si>
  <si>
    <t xml:space="preserve">Sales &amp; marketing</t>
  </si>
  <si>
    <t xml:space="preserve">Admin &amp; other expenses</t>
  </si>
  <si>
    <t xml:space="preserve">Total operating expenses</t>
  </si>
  <si>
    <t xml:space="preserve">EBITDA</t>
  </si>
  <si>
    <t xml:space="preserve">Depreciation</t>
  </si>
  <si>
    <t xml:space="preserve">Finance costs</t>
  </si>
  <si>
    <t xml:space="preserve">Profit before tax</t>
  </si>
  <si>
    <t xml:space="preserve">Tax expense</t>
  </si>
  <si>
    <t xml:space="preserve">Net profit</t>
  </si>
  <si>
    <t xml:space="preserve">Balance sheet — month-end balances</t>
  </si>
  <si>
    <t xml:space="preserve">Enter closing balances in ₹ from the trial balance</t>
  </si>
  <si>
    <t xml:space="preserve">Cash &amp; bank balances</t>
  </si>
  <si>
    <t xml:space="preserve">Trade receivables</t>
  </si>
  <si>
    <t xml:space="preserve">Inventory</t>
  </si>
  <si>
    <t xml:space="preserve">Trade payables</t>
  </si>
  <si>
    <t xml:space="preserve">GST payable (net)</t>
  </si>
  <si>
    <t xml:space="preserve">TDS payable</t>
  </si>
  <si>
    <t xml:space="preserve">Borrowings</t>
  </si>
  <si>
    <t xml:space="preserve">Monthly MIS Report</t>
  </si>
  <si>
    <t xml:space="preserve">Month index</t>
  </si>
  <si>
    <t xml:space="preserve">This month</t>
  </si>
  <si>
    <t xml:space="preserve">Previous month</t>
  </si>
  <si>
    <t xml:space="preserve">Change</t>
  </si>
  <si>
    <t xml:space="preserve">Change %</t>
  </si>
  <si>
    <t xml:space="preserve">Year to date</t>
  </si>
  <si>
    <t xml:space="preserve">Key ratios &amp; position</t>
  </si>
  <si>
    <t xml:space="preserve">Gross margin %</t>
  </si>
  <si>
    <t xml:space="preserve">EBITDA margin %</t>
  </si>
  <si>
    <t xml:space="preserve">Net profit margin %</t>
  </si>
  <si>
    <t xml:space="preserve">Operating expenses % of revenue</t>
  </si>
  <si>
    <t xml:space="preserve">Cash &amp; bank balance</t>
  </si>
  <si>
    <t xml:space="preserve">Statutory dues payable (GST + TDS)</t>
  </si>
  <si>
    <t xml:space="preserve">Creditor days</t>
  </si>
  <si>
    <t xml:space="preserve">Months of expenses covered by cash</t>
  </si>
  <si>
    <t xml:space="preserve">Key observations for the month</t>
  </si>
  <si>
    <t xml:space="preserve">Revenue up 4% over August; collections improved, debtor days stable.</t>
  </si>
  <si>
    <t xml:space="preserve">Marketing spend higher for the festive campaign — review ROI in October.</t>
  </si>
  <si>
    <t xml:space="preserve">Ensure GSTR-3B and TDS payments for September are cleared by due dates.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</si>
</sst>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&gt;=10000000]##\,##\,##\,##0;[&gt;=100000]##\,##\,##0;##,##0"/>
    <numFmt numFmtId="166" formatCode="0.0%;\-0.0%;\-"/>
    <numFmt numFmtId="167" formatCode="0"/>
    <numFmt numFmtId="168" formatCode="#,##0"/>
    <numFmt numFmtId="169" formatCode="General"/>
    <numFmt numFmtId="170" formatCode="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2E35"/>
      <name val="Arial"/>
      <family val="0"/>
      <charset val="1"/>
    </font>
    <font>
      <i val="true"/>
      <sz val="10"/>
      <color rgb="FF55666A"/>
      <name val="Arial"/>
      <family val="0"/>
      <charset val="1"/>
    </font>
    <font>
      <b val="true"/>
      <sz val="11"/>
      <color rgb="FF0F2E3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sz val="10"/>
      <color rgb="FF1B4650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11"/>
      <color rgb="FF1B4650"/>
      <name val="Arial"/>
      <family val="0"/>
      <charset val="1"/>
    </font>
    <font>
      <b val="true"/>
      <sz val="18"/>
      <color rgb="FF0F2E3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0"/>
      <color rgb="FF999999"/>
      <name val="Arial"/>
      <family val="0"/>
      <charset val="1"/>
    </font>
    <font>
      <sz val="10"/>
      <color rgb="FF99999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7D6"/>
        <bgColor rgb="FFF4F7F6"/>
      </patternFill>
    </fill>
    <fill>
      <patternFill patternType="solid">
        <fgColor rgb="FF0F2E35"/>
        <bgColor rgb="FF003300"/>
      </patternFill>
    </fill>
    <fill>
      <patternFill patternType="solid">
        <fgColor rgb="FFF4F7F6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7E0DE"/>
      </left>
      <right style="thin">
        <color rgb="FFD7E0DE"/>
      </right>
      <top style="thin">
        <color rgb="FFD7E0DE"/>
      </top>
      <bottom style="thin">
        <color rgb="FFD7E0DE"/>
      </bottom>
      <diagonal/>
    </border>
    <border diagonalUp="false" diagonalDown="false">
      <left style="thin">
        <color rgb="FFD7E0DE"/>
      </left>
      <right/>
      <top style="thin">
        <color rgb="FFD7E0DE"/>
      </top>
      <bottom style="thin">
        <color rgb="FFD7E0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7D6"/>
      <rgbColor rgb="FFF4F7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0D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3A21A"/>
      <rgbColor rgb="FFFF6600"/>
      <rgbColor rgb="FF55666A"/>
      <rgbColor rgb="FF999999"/>
      <rgbColor rgb="FF0F2E35"/>
      <rgbColor rgb="FF2D7A59"/>
      <rgbColor rgb="FF003300"/>
      <rgbColor rgb="FF333300"/>
      <rgbColor rgb="FFB45309"/>
      <rgbColor rgb="FF993366"/>
      <rgbColor rgb="FF333399"/>
      <rgbColor rgb="FF1B46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Revenue, EBITDA and net profit by month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'P&amp;L Data'!B6</c:f>
              <c:strCache>
                <c:ptCount val="1"/>
                <c:pt idx="0">
                  <c:v>Revenue from operations</c:v>
                </c:pt>
              </c:strCache>
            </c:strRef>
          </c:tx>
          <c:spPr>
            <a:solidFill>
              <a:srgbClr val="0f2e35"/>
            </a:solidFill>
            <a:ln w="28080">
              <a:solidFill>
                <a:srgbClr val="0f2e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'P&amp;L Data'!$C$5:$N$5</c:f>
              <c:strCache>
                <c:ptCount val="12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  <c:pt idx="6">
                  <c:v>Oct-26</c:v>
                </c:pt>
                <c:pt idx="7">
                  <c:v>Nov-26</c:v>
                </c:pt>
                <c:pt idx="8">
                  <c:v>Dec-26</c:v>
                </c:pt>
                <c:pt idx="9">
                  <c:v>Jan-27</c:v>
                </c:pt>
                <c:pt idx="10">
                  <c:v>Feb-27</c:v>
                </c:pt>
                <c:pt idx="11">
                  <c:v>Mar-27</c:v>
                </c:pt>
              </c:strCache>
            </c:strRef>
          </c:cat>
          <c:val>
            <c:numRef>
              <c:f>'P&amp;L Data'!$C$6:$N$6</c:f>
              <c:numCache>
                <c:formatCode>[&gt;=10000000]##\,##\,##\,##0;[&gt;=100000]##\,##\,##0;##,##0</c:formatCode>
                <c:ptCount val="12"/>
                <c:pt idx="0">
                  <c:v>1850000</c:v>
                </c:pt>
                <c:pt idx="1">
                  <c:v>1925000</c:v>
                </c:pt>
                <c:pt idx="2">
                  <c:v>1990000</c:v>
                </c:pt>
                <c:pt idx="3">
                  <c:v>2060000</c:v>
                </c:pt>
                <c:pt idx="4">
                  <c:v>2120000</c:v>
                </c:pt>
                <c:pt idx="5">
                  <c:v>2205000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'P&amp;L Data'!B17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e3a21a"/>
            </a:solidFill>
            <a:ln w="28080">
              <a:solidFill>
                <a:srgbClr val="e3a21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'P&amp;L Data'!$C$5:$N$5</c:f>
              <c:strCache>
                <c:ptCount val="12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  <c:pt idx="6">
                  <c:v>Oct-26</c:v>
                </c:pt>
                <c:pt idx="7">
                  <c:v>Nov-26</c:v>
                </c:pt>
                <c:pt idx="8">
                  <c:v>Dec-26</c:v>
                </c:pt>
                <c:pt idx="9">
                  <c:v>Jan-27</c:v>
                </c:pt>
                <c:pt idx="10">
                  <c:v>Feb-27</c:v>
                </c:pt>
                <c:pt idx="11">
                  <c:v>Mar-27</c:v>
                </c:pt>
              </c:strCache>
            </c:strRef>
          </c:cat>
          <c:val>
            <c:numRef>
              <c:f>'P&amp;L Data'!$C$17:$N$17</c:f>
              <c:numCache>
                <c:formatCode>[&gt;=10000000]##\,##\,##\,##0;[&gt;=100000]##\,##\,##0;##,##0</c:formatCode>
                <c:ptCount val="12"/>
                <c:pt idx="0">
                  <c:v>470000</c:v>
                </c:pt>
                <c:pt idx="1">
                  <c:v>511000</c:v>
                </c:pt>
                <c:pt idx="2">
                  <c:v>531000</c:v>
                </c:pt>
                <c:pt idx="3">
                  <c:v>568000</c:v>
                </c:pt>
                <c:pt idx="4">
                  <c:v>583000</c:v>
                </c:pt>
                <c:pt idx="5">
                  <c:v>611000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'P&amp;L Data'!B22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2d7a59"/>
            </a:solidFill>
            <a:ln w="28080">
              <a:solidFill>
                <a:srgbClr val="2d7a5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'P&amp;L Data'!$C$5:$N$5</c:f>
              <c:strCache>
                <c:ptCount val="12"/>
                <c:pt idx="0">
                  <c:v>Apr-26</c:v>
                </c:pt>
                <c:pt idx="1">
                  <c:v>May-26</c:v>
                </c:pt>
                <c:pt idx="2">
                  <c:v>Jun-26</c:v>
                </c:pt>
                <c:pt idx="3">
                  <c:v>Jul-26</c:v>
                </c:pt>
                <c:pt idx="4">
                  <c:v>Aug-26</c:v>
                </c:pt>
                <c:pt idx="5">
                  <c:v>Sep-26</c:v>
                </c:pt>
                <c:pt idx="6">
                  <c:v>Oct-26</c:v>
                </c:pt>
                <c:pt idx="7">
                  <c:v>Nov-26</c:v>
                </c:pt>
                <c:pt idx="8">
                  <c:v>Dec-26</c:v>
                </c:pt>
                <c:pt idx="9">
                  <c:v>Jan-27</c:v>
                </c:pt>
                <c:pt idx="10">
                  <c:v>Feb-27</c:v>
                </c:pt>
                <c:pt idx="11">
                  <c:v>Mar-27</c:v>
                </c:pt>
              </c:strCache>
            </c:strRef>
          </c:cat>
          <c:val>
            <c:numRef>
              <c:f>'P&amp;L Data'!$C$22:$N$22</c:f>
              <c:numCache>
                <c:formatCode>[&gt;=10000000]##\,##\,##\,##0;[&gt;=100000]##\,##\,##0;##,##0</c:formatCode>
                <c:ptCount val="12"/>
                <c:pt idx="0">
                  <c:v>316500</c:v>
                </c:pt>
                <c:pt idx="1">
                  <c:v>347200</c:v>
                </c:pt>
                <c:pt idx="2">
                  <c:v>362600</c:v>
                </c:pt>
                <c:pt idx="3">
                  <c:v>390400</c:v>
                </c:pt>
                <c:pt idx="4">
                  <c:v>402000</c:v>
                </c:pt>
                <c:pt idx="5">
                  <c:v>423000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887035"/>
        <c:axId val="46671515"/>
      </c:lineChart>
      <c:catAx>
        <c:axId val="138870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671515"/>
        <c:crosses val="autoZero"/>
        <c:auto val="1"/>
        <c:lblAlgn val="ctr"/>
        <c:lblOffset val="100"/>
        <c:noMultiLvlLbl val="0"/>
      </c:catAx>
      <c:valAx>
        <c:axId val="466715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8870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Operating expenses — this month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0f2e3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'MIS Report'!$B$11:$B$15</c:f>
              <c:strCache>
                <c:ptCount val="5"/>
                <c:pt idx="0">
                  <c:v>Employee costs</c:v>
                </c:pt>
                <c:pt idx="1">
                  <c:v>Rent &amp; utilities</c:v>
                </c:pt>
                <c:pt idx="2">
                  <c:v>Professional &amp; consultancy fees</c:v>
                </c:pt>
                <c:pt idx="3">
                  <c:v>Sales &amp; marketing</c:v>
                </c:pt>
                <c:pt idx="4">
                  <c:v>Admin &amp; other expenses</c:v>
                </c:pt>
              </c:strCache>
            </c:strRef>
          </c:cat>
          <c:val>
            <c:numRef>
              <c:f>'MIS Report'!$C$11:$C$15</c:f>
              <c:numCache>
                <c:formatCode>[&gt;=10000000]##\,##\,##\,##0;[&gt;=100000]##\,##\,##0;##,##0</c:formatCode>
                <c:ptCount val="5"/>
                <c:pt idx="0">
                  <c:v>450000</c:v>
                </c:pt>
                <c:pt idx="1">
                  <c:v>85000</c:v>
                </c:pt>
                <c:pt idx="2">
                  <c:v>60000</c:v>
                </c:pt>
                <c:pt idx="3">
                  <c:v>80000</c:v>
                </c:pt>
                <c:pt idx="4">
                  <c:v>63000</c:v>
                </c:pt>
              </c:numCache>
            </c:numRef>
          </c:val>
        </c:ser>
        <c:gapWidth val="150"/>
        <c:overlap val="0"/>
        <c:axId val="71775029"/>
        <c:axId val="16536103"/>
      </c:barChart>
      <c:catAx>
        <c:axId val="717750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536103"/>
        <c:crosses val="autoZero"/>
        <c:auto val="1"/>
        <c:lblAlgn val="ctr"/>
        <c:lblOffset val="100"/>
        <c:noMultiLvlLbl val="0"/>
      </c:catAx>
      <c:valAx>
        <c:axId val="165361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[&gt;=10000000]##\,##\,##\,##0;[&gt;=100000]##\,##\,##0;#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7750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130680</xdr:rowOff>
    </xdr:from>
    <xdr:to>
      <xdr:col>11</xdr:col>
      <xdr:colOff>166320</xdr:colOff>
      <xdr:row>27</xdr:row>
      <xdr:rowOff>153000</xdr:rowOff>
    </xdr:to>
    <xdr:graphicFrame>
      <xdr:nvGraphicFramePr>
        <xdr:cNvPr id="0" name="Chart 1"/>
        <xdr:cNvGraphicFramePr/>
      </xdr:nvGraphicFramePr>
      <xdr:xfrm>
        <a:off x="141120" y="247644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29</xdr:row>
      <xdr:rowOff>130680</xdr:rowOff>
    </xdr:from>
    <xdr:to>
      <xdr:col>7</xdr:col>
      <xdr:colOff>387720</xdr:colOff>
      <xdr:row>44</xdr:row>
      <xdr:rowOff>153000</xdr:rowOff>
    </xdr:to>
    <xdr:graphicFrame>
      <xdr:nvGraphicFramePr>
        <xdr:cNvPr id="1" name="Chart 2"/>
        <xdr:cNvGraphicFramePr/>
      </xdr:nvGraphicFramePr>
      <xdr:xfrm>
        <a:off x="141120" y="57150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yfinmantra.com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45" hidden="false" customHeight="true" outlineLevel="0" collapsed="false">
      <c r="B5" s="3" t="s">
        <v>2</v>
      </c>
      <c r="C5" s="4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5" t="s">
        <v>5</v>
      </c>
      <c r="C8" s="6" t="s">
        <v>6</v>
      </c>
    </row>
    <row r="9" customFormat="false" ht="15" hidden="false" customHeight="false" outlineLevel="0" collapsed="false">
      <c r="B9" s="7" t="s">
        <v>7</v>
      </c>
      <c r="C9" s="6" t="s">
        <v>8</v>
      </c>
    </row>
    <row r="10" customFormat="false" ht="15" hidden="false" customHeight="false" outlineLevel="0" collapsed="false">
      <c r="B10" s="8" t="s">
        <v>9</v>
      </c>
      <c r="C10" s="6" t="s">
        <v>10</v>
      </c>
    </row>
    <row r="12" customFormat="false" ht="15" hidden="false" customHeight="false" outlineLevel="0" collapsed="false">
      <c r="B12" s="3" t="s">
        <v>11</v>
      </c>
    </row>
    <row r="13" customFormat="false" ht="15.75" hidden="false" customHeight="true" outlineLevel="0" collapsed="false">
      <c r="B13" s="9" t="s">
        <v>12</v>
      </c>
      <c r="C13" s="10" t="s">
        <v>13</v>
      </c>
    </row>
    <row r="14" customFormat="false" ht="30" hidden="false" customHeight="true" outlineLevel="0" collapsed="false">
      <c r="B14" s="9" t="s">
        <v>14</v>
      </c>
      <c r="C14" s="10" t="s">
        <v>15</v>
      </c>
    </row>
    <row r="15" customFormat="false" ht="30" hidden="false" customHeight="true" outlineLevel="0" collapsed="false">
      <c r="B15" s="9" t="s">
        <v>16</v>
      </c>
      <c r="C15" s="10" t="s">
        <v>17</v>
      </c>
    </row>
    <row r="16" customFormat="false" ht="30" hidden="false" customHeight="true" outlineLevel="0" collapsed="false">
      <c r="B16" s="9" t="s">
        <v>18</v>
      </c>
      <c r="C16" s="10" t="s">
        <v>19</v>
      </c>
    </row>
    <row r="17" customFormat="false" ht="30" hidden="false" customHeight="true" outlineLevel="0" collapsed="false">
      <c r="B17" s="9" t="s">
        <v>20</v>
      </c>
      <c r="C17" s="10" t="s">
        <v>21</v>
      </c>
    </row>
    <row r="19" customFormat="false" ht="15" hidden="false" customHeight="false" outlineLevel="0" collapsed="false">
      <c r="B19" s="3" t="s">
        <v>22</v>
      </c>
    </row>
    <row r="20" customFormat="false" ht="30" hidden="false" customHeight="true" outlineLevel="0" collapsed="false">
      <c r="C20" s="11" t="s">
        <v>23</v>
      </c>
    </row>
    <row r="21" customFormat="false" ht="30" hidden="false" customHeight="true" outlineLevel="0" collapsed="false">
      <c r="C21" s="11" t="s">
        <v>24</v>
      </c>
    </row>
    <row r="23" customFormat="false" ht="15" hidden="false" customHeight="false" outlineLevel="0" collapsed="false">
      <c r="B23" s="12" t="s">
        <v>25</v>
      </c>
    </row>
    <row r="25" customFormat="false" ht="15" hidden="false" customHeight="false" outlineLevel="0" collapsed="false">
      <c r="B25" s="3" t="s">
        <v>26</v>
      </c>
    </row>
    <row r="26" customFormat="false" ht="15" hidden="false" customHeight="false" outlineLevel="0" collapsed="false">
      <c r="B26" s="13" t="s">
        <v>27</v>
      </c>
    </row>
    <row r="27" customFormat="false" ht="15" hidden="false" customHeight="false" outlineLevel="0" collapsed="false">
      <c r="B27" s="14" t="s">
        <v>28</v>
      </c>
    </row>
  </sheetData>
  <hyperlinks>
    <hyperlink ref="B26" r:id="rId1" display="Accounting, GST, payroll and Virtual CFO services · www.myfinmantra.com · WhatsApp +91 97118 9955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L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1"/>
  </cols>
  <sheetData>
    <row r="2" customFormat="false" ht="19.7" hidden="false" customHeight="false" outlineLevel="0" collapsed="false">
      <c r="B2" s="1" t="s">
        <v>29</v>
      </c>
    </row>
    <row r="3" customFormat="false" ht="15" hidden="false" customHeight="false" outlineLevel="0" collapsed="false">
      <c r="B3" s="15" t="str">
        <f aca="false">Setup!$C$5&amp;"  ·  "&amp;Setup!$C$7</f>
        <v>Sample Traders Pvt Ltd  ·  Sep-26</v>
      </c>
    </row>
    <row r="5" customFormat="false" ht="15" hidden="false" customHeight="false" outlineLevel="0" collapsed="false">
      <c r="B5" s="16" t="s">
        <v>30</v>
      </c>
      <c r="C5" s="16"/>
      <c r="E5" s="16" t="s">
        <v>31</v>
      </c>
      <c r="F5" s="16"/>
      <c r="H5" s="16" t="s">
        <v>32</v>
      </c>
      <c r="I5" s="16"/>
      <c r="K5" s="16" t="s">
        <v>33</v>
      </c>
      <c r="L5" s="16"/>
    </row>
    <row r="6" customFormat="false" ht="15" hidden="false" customHeight="false" outlineLevel="0" collapsed="false">
      <c r="B6" s="17" t="n">
        <f aca="false">'MIS Report'!C6</f>
        <v>2205000</v>
      </c>
      <c r="C6" s="17"/>
      <c r="E6" s="17" t="n">
        <f aca="false">'MIS Report'!C17</f>
        <v>611000</v>
      </c>
      <c r="F6" s="17"/>
      <c r="H6" s="17" t="n">
        <f aca="false">'MIS Report'!C22</f>
        <v>423000</v>
      </c>
      <c r="I6" s="17"/>
      <c r="K6" s="17" t="n">
        <f aca="false">'MIS Report'!C29</f>
        <v>1610000</v>
      </c>
      <c r="L6" s="17"/>
    </row>
    <row r="7" customFormat="false" ht="15" hidden="false" customHeight="false" outlineLevel="0" collapsed="false">
      <c r="B7" s="17"/>
      <c r="C7" s="17"/>
      <c r="E7" s="17"/>
      <c r="F7" s="17"/>
      <c r="H7" s="17"/>
      <c r="I7" s="17"/>
      <c r="K7" s="17"/>
      <c r="L7" s="17"/>
    </row>
    <row r="9" customFormat="false" ht="15" hidden="false" customHeight="false" outlineLevel="0" collapsed="false">
      <c r="B9" s="16" t="s">
        <v>34</v>
      </c>
      <c r="C9" s="16"/>
      <c r="E9" s="16" t="s">
        <v>35</v>
      </c>
      <c r="F9" s="16"/>
      <c r="H9" s="16" t="s">
        <v>36</v>
      </c>
      <c r="I9" s="16"/>
      <c r="K9" s="16" t="s">
        <v>37</v>
      </c>
      <c r="L9" s="16"/>
    </row>
    <row r="10" customFormat="false" ht="15" hidden="false" customHeight="false" outlineLevel="0" collapsed="false">
      <c r="B10" s="17" t="n">
        <f aca="false">'MIS Report'!G6</f>
        <v>12150000</v>
      </c>
      <c r="C10" s="17"/>
      <c r="E10" s="17" t="n">
        <f aca="false">'MIS Report'!G22</f>
        <v>2241700</v>
      </c>
      <c r="F10" s="17"/>
      <c r="H10" s="18" t="n">
        <f aca="false">'MIS Report'!C26</f>
        <v>0.277097505668934</v>
      </c>
      <c r="I10" s="18"/>
      <c r="K10" s="19" t="n">
        <f aca="false">'MIS Report'!C34</f>
        <v>34.2857142857143</v>
      </c>
      <c r="L10" s="19"/>
    </row>
    <row r="11" customFormat="false" ht="15" hidden="false" customHeight="false" outlineLevel="0" collapsed="false">
      <c r="B11" s="17"/>
      <c r="C11" s="17"/>
      <c r="E11" s="17"/>
      <c r="F11" s="17"/>
      <c r="H11" s="18"/>
      <c r="I11" s="18"/>
      <c r="K11" s="19"/>
      <c r="L11" s="19"/>
    </row>
  </sheetData>
  <mergeCells count="16">
    <mergeCell ref="B5:C5"/>
    <mergeCell ref="E5:F5"/>
    <mergeCell ref="H5:I5"/>
    <mergeCell ref="K5:L5"/>
    <mergeCell ref="B6:C7"/>
    <mergeCell ref="E6:F7"/>
    <mergeCell ref="H6:I7"/>
    <mergeCell ref="K6:L7"/>
    <mergeCell ref="B9:C9"/>
    <mergeCell ref="E9:F9"/>
    <mergeCell ref="H9:I9"/>
    <mergeCell ref="K9:L9"/>
    <mergeCell ref="B10:C11"/>
    <mergeCell ref="E10:F11"/>
    <mergeCell ref="H10:I11"/>
    <mergeCell ref="K10:L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30"/>
  </cols>
  <sheetData>
    <row r="2" customFormat="false" ht="19.7" hidden="false" customHeight="false" outlineLevel="0" collapsed="false">
      <c r="B2" s="1" t="s">
        <v>38</v>
      </c>
    </row>
    <row r="3" customFormat="false" ht="15" hidden="false" customHeight="false" outlineLevel="0" collapsed="false">
      <c r="B3" s="2" t="s">
        <v>39</v>
      </c>
    </row>
    <row r="5" customFormat="false" ht="15" hidden="false" customHeight="false" outlineLevel="0" collapsed="false">
      <c r="B5" s="9" t="s">
        <v>40</v>
      </c>
      <c r="C5" s="5" t="s">
        <v>41</v>
      </c>
    </row>
    <row r="6" customFormat="false" ht="15" hidden="false" customHeight="false" outlineLevel="0" collapsed="false">
      <c r="B6" s="9" t="s">
        <v>42</v>
      </c>
      <c r="C6" s="5" t="s">
        <v>43</v>
      </c>
    </row>
    <row r="7" customFormat="false" ht="15" hidden="false" customHeight="false" outlineLevel="0" collapsed="false">
      <c r="B7" s="9" t="s">
        <v>44</v>
      </c>
      <c r="C7" s="5" t="s">
        <v>45</v>
      </c>
      <c r="E7" s="2" t="s">
        <v>46</v>
      </c>
    </row>
    <row r="8" customFormat="false" ht="15" hidden="false" customHeight="false" outlineLevel="0" collapsed="false">
      <c r="B8" s="9" t="s">
        <v>47</v>
      </c>
      <c r="C8" s="5" t="s">
        <v>48</v>
      </c>
    </row>
  </sheetData>
  <dataValidations count="1">
    <dataValidation allowBlank="false" errorStyle="stop" operator="between" showDropDown="false" showErrorMessage="false" showInputMessage="false" sqref="C7" type="list">
      <formula1>'P&amp;L Data'!$C$5:$N$5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O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14" min="3" style="0" width="12"/>
    <col collapsed="false" customWidth="true" hidden="false" outlineLevel="0" max="15" min="15" style="0" width="14"/>
  </cols>
  <sheetData>
    <row r="2" customFormat="false" ht="19.7" hidden="false" customHeight="false" outlineLevel="0" collapsed="false">
      <c r="B2" s="1" t="s">
        <v>49</v>
      </c>
    </row>
    <row r="3" customFormat="false" ht="15" hidden="false" customHeight="false" outlineLevel="0" collapsed="false">
      <c r="B3" s="2" t="s">
        <v>50</v>
      </c>
    </row>
    <row r="5" customFormat="false" ht="30" hidden="false" customHeight="true" outlineLevel="0" collapsed="false">
      <c r="B5" s="20" t="s">
        <v>51</v>
      </c>
      <c r="C5" s="21" t="s">
        <v>52</v>
      </c>
      <c r="D5" s="21" t="s">
        <v>53</v>
      </c>
      <c r="E5" s="21" t="s">
        <v>54</v>
      </c>
      <c r="F5" s="21" t="s">
        <v>55</v>
      </c>
      <c r="G5" s="21" t="s">
        <v>56</v>
      </c>
      <c r="H5" s="21" t="s">
        <v>45</v>
      </c>
      <c r="I5" s="21" t="s">
        <v>57</v>
      </c>
      <c r="J5" s="21" t="s">
        <v>58</v>
      </c>
      <c r="K5" s="21" t="s">
        <v>59</v>
      </c>
      <c r="L5" s="21" t="s">
        <v>60</v>
      </c>
      <c r="M5" s="21" t="s">
        <v>61</v>
      </c>
      <c r="N5" s="21" t="s">
        <v>62</v>
      </c>
      <c r="O5" s="21" t="s">
        <v>63</v>
      </c>
    </row>
    <row r="6" customFormat="false" ht="15" hidden="false" customHeight="false" outlineLevel="0" collapsed="false">
      <c r="B6" s="22" t="s">
        <v>64</v>
      </c>
      <c r="C6" s="23" t="n">
        <v>1850000</v>
      </c>
      <c r="D6" s="23" t="n">
        <v>1925000</v>
      </c>
      <c r="E6" s="23" t="n">
        <v>1990000</v>
      </c>
      <c r="F6" s="23" t="n">
        <v>2060000</v>
      </c>
      <c r="G6" s="23" t="n">
        <v>2120000</v>
      </c>
      <c r="H6" s="23" t="n">
        <v>2205000</v>
      </c>
      <c r="I6" s="23"/>
      <c r="J6" s="23"/>
      <c r="K6" s="23"/>
      <c r="L6" s="23"/>
      <c r="M6" s="23"/>
      <c r="N6" s="23"/>
      <c r="O6" s="24" t="n">
        <f aca="false">SUM(C6:N6)</f>
        <v>12150000</v>
      </c>
    </row>
    <row r="7" customFormat="false" ht="15" hidden="false" customHeight="false" outlineLevel="0" collapsed="false">
      <c r="B7" s="22" t="s">
        <v>65</v>
      </c>
      <c r="C7" s="23" t="n">
        <v>25000</v>
      </c>
      <c r="D7" s="23" t="n">
        <v>18000</v>
      </c>
      <c r="E7" s="23" t="n">
        <v>22000</v>
      </c>
      <c r="F7" s="23" t="n">
        <v>30000</v>
      </c>
      <c r="G7" s="23" t="n">
        <v>21000</v>
      </c>
      <c r="H7" s="23" t="n">
        <v>26000</v>
      </c>
      <c r="I7" s="23"/>
      <c r="J7" s="23"/>
      <c r="K7" s="23"/>
      <c r="L7" s="23"/>
      <c r="M7" s="23"/>
      <c r="N7" s="23"/>
      <c r="O7" s="24" t="n">
        <f aca="false">SUM(C7:N7)</f>
        <v>142000</v>
      </c>
    </row>
    <row r="8" customFormat="false" ht="15" hidden="false" customHeight="false" outlineLevel="0" collapsed="false">
      <c r="B8" s="25" t="s">
        <v>66</v>
      </c>
      <c r="C8" s="24" t="n">
        <f aca="false">IF(COUNT(C6:C7,C9,C11:C15)=0,"",C6+C7)</f>
        <v>1875000</v>
      </c>
      <c r="D8" s="24" t="n">
        <f aca="false">IF(COUNT(D6:D7,D9,D11:D15)=0,"",D6+D7)</f>
        <v>1943000</v>
      </c>
      <c r="E8" s="24" t="n">
        <f aca="false">IF(COUNT(E6:E7,E9,E11:E15)=0,"",E6+E7)</f>
        <v>2012000</v>
      </c>
      <c r="F8" s="24" t="n">
        <f aca="false">IF(COUNT(F6:F7,F9,F11:F15)=0,"",F6+F7)</f>
        <v>2090000</v>
      </c>
      <c r="G8" s="24" t="n">
        <f aca="false">IF(COUNT(G6:G7,G9,G11:G15)=0,"",G6+G7)</f>
        <v>2141000</v>
      </c>
      <c r="H8" s="24" t="n">
        <f aca="false">IF(COUNT(H6:H7,H9,H11:H15)=0,"",H6+H7)</f>
        <v>2231000</v>
      </c>
      <c r="I8" s="24" t="str">
        <f aca="false">IF(COUNT(I6:I7,I9,I11:I15)=0,"",I6+I7)</f>
        <v/>
      </c>
      <c r="J8" s="24" t="str">
        <f aca="false">IF(COUNT(J6:J7,J9,J11:J15)=0,"",J6+J7)</f>
        <v/>
      </c>
      <c r="K8" s="24" t="str">
        <f aca="false">IF(COUNT(K6:K7,K9,K11:K15)=0,"",K6+K7)</f>
        <v/>
      </c>
      <c r="L8" s="24" t="str">
        <f aca="false">IF(COUNT(L6:L7,L9,L11:L15)=0,"",L6+L7)</f>
        <v/>
      </c>
      <c r="M8" s="24" t="str">
        <f aca="false">IF(COUNT(M6:M7,M9,M11:M15)=0,"",M6+M7)</f>
        <v/>
      </c>
      <c r="N8" s="24" t="str">
        <f aca="false">IF(COUNT(N6:N7,N9,N11:N15)=0,"",N6+N7)</f>
        <v/>
      </c>
      <c r="O8" s="24" t="n">
        <f aca="false">SUM(C8:N8)</f>
        <v>12292000</v>
      </c>
    </row>
    <row r="9" customFormat="false" ht="15" hidden="false" customHeight="false" outlineLevel="0" collapsed="false">
      <c r="B9" s="22" t="s">
        <v>67</v>
      </c>
      <c r="C9" s="23" t="n">
        <v>740000</v>
      </c>
      <c r="D9" s="23" t="n">
        <v>770000</v>
      </c>
      <c r="E9" s="23" t="n">
        <v>796000</v>
      </c>
      <c r="F9" s="23" t="n">
        <v>824000</v>
      </c>
      <c r="G9" s="23" t="n">
        <v>848000</v>
      </c>
      <c r="H9" s="23" t="n">
        <v>882000</v>
      </c>
      <c r="I9" s="23"/>
      <c r="J9" s="23"/>
      <c r="K9" s="23"/>
      <c r="L9" s="23"/>
      <c r="M9" s="23"/>
      <c r="N9" s="23"/>
      <c r="O9" s="24" t="n">
        <f aca="false">SUM(C9:N9)</f>
        <v>4860000</v>
      </c>
    </row>
    <row r="10" customFormat="false" ht="15" hidden="false" customHeight="false" outlineLevel="0" collapsed="false">
      <c r="B10" s="25" t="s">
        <v>68</v>
      </c>
      <c r="C10" s="24" t="n">
        <f aca="false">IF(COUNT(C6:C7,C9,C11:C15)=0,"",C6-C9)</f>
        <v>1110000</v>
      </c>
      <c r="D10" s="24" t="n">
        <f aca="false">IF(COUNT(D6:D7,D9,D11:D15)=0,"",D6-D9)</f>
        <v>1155000</v>
      </c>
      <c r="E10" s="24" t="n">
        <f aca="false">IF(COUNT(E6:E7,E9,E11:E15)=0,"",E6-E9)</f>
        <v>1194000</v>
      </c>
      <c r="F10" s="24" t="n">
        <f aca="false">IF(COUNT(F6:F7,F9,F11:F15)=0,"",F6-F9)</f>
        <v>1236000</v>
      </c>
      <c r="G10" s="24" t="n">
        <f aca="false">IF(COUNT(G6:G7,G9,G11:G15)=0,"",G6-G9)</f>
        <v>1272000</v>
      </c>
      <c r="H10" s="24" t="n">
        <f aca="false">IF(COUNT(H6:H7,H9,H11:H15)=0,"",H6-H9)</f>
        <v>1323000</v>
      </c>
      <c r="I10" s="24" t="str">
        <f aca="false">IF(COUNT(I6:I7,I9,I11:I15)=0,"",I6-I9)</f>
        <v/>
      </c>
      <c r="J10" s="24" t="str">
        <f aca="false">IF(COUNT(J6:J7,J9,J11:J15)=0,"",J6-J9)</f>
        <v/>
      </c>
      <c r="K10" s="24" t="str">
        <f aca="false">IF(COUNT(K6:K7,K9,K11:K15)=0,"",K6-K9)</f>
        <v/>
      </c>
      <c r="L10" s="24" t="str">
        <f aca="false">IF(COUNT(L6:L7,L9,L11:L15)=0,"",L6-L9)</f>
        <v/>
      </c>
      <c r="M10" s="24" t="str">
        <f aca="false">IF(COUNT(M6:M7,M9,M11:M15)=0,"",M6-M9)</f>
        <v/>
      </c>
      <c r="N10" s="24" t="str">
        <f aca="false">IF(COUNT(N6:N7,N9,N11:N15)=0,"",N6-N9)</f>
        <v/>
      </c>
      <c r="O10" s="24" t="n">
        <f aca="false">SUM(C10:N10)</f>
        <v>7290000</v>
      </c>
    </row>
    <row r="11" customFormat="false" ht="15" hidden="false" customHeight="false" outlineLevel="0" collapsed="false">
      <c r="B11" s="22" t="s">
        <v>69</v>
      </c>
      <c r="C11" s="23" t="n">
        <v>420000</v>
      </c>
      <c r="D11" s="23" t="n">
        <v>420000</v>
      </c>
      <c r="E11" s="23" t="n">
        <v>435000</v>
      </c>
      <c r="F11" s="23" t="n">
        <v>435000</v>
      </c>
      <c r="G11" s="23" t="n">
        <v>450000</v>
      </c>
      <c r="H11" s="23" t="n">
        <v>450000</v>
      </c>
      <c r="I11" s="23"/>
      <c r="J11" s="23"/>
      <c r="K11" s="23"/>
      <c r="L11" s="23"/>
      <c r="M11" s="23"/>
      <c r="N11" s="23"/>
      <c r="O11" s="24" t="n">
        <f aca="false">SUM(C11:N11)</f>
        <v>2610000</v>
      </c>
    </row>
    <row r="12" customFormat="false" ht="15" hidden="false" customHeight="false" outlineLevel="0" collapsed="false">
      <c r="B12" s="22" t="s">
        <v>70</v>
      </c>
      <c r="C12" s="23" t="n">
        <v>85000</v>
      </c>
      <c r="D12" s="23" t="n">
        <v>85000</v>
      </c>
      <c r="E12" s="23" t="n">
        <v>85000</v>
      </c>
      <c r="F12" s="23" t="n">
        <v>85000</v>
      </c>
      <c r="G12" s="23" t="n">
        <v>85000</v>
      </c>
      <c r="H12" s="23" t="n">
        <v>85000</v>
      </c>
      <c r="I12" s="23"/>
      <c r="J12" s="23"/>
      <c r="K12" s="23"/>
      <c r="L12" s="23"/>
      <c r="M12" s="23"/>
      <c r="N12" s="23"/>
      <c r="O12" s="24" t="n">
        <f aca="false">SUM(C12:N12)</f>
        <v>510000</v>
      </c>
    </row>
    <row r="13" customFormat="false" ht="15" hidden="false" customHeight="false" outlineLevel="0" collapsed="false">
      <c r="B13" s="22" t="s">
        <v>71</v>
      </c>
      <c r="C13" s="23" t="n">
        <v>45000</v>
      </c>
      <c r="D13" s="23" t="n">
        <v>40000</v>
      </c>
      <c r="E13" s="23" t="n">
        <v>52000</v>
      </c>
      <c r="F13" s="23" t="n">
        <v>45000</v>
      </c>
      <c r="G13" s="23" t="n">
        <v>48000</v>
      </c>
      <c r="H13" s="23" t="n">
        <v>60000</v>
      </c>
      <c r="I13" s="23"/>
      <c r="J13" s="23"/>
      <c r="K13" s="23"/>
      <c r="L13" s="23"/>
      <c r="M13" s="23"/>
      <c r="N13" s="23"/>
      <c r="O13" s="24" t="n">
        <f aca="false">SUM(C13:N13)</f>
        <v>290000</v>
      </c>
    </row>
    <row r="14" customFormat="false" ht="15" hidden="false" customHeight="false" outlineLevel="0" collapsed="false">
      <c r="B14" s="22" t="s">
        <v>72</v>
      </c>
      <c r="C14" s="23" t="n">
        <v>60000</v>
      </c>
      <c r="D14" s="23" t="n">
        <v>65000</v>
      </c>
      <c r="E14" s="23" t="n">
        <v>55000</v>
      </c>
      <c r="F14" s="23" t="n">
        <v>72000</v>
      </c>
      <c r="G14" s="23" t="n">
        <v>70000</v>
      </c>
      <c r="H14" s="23" t="n">
        <v>80000</v>
      </c>
      <c r="I14" s="23"/>
      <c r="J14" s="23"/>
      <c r="K14" s="23"/>
      <c r="L14" s="23"/>
      <c r="M14" s="23"/>
      <c r="N14" s="23"/>
      <c r="O14" s="24" t="n">
        <f aca="false">SUM(C14:N14)</f>
        <v>402000</v>
      </c>
    </row>
    <row r="15" customFormat="false" ht="15" hidden="false" customHeight="false" outlineLevel="0" collapsed="false">
      <c r="B15" s="22" t="s">
        <v>73</v>
      </c>
      <c r="C15" s="23" t="n">
        <v>55000</v>
      </c>
      <c r="D15" s="23" t="n">
        <v>52000</v>
      </c>
      <c r="E15" s="23" t="n">
        <v>58000</v>
      </c>
      <c r="F15" s="23" t="n">
        <v>61000</v>
      </c>
      <c r="G15" s="23" t="n">
        <v>57000</v>
      </c>
      <c r="H15" s="23" t="n">
        <v>63000</v>
      </c>
      <c r="I15" s="23"/>
      <c r="J15" s="23"/>
      <c r="K15" s="23"/>
      <c r="L15" s="23"/>
      <c r="M15" s="23"/>
      <c r="N15" s="23"/>
      <c r="O15" s="24" t="n">
        <f aca="false">SUM(C15:N15)</f>
        <v>346000</v>
      </c>
    </row>
    <row r="16" customFormat="false" ht="15" hidden="false" customHeight="false" outlineLevel="0" collapsed="false">
      <c r="B16" s="25" t="s">
        <v>74</v>
      </c>
      <c r="C16" s="24" t="n">
        <f aca="false">IF(COUNT(C6:C7,C9,C11:C15)=0,"",SUM(C11:C15))</f>
        <v>665000</v>
      </c>
      <c r="D16" s="24" t="n">
        <f aca="false">IF(COUNT(D6:D7,D9,D11:D15)=0,"",SUM(D11:D15))</f>
        <v>662000</v>
      </c>
      <c r="E16" s="24" t="n">
        <f aca="false">IF(COUNT(E6:E7,E9,E11:E15)=0,"",SUM(E11:E15))</f>
        <v>685000</v>
      </c>
      <c r="F16" s="24" t="n">
        <f aca="false">IF(COUNT(F6:F7,F9,F11:F15)=0,"",SUM(F11:F15))</f>
        <v>698000</v>
      </c>
      <c r="G16" s="24" t="n">
        <f aca="false">IF(COUNT(G6:G7,G9,G11:G15)=0,"",SUM(G11:G15))</f>
        <v>710000</v>
      </c>
      <c r="H16" s="24" t="n">
        <f aca="false">IF(COUNT(H6:H7,H9,H11:H15)=0,"",SUM(H11:H15))</f>
        <v>738000</v>
      </c>
      <c r="I16" s="24" t="str">
        <f aca="false">IF(COUNT(I6:I7,I9,I11:I15)=0,"",SUM(I11:I15))</f>
        <v/>
      </c>
      <c r="J16" s="24" t="str">
        <f aca="false">IF(COUNT(J6:J7,J9,J11:J15)=0,"",SUM(J11:J15))</f>
        <v/>
      </c>
      <c r="K16" s="24" t="str">
        <f aca="false">IF(COUNT(K6:K7,K9,K11:K15)=0,"",SUM(K11:K15))</f>
        <v/>
      </c>
      <c r="L16" s="24" t="str">
        <f aca="false">IF(COUNT(L6:L7,L9,L11:L15)=0,"",SUM(L11:L15))</f>
        <v/>
      </c>
      <c r="M16" s="24" t="str">
        <f aca="false">IF(COUNT(M6:M7,M9,M11:M15)=0,"",SUM(M11:M15))</f>
        <v/>
      </c>
      <c r="N16" s="24" t="str">
        <f aca="false">IF(COUNT(N6:N7,N9,N11:N15)=0,"",SUM(N11:N15))</f>
        <v/>
      </c>
      <c r="O16" s="24" t="n">
        <f aca="false">SUM(C16:N16)</f>
        <v>4158000</v>
      </c>
    </row>
    <row r="17" customFormat="false" ht="15" hidden="false" customHeight="false" outlineLevel="0" collapsed="false">
      <c r="B17" s="25" t="s">
        <v>75</v>
      </c>
      <c r="C17" s="24" t="n">
        <f aca="false">IF(COUNT(C6:C7,C9,C11:C15)=0,"",C8-C9-C16)</f>
        <v>470000</v>
      </c>
      <c r="D17" s="24" t="n">
        <f aca="false">IF(COUNT(D6:D7,D9,D11:D15)=0,"",D8-D9-D16)</f>
        <v>511000</v>
      </c>
      <c r="E17" s="24" t="n">
        <f aca="false">IF(COUNT(E6:E7,E9,E11:E15)=0,"",E8-E9-E16)</f>
        <v>531000</v>
      </c>
      <c r="F17" s="24" t="n">
        <f aca="false">IF(COUNT(F6:F7,F9,F11:F15)=0,"",F8-F9-F16)</f>
        <v>568000</v>
      </c>
      <c r="G17" s="24" t="n">
        <f aca="false">IF(COUNT(G6:G7,G9,G11:G15)=0,"",G8-G9-G16)</f>
        <v>583000</v>
      </c>
      <c r="H17" s="24" t="n">
        <f aca="false">IF(COUNT(H6:H7,H9,H11:H15)=0,"",H8-H9-H16)</f>
        <v>611000</v>
      </c>
      <c r="I17" s="24" t="str">
        <f aca="false">IF(COUNT(I6:I7,I9,I11:I15)=0,"",I8-I9-I16)</f>
        <v/>
      </c>
      <c r="J17" s="24" t="str">
        <f aca="false">IF(COUNT(J6:J7,J9,J11:J15)=0,"",J8-J9-J16)</f>
        <v/>
      </c>
      <c r="K17" s="24" t="str">
        <f aca="false">IF(COUNT(K6:K7,K9,K11:K15)=0,"",K8-K9-K16)</f>
        <v/>
      </c>
      <c r="L17" s="24" t="str">
        <f aca="false">IF(COUNT(L6:L7,L9,L11:L15)=0,"",L8-L9-L16)</f>
        <v/>
      </c>
      <c r="M17" s="24" t="str">
        <f aca="false">IF(COUNT(M6:M7,M9,M11:M15)=0,"",M8-M9-M16)</f>
        <v/>
      </c>
      <c r="N17" s="24" t="str">
        <f aca="false">IF(COUNT(N6:N7,N9,N11:N15)=0,"",N8-N9-N16)</f>
        <v/>
      </c>
      <c r="O17" s="24" t="n">
        <f aca="false">SUM(C17:N17)</f>
        <v>3274000</v>
      </c>
    </row>
    <row r="18" customFormat="false" ht="15" hidden="false" customHeight="false" outlineLevel="0" collapsed="false">
      <c r="B18" s="22" t="s">
        <v>76</v>
      </c>
      <c r="C18" s="23" t="n">
        <v>30000</v>
      </c>
      <c r="D18" s="23" t="n">
        <v>30000</v>
      </c>
      <c r="E18" s="23" t="n">
        <v>30000</v>
      </c>
      <c r="F18" s="23" t="n">
        <v>30000</v>
      </c>
      <c r="G18" s="23" t="n">
        <v>30000</v>
      </c>
      <c r="H18" s="23" t="n">
        <v>30000</v>
      </c>
      <c r="I18" s="23"/>
      <c r="J18" s="23"/>
      <c r="K18" s="23"/>
      <c r="L18" s="23"/>
      <c r="M18" s="23"/>
      <c r="N18" s="23"/>
      <c r="O18" s="24" t="n">
        <f aca="false">SUM(C18:N18)</f>
        <v>180000</v>
      </c>
    </row>
    <row r="19" customFormat="false" ht="15" hidden="false" customHeight="false" outlineLevel="0" collapsed="false">
      <c r="B19" s="22" t="s">
        <v>77</v>
      </c>
      <c r="C19" s="23" t="n">
        <v>18000</v>
      </c>
      <c r="D19" s="23" t="n">
        <v>18000</v>
      </c>
      <c r="E19" s="23" t="n">
        <v>17500</v>
      </c>
      <c r="F19" s="23" t="n">
        <v>17500</v>
      </c>
      <c r="G19" s="23" t="n">
        <v>17000</v>
      </c>
      <c r="H19" s="23" t="n">
        <v>17000</v>
      </c>
      <c r="I19" s="23"/>
      <c r="J19" s="23"/>
      <c r="K19" s="23"/>
      <c r="L19" s="23"/>
      <c r="M19" s="23"/>
      <c r="N19" s="23"/>
      <c r="O19" s="24" t="n">
        <f aca="false">SUM(C19:N19)</f>
        <v>105000</v>
      </c>
    </row>
    <row r="20" customFormat="false" ht="15" hidden="false" customHeight="false" outlineLevel="0" collapsed="false">
      <c r="B20" s="25" t="s">
        <v>78</v>
      </c>
      <c r="C20" s="24" t="n">
        <f aca="false">IF(COUNT(C6:C7,C9,C11:C15)=0,"",C17-C18-C19)</f>
        <v>422000</v>
      </c>
      <c r="D20" s="24" t="n">
        <f aca="false">IF(COUNT(D6:D7,D9,D11:D15)=0,"",D17-D18-D19)</f>
        <v>463000</v>
      </c>
      <c r="E20" s="24" t="n">
        <f aca="false">IF(COUNT(E6:E7,E9,E11:E15)=0,"",E17-E18-E19)</f>
        <v>483500</v>
      </c>
      <c r="F20" s="24" t="n">
        <f aca="false">IF(COUNT(F6:F7,F9,F11:F15)=0,"",F17-F18-F19)</f>
        <v>520500</v>
      </c>
      <c r="G20" s="24" t="n">
        <f aca="false">IF(COUNT(G6:G7,G9,G11:G15)=0,"",G17-G18-G19)</f>
        <v>536000</v>
      </c>
      <c r="H20" s="24" t="n">
        <f aca="false">IF(COUNT(H6:H7,H9,H11:H15)=0,"",H17-H18-H19)</f>
        <v>564000</v>
      </c>
      <c r="I20" s="24" t="str">
        <f aca="false">IF(COUNT(I6:I7,I9,I11:I15)=0,"",I17-I18-I19)</f>
        <v/>
      </c>
      <c r="J20" s="24" t="str">
        <f aca="false">IF(COUNT(J6:J7,J9,J11:J15)=0,"",J17-J18-J19)</f>
        <v/>
      </c>
      <c r="K20" s="24" t="str">
        <f aca="false">IF(COUNT(K6:K7,K9,K11:K15)=0,"",K17-K18-K19)</f>
        <v/>
      </c>
      <c r="L20" s="24" t="str">
        <f aca="false">IF(COUNT(L6:L7,L9,L11:L15)=0,"",L17-L18-L19)</f>
        <v/>
      </c>
      <c r="M20" s="24" t="str">
        <f aca="false">IF(COUNT(M6:M7,M9,M11:M15)=0,"",M17-M18-M19)</f>
        <v/>
      </c>
      <c r="N20" s="24" t="str">
        <f aca="false">IF(COUNT(N6:N7,N9,N11:N15)=0,"",N17-N18-N19)</f>
        <v/>
      </c>
      <c r="O20" s="24" t="n">
        <f aca="false">SUM(C20:N20)</f>
        <v>2989000</v>
      </c>
    </row>
    <row r="21" customFormat="false" ht="15" hidden="false" customHeight="false" outlineLevel="0" collapsed="false">
      <c r="B21" s="22" t="s">
        <v>79</v>
      </c>
      <c r="C21" s="23" t="n">
        <v>105500</v>
      </c>
      <c r="D21" s="23" t="n">
        <v>115800</v>
      </c>
      <c r="E21" s="23" t="n">
        <v>120900</v>
      </c>
      <c r="F21" s="23" t="n">
        <v>130100</v>
      </c>
      <c r="G21" s="23" t="n">
        <v>134000</v>
      </c>
      <c r="H21" s="23" t="n">
        <v>141000</v>
      </c>
      <c r="I21" s="23"/>
      <c r="J21" s="23"/>
      <c r="K21" s="23"/>
      <c r="L21" s="23"/>
      <c r="M21" s="23"/>
      <c r="N21" s="23"/>
      <c r="O21" s="24" t="n">
        <f aca="false">SUM(C21:N21)</f>
        <v>747300</v>
      </c>
    </row>
    <row r="22" customFormat="false" ht="15" hidden="false" customHeight="false" outlineLevel="0" collapsed="false">
      <c r="B22" s="25" t="s">
        <v>80</v>
      </c>
      <c r="C22" s="24" t="n">
        <f aca="false">IF(COUNT(C6:C7,C9,C11:C15)=0,"",C20-C21)</f>
        <v>316500</v>
      </c>
      <c r="D22" s="24" t="n">
        <f aca="false">IF(COUNT(D6:D7,D9,D11:D15)=0,"",D20-D21)</f>
        <v>347200</v>
      </c>
      <c r="E22" s="24" t="n">
        <f aca="false">IF(COUNT(E6:E7,E9,E11:E15)=0,"",E20-E21)</f>
        <v>362600</v>
      </c>
      <c r="F22" s="24" t="n">
        <f aca="false">IF(COUNT(F6:F7,F9,F11:F15)=0,"",F20-F21)</f>
        <v>390400</v>
      </c>
      <c r="G22" s="24" t="n">
        <f aca="false">IF(COUNT(G6:G7,G9,G11:G15)=0,"",G20-G21)</f>
        <v>402000</v>
      </c>
      <c r="H22" s="24" t="n">
        <f aca="false">IF(COUNT(H6:H7,H9,H11:H15)=0,"",H20-H21)</f>
        <v>423000</v>
      </c>
      <c r="I22" s="24" t="str">
        <f aca="false">IF(COUNT(I6:I7,I9,I11:I15)=0,"",I20-I21)</f>
        <v/>
      </c>
      <c r="J22" s="24" t="str">
        <f aca="false">IF(COUNT(J6:J7,J9,J11:J15)=0,"",J20-J21)</f>
        <v/>
      </c>
      <c r="K22" s="24" t="str">
        <f aca="false">IF(COUNT(K6:K7,K9,K11:K15)=0,"",K20-K21)</f>
        <v/>
      </c>
      <c r="L22" s="24" t="str">
        <f aca="false">IF(COUNT(L6:L7,L9,L11:L15)=0,"",L20-L21)</f>
        <v/>
      </c>
      <c r="M22" s="24" t="str">
        <f aca="false">IF(COUNT(M6:M7,M9,M11:M15)=0,"",M20-M21)</f>
        <v/>
      </c>
      <c r="N22" s="24" t="str">
        <f aca="false">IF(COUNT(N6:N7,N9,N11:N15)=0,"",N20-N21)</f>
        <v/>
      </c>
      <c r="O22" s="24" t="n">
        <f aca="false">SUM(C22:N22)</f>
        <v>2241700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N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14" min="3" style="0" width="12"/>
  </cols>
  <sheetData>
    <row r="2" customFormat="false" ht="19.7" hidden="false" customHeight="false" outlineLevel="0" collapsed="false">
      <c r="B2" s="1" t="s">
        <v>81</v>
      </c>
    </row>
    <row r="3" customFormat="false" ht="15" hidden="false" customHeight="false" outlineLevel="0" collapsed="false">
      <c r="B3" s="2" t="s">
        <v>82</v>
      </c>
    </row>
    <row r="5" customFormat="false" ht="30" hidden="false" customHeight="true" outlineLevel="0" collapsed="false">
      <c r="B5" s="20" t="s">
        <v>51</v>
      </c>
      <c r="C5" s="21" t="s">
        <v>52</v>
      </c>
      <c r="D5" s="21" t="s">
        <v>53</v>
      </c>
      <c r="E5" s="21" t="s">
        <v>54</v>
      </c>
      <c r="F5" s="21" t="s">
        <v>55</v>
      </c>
      <c r="G5" s="21" t="s">
        <v>56</v>
      </c>
      <c r="H5" s="21" t="s">
        <v>45</v>
      </c>
      <c r="I5" s="21" t="s">
        <v>57</v>
      </c>
      <c r="J5" s="21" t="s">
        <v>58</v>
      </c>
      <c r="K5" s="21" t="s">
        <v>59</v>
      </c>
      <c r="L5" s="21" t="s">
        <v>60</v>
      </c>
      <c r="M5" s="21" t="s">
        <v>61</v>
      </c>
      <c r="N5" s="21" t="s">
        <v>62</v>
      </c>
    </row>
    <row r="6" customFormat="false" ht="15" hidden="false" customHeight="false" outlineLevel="0" collapsed="false">
      <c r="B6" s="22" t="s">
        <v>83</v>
      </c>
      <c r="C6" s="23" t="n">
        <v>1240000</v>
      </c>
      <c r="D6" s="23" t="n">
        <v>1385000</v>
      </c>
      <c r="E6" s="23" t="n">
        <v>1310000</v>
      </c>
      <c r="F6" s="23" t="n">
        <v>1465000</v>
      </c>
      <c r="G6" s="23" t="n">
        <v>1520000</v>
      </c>
      <c r="H6" s="23" t="n">
        <v>1610000</v>
      </c>
      <c r="I6" s="23"/>
      <c r="J6" s="23"/>
      <c r="K6" s="23"/>
      <c r="L6" s="23"/>
      <c r="M6" s="23"/>
      <c r="N6" s="23"/>
    </row>
    <row r="7" customFormat="false" ht="15" hidden="false" customHeight="false" outlineLevel="0" collapsed="false">
      <c r="B7" s="22" t="s">
        <v>84</v>
      </c>
      <c r="C7" s="23" t="n">
        <v>2150000</v>
      </c>
      <c r="D7" s="23" t="n">
        <v>2240000</v>
      </c>
      <c r="E7" s="23" t="n">
        <v>2380000</v>
      </c>
      <c r="F7" s="23" t="n">
        <v>2310000</v>
      </c>
      <c r="G7" s="23" t="n">
        <v>2450000</v>
      </c>
      <c r="H7" s="23" t="n">
        <v>2520000</v>
      </c>
      <c r="I7" s="23"/>
      <c r="J7" s="23"/>
      <c r="K7" s="23"/>
      <c r="L7" s="23"/>
      <c r="M7" s="23"/>
      <c r="N7" s="23"/>
    </row>
    <row r="8" customFormat="false" ht="15" hidden="false" customHeight="false" outlineLevel="0" collapsed="false">
      <c r="B8" s="22" t="s">
        <v>85</v>
      </c>
      <c r="C8" s="23" t="n">
        <v>0</v>
      </c>
      <c r="D8" s="23" t="n">
        <v>0</v>
      </c>
      <c r="E8" s="23" t="n">
        <v>0</v>
      </c>
      <c r="F8" s="23" t="n">
        <v>0</v>
      </c>
      <c r="G8" s="23" t="n">
        <v>0</v>
      </c>
      <c r="H8" s="23" t="n">
        <v>0</v>
      </c>
      <c r="I8" s="23"/>
      <c r="J8" s="23"/>
      <c r="K8" s="23"/>
      <c r="L8" s="23"/>
      <c r="M8" s="23"/>
      <c r="N8" s="23"/>
    </row>
    <row r="9" customFormat="false" ht="15" hidden="false" customHeight="false" outlineLevel="0" collapsed="false">
      <c r="B9" s="22" t="s">
        <v>86</v>
      </c>
      <c r="C9" s="23" t="n">
        <v>640000</v>
      </c>
      <c r="D9" s="23" t="n">
        <v>610000</v>
      </c>
      <c r="E9" s="23" t="n">
        <v>700000</v>
      </c>
      <c r="F9" s="23" t="n">
        <v>680000</v>
      </c>
      <c r="G9" s="23" t="n">
        <v>720000</v>
      </c>
      <c r="H9" s="23" t="n">
        <v>735000</v>
      </c>
      <c r="I9" s="23"/>
      <c r="J9" s="23"/>
      <c r="K9" s="23"/>
      <c r="L9" s="23"/>
      <c r="M9" s="23"/>
      <c r="N9" s="23"/>
    </row>
    <row r="10" customFormat="false" ht="15" hidden="false" customHeight="false" outlineLevel="0" collapsed="false">
      <c r="B10" s="22" t="s">
        <v>87</v>
      </c>
      <c r="C10" s="23" t="n">
        <v>112000</v>
      </c>
      <c r="D10" s="23" t="n">
        <v>118000</v>
      </c>
      <c r="E10" s="23" t="n">
        <v>121000</v>
      </c>
      <c r="F10" s="23" t="n">
        <v>126000</v>
      </c>
      <c r="G10" s="23" t="n">
        <v>130000</v>
      </c>
      <c r="H10" s="23" t="n">
        <v>136000</v>
      </c>
      <c r="I10" s="23"/>
      <c r="J10" s="23"/>
      <c r="K10" s="23"/>
      <c r="L10" s="23"/>
      <c r="M10" s="23"/>
      <c r="N10" s="23"/>
    </row>
    <row r="11" customFormat="false" ht="15" hidden="false" customHeight="false" outlineLevel="0" collapsed="false">
      <c r="B11" s="22" t="s">
        <v>88</v>
      </c>
      <c r="C11" s="23" t="n">
        <v>38000</v>
      </c>
      <c r="D11" s="23" t="n">
        <v>38000</v>
      </c>
      <c r="E11" s="23" t="n">
        <v>39500</v>
      </c>
      <c r="F11" s="23" t="n">
        <v>39500</v>
      </c>
      <c r="G11" s="23" t="n">
        <v>41000</v>
      </c>
      <c r="H11" s="23" t="n">
        <v>41000</v>
      </c>
      <c r="I11" s="23"/>
      <c r="J11" s="23"/>
      <c r="K11" s="23"/>
      <c r="L11" s="23"/>
      <c r="M11" s="23"/>
      <c r="N11" s="23"/>
    </row>
    <row r="12" customFormat="false" ht="15" hidden="false" customHeight="false" outlineLevel="0" collapsed="false">
      <c r="B12" s="22" t="s">
        <v>89</v>
      </c>
      <c r="C12" s="23" t="n">
        <v>1500000</v>
      </c>
      <c r="D12" s="23" t="n">
        <v>1460000</v>
      </c>
      <c r="E12" s="23" t="n">
        <v>1420000</v>
      </c>
      <c r="F12" s="23" t="n">
        <v>1380000</v>
      </c>
      <c r="G12" s="23" t="n">
        <v>1340000</v>
      </c>
      <c r="H12" s="23" t="n">
        <v>1300000</v>
      </c>
      <c r="I12" s="23"/>
      <c r="J12" s="23"/>
      <c r="K12" s="23"/>
      <c r="L12" s="23"/>
      <c r="M12" s="23"/>
      <c r="N12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Q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4" min="3" style="0" width="15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6"/>
  </cols>
  <sheetData>
    <row r="2" customFormat="false" ht="19.7" hidden="false" customHeight="false" outlineLevel="0" collapsed="false">
      <c r="B2" s="1" t="s">
        <v>90</v>
      </c>
      <c r="P2" s="26" t="s">
        <v>91</v>
      </c>
      <c r="Q2" s="27" t="n">
        <f aca="false">MATCH(Setup!$C$7,'P&amp;L Data'!$C$5:$N$5,0)</f>
        <v>6</v>
      </c>
    </row>
    <row r="3" customFormat="false" ht="15" hidden="false" customHeight="false" outlineLevel="0" collapsed="false">
      <c r="B3" s="15" t="str">
        <f aca="false">"Client: "&amp;Setup!$C$5&amp;"   |   Month: "&amp;Setup!$C$7&amp;"   |   FY "&amp;Setup!$C$6</f>
        <v>Client: Sample Traders Pvt Ltd   |   Month: Sep-26   |   FY 2026-27</v>
      </c>
    </row>
    <row r="5" customFormat="false" ht="30" hidden="false" customHeight="true" outlineLevel="0" collapsed="false">
      <c r="B5" s="20" t="s">
        <v>51</v>
      </c>
      <c r="C5" s="21" t="s">
        <v>92</v>
      </c>
      <c r="D5" s="21" t="s">
        <v>93</v>
      </c>
      <c r="E5" s="21" t="s">
        <v>94</v>
      </c>
      <c r="F5" s="21" t="s">
        <v>95</v>
      </c>
      <c r="G5" s="21" t="s">
        <v>96</v>
      </c>
    </row>
    <row r="6" customFormat="false" ht="15" hidden="false" customHeight="false" outlineLevel="0" collapsed="false">
      <c r="B6" s="22" t="s">
        <v>64</v>
      </c>
      <c r="C6" s="28" t="n">
        <f aca="false">N(INDEX('P&amp;L Data'!$C$6:$N$6,$Q$2))</f>
        <v>2205000</v>
      </c>
      <c r="D6" s="28" t="n">
        <f aca="false">IF($Q$2&gt;1,N(INDEX('P&amp;L Data'!$C$6:$N$6,$Q$2-1)),0)</f>
        <v>2120000</v>
      </c>
      <c r="E6" s="28" t="n">
        <f aca="false">C6-D6</f>
        <v>85000</v>
      </c>
      <c r="F6" s="29" t="n">
        <f aca="false">IF(D6=0,"",E6/ABS(D6))</f>
        <v>0.0400943396226415</v>
      </c>
      <c r="G6" s="28" t="n">
        <f aca="false">SUM(INDEX('P&amp;L Data'!$C$6:$N$6,1):INDEX('P&amp;L Data'!$C$6:$N$6,$Q$2))</f>
        <v>12150000</v>
      </c>
    </row>
    <row r="7" customFormat="false" ht="15" hidden="false" customHeight="false" outlineLevel="0" collapsed="false">
      <c r="B7" s="22" t="s">
        <v>65</v>
      </c>
      <c r="C7" s="28" t="n">
        <f aca="false">N(INDEX('P&amp;L Data'!$C$7:$N$7,$Q$2))</f>
        <v>26000</v>
      </c>
      <c r="D7" s="28" t="n">
        <f aca="false">IF($Q$2&gt;1,N(INDEX('P&amp;L Data'!$C$7:$N$7,$Q$2-1)),0)</f>
        <v>21000</v>
      </c>
      <c r="E7" s="28" t="n">
        <f aca="false">C7-D7</f>
        <v>5000</v>
      </c>
      <c r="F7" s="29" t="n">
        <f aca="false">IF(D7=0,"",E7/ABS(D7))</f>
        <v>0.238095238095238</v>
      </c>
      <c r="G7" s="28" t="n">
        <f aca="false">SUM(INDEX('P&amp;L Data'!$C$7:$N$7,1):INDEX('P&amp;L Data'!$C$7:$N$7,$Q$2))</f>
        <v>142000</v>
      </c>
    </row>
    <row r="8" customFormat="false" ht="15" hidden="false" customHeight="false" outlineLevel="0" collapsed="false">
      <c r="B8" s="25" t="s">
        <v>66</v>
      </c>
      <c r="C8" s="24" t="n">
        <f aca="false">N(INDEX('P&amp;L Data'!$C$8:$N$8,$Q$2))</f>
        <v>2231000</v>
      </c>
      <c r="D8" s="24" t="n">
        <f aca="false">IF($Q$2&gt;1,N(INDEX('P&amp;L Data'!$C$8:$N$8,$Q$2-1)),0)</f>
        <v>2141000</v>
      </c>
      <c r="E8" s="24" t="n">
        <f aca="false">C8-D8</f>
        <v>90000</v>
      </c>
      <c r="F8" s="30" t="n">
        <f aca="false">IF(D8=0,"",E8/ABS(D8))</f>
        <v>0.0420364315740308</v>
      </c>
      <c r="G8" s="24" t="n">
        <f aca="false">SUM(INDEX('P&amp;L Data'!$C$8:$N$8,1):INDEX('P&amp;L Data'!$C$8:$N$8,$Q$2))</f>
        <v>12292000</v>
      </c>
    </row>
    <row r="9" customFormat="false" ht="15" hidden="false" customHeight="false" outlineLevel="0" collapsed="false">
      <c r="B9" s="22" t="s">
        <v>67</v>
      </c>
      <c r="C9" s="28" t="n">
        <f aca="false">N(INDEX('P&amp;L Data'!$C$9:$N$9,$Q$2))</f>
        <v>882000</v>
      </c>
      <c r="D9" s="28" t="n">
        <f aca="false">IF($Q$2&gt;1,N(INDEX('P&amp;L Data'!$C$9:$N$9,$Q$2-1)),0)</f>
        <v>848000</v>
      </c>
      <c r="E9" s="28" t="n">
        <f aca="false">C9-D9</f>
        <v>34000</v>
      </c>
      <c r="F9" s="29" t="n">
        <f aca="false">IF(D9=0,"",E9/ABS(D9))</f>
        <v>0.0400943396226415</v>
      </c>
      <c r="G9" s="28" t="n">
        <f aca="false">SUM(INDEX('P&amp;L Data'!$C$9:$N$9,1):INDEX('P&amp;L Data'!$C$9:$N$9,$Q$2))</f>
        <v>4860000</v>
      </c>
    </row>
    <row r="10" customFormat="false" ht="15" hidden="false" customHeight="false" outlineLevel="0" collapsed="false">
      <c r="B10" s="25" t="s">
        <v>68</v>
      </c>
      <c r="C10" s="24" t="n">
        <f aca="false">N(INDEX('P&amp;L Data'!$C$10:$N$10,$Q$2))</f>
        <v>1323000</v>
      </c>
      <c r="D10" s="24" t="n">
        <f aca="false">IF($Q$2&gt;1,N(INDEX('P&amp;L Data'!$C$10:$N$10,$Q$2-1)),0)</f>
        <v>1272000</v>
      </c>
      <c r="E10" s="24" t="n">
        <f aca="false">C10-D10</f>
        <v>51000</v>
      </c>
      <c r="F10" s="30" t="n">
        <f aca="false">IF(D10=0,"",E10/ABS(D10))</f>
        <v>0.0400943396226415</v>
      </c>
      <c r="G10" s="24" t="n">
        <f aca="false">SUM(INDEX('P&amp;L Data'!$C$10:$N$10,1):INDEX('P&amp;L Data'!$C$10:$N$10,$Q$2))</f>
        <v>7290000</v>
      </c>
    </row>
    <row r="11" customFormat="false" ht="15" hidden="false" customHeight="false" outlineLevel="0" collapsed="false">
      <c r="B11" s="22" t="s">
        <v>69</v>
      </c>
      <c r="C11" s="28" t="n">
        <f aca="false">N(INDEX('P&amp;L Data'!$C$11:$N$11,$Q$2))</f>
        <v>450000</v>
      </c>
      <c r="D11" s="28" t="n">
        <f aca="false">IF($Q$2&gt;1,N(INDEX('P&amp;L Data'!$C$11:$N$11,$Q$2-1)),0)</f>
        <v>450000</v>
      </c>
      <c r="E11" s="28" t="n">
        <f aca="false">C11-D11</f>
        <v>0</v>
      </c>
      <c r="F11" s="29" t="n">
        <f aca="false">IF(D11=0,"",E11/ABS(D11))</f>
        <v>0</v>
      </c>
      <c r="G11" s="28" t="n">
        <f aca="false">SUM(INDEX('P&amp;L Data'!$C$11:$N$11,1):INDEX('P&amp;L Data'!$C$11:$N$11,$Q$2))</f>
        <v>2610000</v>
      </c>
    </row>
    <row r="12" customFormat="false" ht="15" hidden="false" customHeight="false" outlineLevel="0" collapsed="false">
      <c r="B12" s="22" t="s">
        <v>70</v>
      </c>
      <c r="C12" s="28" t="n">
        <f aca="false">N(INDEX('P&amp;L Data'!$C$12:$N$12,$Q$2))</f>
        <v>85000</v>
      </c>
      <c r="D12" s="28" t="n">
        <f aca="false">IF($Q$2&gt;1,N(INDEX('P&amp;L Data'!$C$12:$N$12,$Q$2-1)),0)</f>
        <v>85000</v>
      </c>
      <c r="E12" s="28" t="n">
        <f aca="false">C12-D12</f>
        <v>0</v>
      </c>
      <c r="F12" s="29" t="n">
        <f aca="false">IF(D12=0,"",E12/ABS(D12))</f>
        <v>0</v>
      </c>
      <c r="G12" s="28" t="n">
        <f aca="false">SUM(INDEX('P&amp;L Data'!$C$12:$N$12,1):INDEX('P&amp;L Data'!$C$12:$N$12,$Q$2))</f>
        <v>510000</v>
      </c>
    </row>
    <row r="13" customFormat="false" ht="15" hidden="false" customHeight="false" outlineLevel="0" collapsed="false">
      <c r="B13" s="22" t="s">
        <v>71</v>
      </c>
      <c r="C13" s="28" t="n">
        <f aca="false">N(INDEX('P&amp;L Data'!$C$13:$N$13,$Q$2))</f>
        <v>60000</v>
      </c>
      <c r="D13" s="28" t="n">
        <f aca="false">IF($Q$2&gt;1,N(INDEX('P&amp;L Data'!$C$13:$N$13,$Q$2-1)),0)</f>
        <v>48000</v>
      </c>
      <c r="E13" s="28" t="n">
        <f aca="false">C13-D13</f>
        <v>12000</v>
      </c>
      <c r="F13" s="29" t="n">
        <f aca="false">IF(D13=0,"",E13/ABS(D13))</f>
        <v>0.25</v>
      </c>
      <c r="G13" s="28" t="n">
        <f aca="false">SUM(INDEX('P&amp;L Data'!$C$13:$N$13,1):INDEX('P&amp;L Data'!$C$13:$N$13,$Q$2))</f>
        <v>290000</v>
      </c>
    </row>
    <row r="14" customFormat="false" ht="15" hidden="false" customHeight="false" outlineLevel="0" collapsed="false">
      <c r="B14" s="22" t="s">
        <v>72</v>
      </c>
      <c r="C14" s="28" t="n">
        <f aca="false">N(INDEX('P&amp;L Data'!$C$14:$N$14,$Q$2))</f>
        <v>80000</v>
      </c>
      <c r="D14" s="28" t="n">
        <f aca="false">IF($Q$2&gt;1,N(INDEX('P&amp;L Data'!$C$14:$N$14,$Q$2-1)),0)</f>
        <v>70000</v>
      </c>
      <c r="E14" s="28" t="n">
        <f aca="false">C14-D14</f>
        <v>10000</v>
      </c>
      <c r="F14" s="29" t="n">
        <f aca="false">IF(D14=0,"",E14/ABS(D14))</f>
        <v>0.142857142857143</v>
      </c>
      <c r="G14" s="28" t="n">
        <f aca="false">SUM(INDEX('P&amp;L Data'!$C$14:$N$14,1):INDEX('P&amp;L Data'!$C$14:$N$14,$Q$2))</f>
        <v>402000</v>
      </c>
    </row>
    <row r="15" customFormat="false" ht="15" hidden="false" customHeight="false" outlineLevel="0" collapsed="false">
      <c r="B15" s="22" t="s">
        <v>73</v>
      </c>
      <c r="C15" s="28" t="n">
        <f aca="false">N(INDEX('P&amp;L Data'!$C$15:$N$15,$Q$2))</f>
        <v>63000</v>
      </c>
      <c r="D15" s="28" t="n">
        <f aca="false">IF($Q$2&gt;1,N(INDEX('P&amp;L Data'!$C$15:$N$15,$Q$2-1)),0)</f>
        <v>57000</v>
      </c>
      <c r="E15" s="28" t="n">
        <f aca="false">C15-D15</f>
        <v>6000</v>
      </c>
      <c r="F15" s="29" t="n">
        <f aca="false">IF(D15=0,"",E15/ABS(D15))</f>
        <v>0.105263157894737</v>
      </c>
      <c r="G15" s="28" t="n">
        <f aca="false">SUM(INDEX('P&amp;L Data'!$C$15:$N$15,1):INDEX('P&amp;L Data'!$C$15:$N$15,$Q$2))</f>
        <v>346000</v>
      </c>
    </row>
    <row r="16" customFormat="false" ht="15" hidden="false" customHeight="false" outlineLevel="0" collapsed="false">
      <c r="B16" s="25" t="s">
        <v>74</v>
      </c>
      <c r="C16" s="24" t="n">
        <f aca="false">N(INDEX('P&amp;L Data'!$C$16:$N$16,$Q$2))</f>
        <v>738000</v>
      </c>
      <c r="D16" s="24" t="n">
        <f aca="false">IF($Q$2&gt;1,N(INDEX('P&amp;L Data'!$C$16:$N$16,$Q$2-1)),0)</f>
        <v>710000</v>
      </c>
      <c r="E16" s="24" t="n">
        <f aca="false">C16-D16</f>
        <v>28000</v>
      </c>
      <c r="F16" s="30" t="n">
        <f aca="false">IF(D16=0,"",E16/ABS(D16))</f>
        <v>0.0394366197183099</v>
      </c>
      <c r="G16" s="24" t="n">
        <f aca="false">SUM(INDEX('P&amp;L Data'!$C$16:$N$16,1):INDEX('P&amp;L Data'!$C$16:$N$16,$Q$2))</f>
        <v>4158000</v>
      </c>
    </row>
    <row r="17" customFormat="false" ht="15" hidden="false" customHeight="false" outlineLevel="0" collapsed="false">
      <c r="B17" s="25" t="s">
        <v>75</v>
      </c>
      <c r="C17" s="24" t="n">
        <f aca="false">N(INDEX('P&amp;L Data'!$C$17:$N$17,$Q$2))</f>
        <v>611000</v>
      </c>
      <c r="D17" s="24" t="n">
        <f aca="false">IF($Q$2&gt;1,N(INDEX('P&amp;L Data'!$C$17:$N$17,$Q$2-1)),0)</f>
        <v>583000</v>
      </c>
      <c r="E17" s="24" t="n">
        <f aca="false">C17-D17</f>
        <v>28000</v>
      </c>
      <c r="F17" s="30" t="n">
        <f aca="false">IF(D17=0,"",E17/ABS(D17))</f>
        <v>0.0480274442538593</v>
      </c>
      <c r="G17" s="24" t="n">
        <f aca="false">SUM(INDEX('P&amp;L Data'!$C$17:$N$17,1):INDEX('P&amp;L Data'!$C$17:$N$17,$Q$2))</f>
        <v>3274000</v>
      </c>
    </row>
    <row r="18" customFormat="false" ht="15" hidden="false" customHeight="false" outlineLevel="0" collapsed="false">
      <c r="B18" s="22" t="s">
        <v>76</v>
      </c>
      <c r="C18" s="28" t="n">
        <f aca="false">N(INDEX('P&amp;L Data'!$C$18:$N$18,$Q$2))</f>
        <v>30000</v>
      </c>
      <c r="D18" s="28" t="n">
        <f aca="false">IF($Q$2&gt;1,N(INDEX('P&amp;L Data'!$C$18:$N$18,$Q$2-1)),0)</f>
        <v>30000</v>
      </c>
      <c r="E18" s="28" t="n">
        <f aca="false">C18-D18</f>
        <v>0</v>
      </c>
      <c r="F18" s="29" t="n">
        <f aca="false">IF(D18=0,"",E18/ABS(D18))</f>
        <v>0</v>
      </c>
      <c r="G18" s="28" t="n">
        <f aca="false">SUM(INDEX('P&amp;L Data'!$C$18:$N$18,1):INDEX('P&amp;L Data'!$C$18:$N$18,$Q$2))</f>
        <v>180000</v>
      </c>
    </row>
    <row r="19" customFormat="false" ht="15" hidden="false" customHeight="false" outlineLevel="0" collapsed="false">
      <c r="B19" s="22" t="s">
        <v>77</v>
      </c>
      <c r="C19" s="28" t="n">
        <f aca="false">N(INDEX('P&amp;L Data'!$C$19:$N$19,$Q$2))</f>
        <v>17000</v>
      </c>
      <c r="D19" s="28" t="n">
        <f aca="false">IF($Q$2&gt;1,N(INDEX('P&amp;L Data'!$C$19:$N$19,$Q$2-1)),0)</f>
        <v>17000</v>
      </c>
      <c r="E19" s="28" t="n">
        <f aca="false">C19-D19</f>
        <v>0</v>
      </c>
      <c r="F19" s="29" t="n">
        <f aca="false">IF(D19=0,"",E19/ABS(D19))</f>
        <v>0</v>
      </c>
      <c r="G19" s="28" t="n">
        <f aca="false">SUM(INDEX('P&amp;L Data'!$C$19:$N$19,1):INDEX('P&amp;L Data'!$C$19:$N$19,$Q$2))</f>
        <v>105000</v>
      </c>
    </row>
    <row r="20" customFormat="false" ht="15" hidden="false" customHeight="false" outlineLevel="0" collapsed="false">
      <c r="B20" s="25" t="s">
        <v>78</v>
      </c>
      <c r="C20" s="24" t="n">
        <f aca="false">N(INDEX('P&amp;L Data'!$C$20:$N$20,$Q$2))</f>
        <v>564000</v>
      </c>
      <c r="D20" s="24" t="n">
        <f aca="false">IF($Q$2&gt;1,N(INDEX('P&amp;L Data'!$C$20:$N$20,$Q$2-1)),0)</f>
        <v>536000</v>
      </c>
      <c r="E20" s="24" t="n">
        <f aca="false">C20-D20</f>
        <v>28000</v>
      </c>
      <c r="F20" s="30" t="n">
        <f aca="false">IF(D20=0,"",E20/ABS(D20))</f>
        <v>0.0522388059701493</v>
      </c>
      <c r="G20" s="24" t="n">
        <f aca="false">SUM(INDEX('P&amp;L Data'!$C$20:$N$20,1):INDEX('P&amp;L Data'!$C$20:$N$20,$Q$2))</f>
        <v>2989000</v>
      </c>
    </row>
    <row r="21" customFormat="false" ht="15" hidden="false" customHeight="false" outlineLevel="0" collapsed="false">
      <c r="B21" s="22" t="s">
        <v>79</v>
      </c>
      <c r="C21" s="28" t="n">
        <f aca="false">N(INDEX('P&amp;L Data'!$C$21:$N$21,$Q$2))</f>
        <v>141000</v>
      </c>
      <c r="D21" s="28" t="n">
        <f aca="false">IF($Q$2&gt;1,N(INDEX('P&amp;L Data'!$C$21:$N$21,$Q$2-1)),0)</f>
        <v>134000</v>
      </c>
      <c r="E21" s="28" t="n">
        <f aca="false">C21-D21</f>
        <v>7000</v>
      </c>
      <c r="F21" s="29" t="n">
        <f aca="false">IF(D21=0,"",E21/ABS(D21))</f>
        <v>0.0522388059701493</v>
      </c>
      <c r="G21" s="28" t="n">
        <f aca="false">SUM(INDEX('P&amp;L Data'!$C$21:$N$21,1):INDEX('P&amp;L Data'!$C$21:$N$21,$Q$2))</f>
        <v>747300</v>
      </c>
    </row>
    <row r="22" customFormat="false" ht="15" hidden="false" customHeight="false" outlineLevel="0" collapsed="false">
      <c r="B22" s="25" t="s">
        <v>80</v>
      </c>
      <c r="C22" s="24" t="n">
        <f aca="false">N(INDEX('P&amp;L Data'!$C$22:$N$22,$Q$2))</f>
        <v>423000</v>
      </c>
      <c r="D22" s="24" t="n">
        <f aca="false">IF($Q$2&gt;1,N(INDEX('P&amp;L Data'!$C$22:$N$22,$Q$2-1)),0)</f>
        <v>402000</v>
      </c>
      <c r="E22" s="24" t="n">
        <f aca="false">C22-D22</f>
        <v>21000</v>
      </c>
      <c r="F22" s="30" t="n">
        <f aca="false">IF(D22=0,"",E22/ABS(D22))</f>
        <v>0.0522388059701493</v>
      </c>
      <c r="G22" s="24" t="n">
        <f aca="false">SUM(INDEX('P&amp;L Data'!$C$22:$N$22,1):INDEX('P&amp;L Data'!$C$22:$N$22,$Q$2))</f>
        <v>2241700</v>
      </c>
    </row>
    <row r="24" customFormat="false" ht="30" hidden="false" customHeight="true" outlineLevel="0" collapsed="false">
      <c r="B24" s="20" t="s">
        <v>97</v>
      </c>
      <c r="C24" s="21" t="s">
        <v>92</v>
      </c>
      <c r="D24" s="21" t="s">
        <v>93</v>
      </c>
      <c r="E24" s="21"/>
      <c r="F24" s="21"/>
      <c r="G24" s="21" t="s">
        <v>96</v>
      </c>
    </row>
    <row r="25" customFormat="false" ht="15" hidden="false" customHeight="false" outlineLevel="0" collapsed="false">
      <c r="B25" s="22" t="s">
        <v>98</v>
      </c>
      <c r="C25" s="29" t="n">
        <f aca="false">IF(C6=0,"",C10/C6)</f>
        <v>0.6</v>
      </c>
      <c r="D25" s="29" t="n">
        <f aca="false">IF(D6=0,"",D10/D6)</f>
        <v>0.6</v>
      </c>
      <c r="E25" s="31"/>
      <c r="F25" s="31"/>
      <c r="G25" s="29" t="n">
        <f aca="false">IF(G6=0,"",G10/G6)</f>
        <v>0.6</v>
      </c>
    </row>
    <row r="26" customFormat="false" ht="15" hidden="false" customHeight="false" outlineLevel="0" collapsed="false">
      <c r="B26" s="22" t="s">
        <v>99</v>
      </c>
      <c r="C26" s="29" t="n">
        <f aca="false">IF(C6=0,"",C17/C6)</f>
        <v>0.277097505668934</v>
      </c>
      <c r="D26" s="29" t="n">
        <f aca="false">IF(D6=0,"",D17/D6)</f>
        <v>0.275</v>
      </c>
      <c r="E26" s="31"/>
      <c r="F26" s="31"/>
      <c r="G26" s="29" t="n">
        <f aca="false">IF(G6=0,"",G17/G6)</f>
        <v>0.269465020576132</v>
      </c>
    </row>
    <row r="27" customFormat="false" ht="15" hidden="false" customHeight="false" outlineLevel="0" collapsed="false">
      <c r="B27" s="22" t="s">
        <v>100</v>
      </c>
      <c r="C27" s="29" t="n">
        <f aca="false">IF(C6=0,"",C22/C6)</f>
        <v>0.191836734693878</v>
      </c>
      <c r="D27" s="29" t="n">
        <f aca="false">IF(D6=0,"",D22/D6)</f>
        <v>0.189622641509434</v>
      </c>
      <c r="E27" s="31"/>
      <c r="F27" s="31"/>
      <c r="G27" s="29" t="n">
        <f aca="false">IF(G6=0,"",G22/G6)</f>
        <v>0.184502057613169</v>
      </c>
    </row>
    <row r="28" customFormat="false" ht="15" hidden="false" customHeight="false" outlineLevel="0" collapsed="false">
      <c r="B28" s="22" t="s">
        <v>101</v>
      </c>
      <c r="C28" s="29" t="n">
        <f aca="false">IF(C6=0,"",C16/C6)</f>
        <v>0.33469387755102</v>
      </c>
      <c r="D28" s="29" t="n">
        <f aca="false">IF(D6=0,"",D16/D6)</f>
        <v>0.334905660377358</v>
      </c>
      <c r="E28" s="31"/>
      <c r="F28" s="31"/>
      <c r="G28" s="29" t="n">
        <f aca="false">IF(G6=0,"",G16/G6)</f>
        <v>0.342222222222222</v>
      </c>
    </row>
    <row r="29" customFormat="false" ht="15" hidden="false" customHeight="false" outlineLevel="0" collapsed="false">
      <c r="B29" s="22" t="s">
        <v>102</v>
      </c>
      <c r="C29" s="28" t="n">
        <f aca="false">N(INDEX('Balance Sheet Data'!$C$6:$N$6,$Q$2))</f>
        <v>1610000</v>
      </c>
      <c r="D29" s="28" t="n">
        <f aca="false">IF($Q$2&gt;1,N(INDEX('Balance Sheet Data'!$C$6:$N$6,$Q$2-1)),0)</f>
        <v>1520000</v>
      </c>
      <c r="E29" s="31"/>
      <c r="F29" s="31"/>
      <c r="G29" s="31"/>
    </row>
    <row r="30" customFormat="false" ht="15" hidden="false" customHeight="false" outlineLevel="0" collapsed="false">
      <c r="B30" s="22" t="s">
        <v>84</v>
      </c>
      <c r="C30" s="28" t="n">
        <f aca="false">N(INDEX('Balance Sheet Data'!$C$7:$N$7,$Q$2))</f>
        <v>2520000</v>
      </c>
      <c r="D30" s="28" t="n">
        <f aca="false">IF($Q$2&gt;1,N(INDEX('Balance Sheet Data'!$C$7:$N$7,$Q$2-1)),0)</f>
        <v>2450000</v>
      </c>
      <c r="E30" s="31"/>
      <c r="F30" s="31"/>
      <c r="G30" s="31"/>
    </row>
    <row r="31" customFormat="false" ht="15" hidden="false" customHeight="false" outlineLevel="0" collapsed="false">
      <c r="B31" s="22" t="s">
        <v>86</v>
      </c>
      <c r="C31" s="28" t="n">
        <f aca="false">N(INDEX('Balance Sheet Data'!$C$9:$N$9,$Q$2))</f>
        <v>735000</v>
      </c>
      <c r="D31" s="28" t="n">
        <f aca="false">IF($Q$2&gt;1,N(INDEX('Balance Sheet Data'!$C$9:$N$9,$Q$2-1)),0)</f>
        <v>720000</v>
      </c>
      <c r="E31" s="31"/>
      <c r="F31" s="31"/>
      <c r="G31" s="31"/>
    </row>
    <row r="32" customFormat="false" ht="15" hidden="false" customHeight="false" outlineLevel="0" collapsed="false">
      <c r="B32" s="22" t="s">
        <v>103</v>
      </c>
      <c r="C32" s="28" t="n">
        <f aca="false">N(INDEX('Balance Sheet Data'!$C$10:$N$10,$Q$2))+N(INDEX('Balance Sheet Data'!$C$11:$N$11,$Q$2))</f>
        <v>177000</v>
      </c>
      <c r="D32" s="28" t="n">
        <f aca="false">IF($Q$2&gt;1,N(INDEX('Balance Sheet Data'!$C$10:$N$10,$Q$2-1))+N(INDEX('Balance Sheet Data'!$C$11:$N$11,$Q$2-1)),0)</f>
        <v>171000</v>
      </c>
      <c r="E32" s="31"/>
      <c r="F32" s="31"/>
      <c r="G32" s="31"/>
    </row>
    <row r="33" customFormat="false" ht="15" hidden="false" customHeight="false" outlineLevel="0" collapsed="false">
      <c r="B33" s="22" t="s">
        <v>89</v>
      </c>
      <c r="C33" s="28" t="n">
        <f aca="false">N(INDEX('Balance Sheet Data'!$C$12:$N$12,$Q$2))</f>
        <v>1300000</v>
      </c>
      <c r="D33" s="28" t="n">
        <f aca="false">IF($Q$2&gt;1,N(INDEX('Balance Sheet Data'!$C$12:$N$12,$Q$2-1)),0)</f>
        <v>1340000</v>
      </c>
      <c r="E33" s="31"/>
      <c r="F33" s="31"/>
      <c r="G33" s="31"/>
    </row>
    <row r="34" customFormat="false" ht="15" hidden="false" customHeight="false" outlineLevel="0" collapsed="false">
      <c r="B34" s="22" t="s">
        <v>37</v>
      </c>
      <c r="C34" s="32" t="n">
        <f aca="false">IF(C6=0,"",C30/C6*30)</f>
        <v>34.2857142857143</v>
      </c>
      <c r="D34" s="32" t="n">
        <f aca="false">IF(D6=0,"",D30/D6*30)</f>
        <v>34.6698113207547</v>
      </c>
      <c r="E34" s="31"/>
      <c r="F34" s="31"/>
      <c r="G34" s="31"/>
    </row>
    <row r="35" customFormat="false" ht="15" hidden="false" customHeight="false" outlineLevel="0" collapsed="false">
      <c r="B35" s="22" t="s">
        <v>104</v>
      </c>
      <c r="C35" s="32" t="n">
        <f aca="false">IF(C9=0,"",C31/C9*30)</f>
        <v>25</v>
      </c>
      <c r="D35" s="32" t="n">
        <f aca="false">IF(D9=0,"",D31/D9*30)</f>
        <v>25.4716981132075</v>
      </c>
      <c r="E35" s="31"/>
      <c r="F35" s="31"/>
      <c r="G35" s="31"/>
    </row>
    <row r="36" customFormat="false" ht="15" hidden="false" customHeight="false" outlineLevel="0" collapsed="false">
      <c r="B36" s="22" t="s">
        <v>105</v>
      </c>
      <c r="C36" s="33" t="n">
        <f aca="false">IF((C9+C16)=0,"",C29/(C9+C16))</f>
        <v>0.993827160493827</v>
      </c>
      <c r="D36" s="33" t="n">
        <f aca="false">IF((D9+D16)=0,"",D29/(D9+D16))</f>
        <v>0.975609756097561</v>
      </c>
      <c r="E36" s="31"/>
      <c r="F36" s="31"/>
      <c r="G36" s="31"/>
    </row>
    <row r="39" customFormat="false" ht="15" hidden="false" customHeight="false" outlineLevel="0" collapsed="false">
      <c r="B39" s="3" t="s">
        <v>106</v>
      </c>
    </row>
    <row r="40" customFormat="false" ht="15" hidden="false" customHeight="true" outlineLevel="0" collapsed="false">
      <c r="B40" s="34" t="s">
        <v>107</v>
      </c>
      <c r="C40" s="34"/>
      <c r="D40" s="34"/>
      <c r="E40" s="34"/>
      <c r="F40" s="34"/>
      <c r="G40" s="34"/>
    </row>
    <row r="41" customFormat="false" ht="15" hidden="false" customHeight="true" outlineLevel="0" collapsed="false">
      <c r="B41" s="34" t="s">
        <v>108</v>
      </c>
      <c r="C41" s="34"/>
      <c r="D41" s="34"/>
      <c r="E41" s="34"/>
      <c r="F41" s="34"/>
      <c r="G41" s="34"/>
    </row>
    <row r="42" customFormat="false" ht="15" hidden="false" customHeight="true" outlineLevel="0" collapsed="false">
      <c r="B42" s="34" t="s">
        <v>109</v>
      </c>
      <c r="C42" s="34"/>
      <c r="D42" s="34"/>
      <c r="E42" s="34"/>
      <c r="F42" s="34"/>
      <c r="G42" s="34"/>
    </row>
  </sheetData>
  <mergeCells count="3">
    <mergeCell ref="B40:G40"/>
    <mergeCell ref="B41:G41"/>
    <mergeCell ref="B42:G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2026-10-26T18:07:17Z</dcterms:created>
  <dc:creator>openpyxl</dc:creator>
  <dc:description/>
  <dc:language>en-US</dc:language>
  <cp:lastModifiedBy/>
  <dcterms:modified xsi:type="dcterms:W3CDTF">2026-10-26T18:07:21Z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