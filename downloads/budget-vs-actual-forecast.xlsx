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Assumptions" sheetId="2" state="visible" r:id="rId4"/>
    <sheet name="Budget" sheetId="3" state="visible" r:id="rId5"/>
    <sheet name="Actuals" sheetId="4" state="visible" r:id="rId6"/>
    <sheet name="Budget vs Actual" sheetId="5" state="visible" r:id="rId7"/>
    <sheet name="Rolling Forecas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<sst xmlns="http://schemas.openxmlformats.org/spreadsheetml/2006/main" count="215" uniqueCount="116">
  <si>
    <t xml:space="preserve">MyFinMantra — Budget &amp; Forecast</t>
  </si>
  <si>
    <t xml:space="preserve">Client service format · Clear books. Confident business.</t>
  </si>
  <si>
    <t xml:space="preserve">Purpose</t>
  </si>
  <si>
    <t xml:space="preserve">Annual budget built from a few assumptions, monthly budget vs actual with favourable / adverse flags, and a rolling forecast that blends actuals for closed months with budget for the rest of the year.</t>
  </si>
  <si>
    <t xml:space="preserve">Colour legend</t>
  </si>
  <si>
    <t xml:space="preserve">12,500</t>
  </si>
  <si>
    <t xml:space="preserve">Blue text on yellow = input. Type or paste your client's figures here.</t>
  </si>
  <si>
    <t xml:space="preserve">Formula</t>
  </si>
  <si>
    <t xml:space="preserve">Black text = formula. Don't overwrite; it updates automatically.</t>
  </si>
  <si>
    <t xml:space="preserve">Header</t>
  </si>
  <si>
    <t xml:space="preserve">Section and column headings.</t>
  </si>
  <si>
    <t xml:space="preserve">Steps</t>
  </si>
  <si>
    <t xml:space="preserve">Step 1</t>
  </si>
  <si>
    <t xml:space="preserve">On 'Assumptions', set the client name and the drivers: starting revenue, growth, cost ratios, headcount and fixed costs.</t>
  </si>
  <si>
    <t xml:space="preserve">Step 2</t>
  </si>
  <si>
    <t xml:space="preserve">Review 'Budget' — every month calculates from the assumptions. Adjust headcount by month in the blue row.</t>
  </si>
  <si>
    <t xml:space="preserve">Step 3</t>
  </si>
  <si>
    <t xml:space="preserve">Each month, enter actual figures on 'Actuals' (from Tally / Zoho).</t>
  </si>
  <si>
    <t xml:space="preserve">Step 4</t>
  </si>
  <si>
    <t xml:space="preserve">On 'Budget vs Actual', pick the month to review. Variances are flagged Favourable or Adverse, for the month and year to date.</t>
  </si>
  <si>
    <t xml:space="preserve">Step 5</t>
  </si>
  <si>
    <t xml:space="preserve">On 'Rolling Forecast', set the last closed month. The full-year estimate updates automatically: actuals to date + budget for the remaining months.</t>
  </si>
  <si>
    <t xml:space="preserve">Notes</t>
  </si>
  <si>
    <t xml:space="preserve">Favourable means higher than budget for income and profit lines, and lower than budget for cost lines.</t>
  </si>
  <si>
    <t xml:space="preserve">Employee cost = headcount × average monthly cost per employee, with the annual increment applied from the increment month onwards.</t>
  </si>
  <si>
    <t xml:space="preserve">Sample figures are filled in so you can see how the format works. Replace them with your own data.</t>
  </si>
  <si>
    <t xml:space="preserve">Free template by MyFinMantra</t>
  </si>
  <si>
    <t xml:space="preserve">Accounting, GST, payroll and Virtual CFO services · www.myfinmantra.com · WhatsApp +91 97118 99555</t>
  </si>
  <si>
    <t xml:space="preserve">General template for guidance only — verify rates and rules for your case. Not professional advice.</t>
  </si>
  <si>
    <t xml:space="preserve">Budget assumptions</t>
  </si>
  <si>
    <t xml:space="preserve">Change the blue cells; the whole budget updates</t>
  </si>
  <si>
    <t xml:space="preserve">Client name</t>
  </si>
  <si>
    <t xml:space="preserve">Sample Traders Pvt Ltd</t>
  </si>
  <si>
    <t xml:space="preserve">Financial year</t>
  </si>
  <si>
    <t xml:space="preserve">2026-27</t>
  </si>
  <si>
    <t xml:space="preserve">Revenue — first month (April) (₹)</t>
  </si>
  <si>
    <t xml:space="preserve">From last year's March run-rate</t>
  </si>
  <si>
    <t xml:space="preserve">Revenue growth per month</t>
  </si>
  <si>
    <t xml:space="preserve">Compound monthly growth</t>
  </si>
  <si>
    <t xml:space="preserve">Other income per month (₹)</t>
  </si>
  <si>
    <t xml:space="preserve">Interest, misc. receipts</t>
  </si>
  <si>
    <t xml:space="preserve">Direct costs as % of revenue</t>
  </si>
  <si>
    <t xml:space="preserve">From last year's gross margin</t>
  </si>
  <si>
    <t xml:space="preserve">Average monthly cost per employee (₹)</t>
  </si>
  <si>
    <t xml:space="preserve">CTC ÷ 12, incl. PF/ESI</t>
  </si>
  <si>
    <t xml:space="preserve">Annual increment</t>
  </si>
  <si>
    <t xml:space="preserve">Applied from the increment month</t>
  </si>
  <si>
    <t xml:space="preserve">Increment effective from (month)</t>
  </si>
  <si>
    <t xml:space="preserve">Oct-26</t>
  </si>
  <si>
    <t xml:space="preserve">Pick from dropdown</t>
  </si>
  <si>
    <t xml:space="preserve">Rent &amp; utilities per month (₹)</t>
  </si>
  <si>
    <t xml:space="preserve">Per lease agreement</t>
  </si>
  <si>
    <t xml:space="preserve">Professional &amp; consultancy fees per month (₹)</t>
  </si>
  <si>
    <t xml:space="preserve">Sales &amp; marketing as % of revenue</t>
  </si>
  <si>
    <t xml:space="preserve">Admin &amp; other expenses per month (₹)</t>
  </si>
  <si>
    <t xml:space="preserve">Depreciation per month (₹)</t>
  </si>
  <si>
    <t xml:space="preserve">From fixed asset register</t>
  </si>
  <si>
    <t xml:space="preserve">Finance costs per month (₹)</t>
  </si>
  <si>
    <t xml:space="preserve">Loan interest</t>
  </si>
  <si>
    <t xml:space="preserve">Tax rate on profit</t>
  </si>
  <si>
    <t xml:space="preserve">Effective rate incl. surcharge &amp; cess</t>
  </si>
  <si>
    <t xml:space="preserve">Last closed month (actuals available up to)</t>
  </si>
  <si>
    <t xml:space="preserve">Sep-26</t>
  </si>
  <si>
    <t xml:space="preserve">Drives 'Rolling Forecast'</t>
  </si>
  <si>
    <t xml:space="preserve">Annual budget — monthly</t>
  </si>
  <si>
    <t xml:space="preserve">Calculated from 'Assumptions'. Only the headcount row is an input.</t>
  </si>
  <si>
    <t xml:space="preserve">Particulars (₹)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</si>
  <si>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</si>
  <si>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</si>
  <si>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</si>
  <si>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</si>
  <si>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</si>
  <si>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Nov-26</t>
  </si>
  <si>
    <t xml:space="preserve">Dec-26</t>
  </si>
  <si>
    <t xml:space="preserve">Jan-27</t>
  </si>
  <si>
    <t xml:space="preserve">Feb-27</t>
  </si>
  <si>
    <t xml:space="preserve">Mar-27</t>
  </si>
  <si>
    <t xml:space="preserve">Full year</t>
  </si>
  <si>
    <t xml:space="preserve">Revenue from operations</t>
  </si>
  <si>
    <t xml:space="preserve">Other income</t>
  </si>
  <si>
    <t xml:space="preserve">Total income</t>
  </si>
  <si>
    <t xml:space="preserve">Direct costs / cost of sales</t>
  </si>
  <si>
    <t xml:space="preserve">Gross profit</t>
  </si>
  <si>
    <t xml:space="preserve">Employee costs</t>
  </si>
  <si>
    <t xml:space="preserve">Rent &amp; utilities</t>
  </si>
  <si>
    <t xml:space="preserve">Professional &amp; consultancy fees</t>
  </si>
  <si>
    <t xml:space="preserve">Sales &amp; marketing</t>
  </si>
  <si>
    <t xml:space="preserve">Admin &amp; other expenses</t>
  </si>
  <si>
    <t xml:space="preserve">Total operating expenses</t>
  </si>
  <si>
    <t xml:space="preserve">EBITDA</t>
  </si>
  <si>
    <t xml:space="preserve">Depreciation</t>
  </si>
  <si>
    <t xml:space="preserve">Finance costs</t>
  </si>
  <si>
    <t xml:space="preserve">Profit before tax</t>
  </si>
  <si>
    <t xml:space="preserve">Tax expense</t>
  </si>
  <si>
    <t xml:space="preserve">Net profit</t>
  </si>
  <si>
    <t xml:space="preserve">Headcount (input)</t>
  </si>
  <si>
    <t xml:space="preserve">Actuals — monthly</t>
  </si>
  <si>
    <t xml:space="preserve">Enter actual figures each month (blue cells)</t>
  </si>
  <si>
    <t xml:space="preserve">Budget vs Actual</t>
  </si>
  <si>
    <t xml:space="preserve">Review month</t>
  </si>
  <si>
    <t xml:space="preserve">Month index</t>
  </si>
  <si>
    <t xml:space="preserve">Budget</t>
  </si>
  <si>
    <t xml:space="preserve">Actual</t>
  </si>
  <si>
    <t xml:space="preserve">Variance</t>
  </si>
  <si>
    <t xml:space="preserve">Var %</t>
  </si>
  <si>
    <t xml:space="preserve">YTD budget</t>
  </si>
  <si>
    <t xml:space="preserve">YTD actual</t>
  </si>
  <si>
    <t xml:space="preserve">YTD variance</t>
  </si>
  <si>
    <t xml:space="preserve">YTD var %</t>
  </si>
  <si>
    <t xml:space="preserve">Nature</t>
  </si>
  <si>
    <t xml:space="preserve">Income</t>
  </si>
  <si>
    <t xml:space="preserve">Cost</t>
  </si>
  <si>
    <t xml:space="preserve">Rolling forecast — latest estimate for the year</t>
  </si>
  <si>
    <t xml:space="preserve">Source</t>
  </si>
  <si>
    <t xml:space="preserve">Latest estimate</t>
  </si>
  <si>
    <t xml:space="preserve">Annual budget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</si>
</sst>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&gt;=10000000]##\,##\,##\,##0;[&gt;=100000]##\,##\,##0;##,##0"/>
    <numFmt numFmtId="166" formatCode="0.0%;\-0.0%;\-"/>
    <numFmt numFmtId="167" formatCode="0"/>
    <numFmt numFmtId="168" formatCode="General"/>
    <numFmt numFmtId="169" formatCode="#,##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2E35"/>
      <name val="Arial"/>
      <family val="0"/>
      <charset val="1"/>
    </font>
    <font>
      <i val="true"/>
      <sz val="10"/>
      <color rgb="FF55666A"/>
      <name val="Arial"/>
      <family val="0"/>
      <charset val="1"/>
    </font>
    <font>
      <b val="true"/>
      <sz val="11"/>
      <color rgb="FF0F2E35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sz val="10"/>
      <color rgb="FF1B4650"/>
      <name val="Arial"/>
      <family val="0"/>
      <charset val="1"/>
    </font>
    <font>
      <i val="true"/>
      <sz val="9"/>
      <color rgb="FF999999"/>
      <name val="Arial"/>
      <family val="0"/>
      <charset val="1"/>
    </font>
    <font>
      <b val="true"/>
      <sz val="11"/>
      <color rgb="FF1B4650"/>
      <name val="Arial"/>
      <family val="0"/>
      <charset val="1"/>
    </font>
    <font>
      <i val="true"/>
      <sz val="10"/>
      <color rgb="FF999999"/>
      <name val="Arial"/>
      <family val="0"/>
      <charset val="1"/>
    </font>
    <font>
      <sz val="10"/>
      <color rgb="FF999999"/>
      <name val="Arial"/>
      <family val="0"/>
      <charset val="1"/>
    </font>
    <font>
      <b val="true"/>
      <sz val="10"/>
      <color rgb="FF55666A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7D6"/>
        <bgColor rgb="FFF4F7F6"/>
      </patternFill>
    </fill>
    <fill>
      <patternFill patternType="solid">
        <fgColor rgb="FF0F2E35"/>
        <bgColor rgb="FF003300"/>
      </patternFill>
    </fill>
    <fill>
      <patternFill patternType="solid">
        <fgColor rgb="FFF4F7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7E0DE"/>
      </left>
      <right style="thin">
        <color rgb="FFD7E0DE"/>
      </right>
      <top style="thin">
        <color rgb="FFD7E0DE"/>
      </top>
      <bottom style="thin">
        <color rgb="FFD7E0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2D7A59"/>
      </font>
    </dxf>
    <dxf>
      <font>
        <name val="Arial"/>
        <charset val="1"/>
        <family val="0"/>
        <b val="1"/>
        <color rgb="FFC0392B"/>
      </font>
    </dxf>
    <dxf>
      <fill>
        <patternFill>
          <bgColor rgb="FFE3F1E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45309"/>
      <rgbColor rgb="FFFFF7D6"/>
      <rgbColor rgb="FFE3F1E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7F6"/>
      <rgbColor rgb="FFD7E0D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3A21A"/>
      <rgbColor rgb="FFFF6600"/>
      <rgbColor rgb="FF55666A"/>
      <rgbColor rgb="FF999999"/>
      <rgbColor rgb="FF0F2E35"/>
      <rgbColor rgb="FF2D7A59"/>
      <rgbColor rgb="FF003300"/>
      <rgbColor rgb="FF333300"/>
      <rgbColor rgb="FFC0392B"/>
      <rgbColor rgb="FF993366"/>
      <rgbColor rgb="FF333399"/>
      <rgbColor rgb="FF1B46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Revenue: budget vs latest estimate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"Budget"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0f2e35"/>
            </a:solidFill>
            <a:ln w="28080">
              <a:solidFill>
                <a:srgbClr val="0f2e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Budget!$C$5:$N$5</c:f>
              <c:multiLvlStrCache>
                <c:ptCount val="1"/>
                <c:lvl>
                  <c:pt idx="0">
                    <c:v>Mar-27</c:v>
                  </c:pt>
                </c:lvl>
                <c:lvl>
                  <c:pt idx="0">
                    <c:v>Feb-27</c:v>
                  </c:pt>
                </c:lvl>
                <c:lvl>
                  <c:pt idx="0">
                    <c:v>Jan-27</c:v>
                  </c:pt>
                </c:lvl>
                <c:lvl>
                  <c:pt idx="0">
                    <c:v>Dec-26</c:v>
                  </c:pt>
                </c:lvl>
                <c:lvl>
                  <c:pt idx="0">
                    <c:v>Nov-26</c:v>
                  </c:pt>
                </c:lvl>
                <c:lvl>
                  <c:pt idx="0">
                    <c:v>Oct-26</c:v>
                  </c:pt>
                </c:lvl>
                <c:lvl>
                  <c:pt idx="0">
                    <c:v>Sep-26</c:v>
                  </c:pt>
                </c:lvl>
                <c:lvl>
                  <c:pt idx="0">
                    <c:v>Aug-26</c:v>
                  </c:pt>
                </c:lvl>
                <c:lvl>
                  <c:pt idx="0">
                    <c:v>Jul-26</c:v>
                  </c:pt>
                </c:lvl>
                <c:lvl>
                  <c:pt idx="0">
                    <c:v>Jun-26</c:v>
                  </c:pt>
                </c:lvl>
                <c:lvl>
                  <c:pt idx="0">
                    <c:v>May-26</c:v>
                  </c:pt>
                </c:lvl>
                <c:lvl>
                  <c:pt idx="0">
                    <c:v>Apr-26</c:v>
                  </c:pt>
                </c:lvl>
              </c:multiLvlStrCache>
            </c:multiLvlStrRef>
          </c:cat>
          <c:val>
            <c:numRef>
              <c:f>Budget!$C$6:$N$6</c:f>
              <c:numCache>
                <c:formatCode>[&gt;=10000000]##\,##\,##\,##0;[&gt;=100000]##\,##\,##0;##,##0</c:formatCode>
                <c:ptCount val="12"/>
                <c:pt idx="0">
                  <c:v>1900000</c:v>
                </c:pt>
                <c:pt idx="1">
                  <c:v>1957000</c:v>
                </c:pt>
                <c:pt idx="2">
                  <c:v>2015710</c:v>
                </c:pt>
                <c:pt idx="3">
                  <c:v>2076181.3</c:v>
                </c:pt>
                <c:pt idx="4">
                  <c:v>2138466.739</c:v>
                </c:pt>
                <c:pt idx="5">
                  <c:v>2202620.74117</c:v>
                </c:pt>
                <c:pt idx="6">
                  <c:v>2268699.3634051</c:v>
                </c:pt>
                <c:pt idx="7">
                  <c:v>2336760.34430725</c:v>
                </c:pt>
                <c:pt idx="8">
                  <c:v>2406863.15463647</c:v>
                </c:pt>
                <c:pt idx="9">
                  <c:v>2479069.04927557</c:v>
                </c:pt>
                <c:pt idx="10">
                  <c:v>2553441.12075383</c:v>
                </c:pt>
                <c:pt idx="11">
                  <c:v>2630044.35437645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"Latest estimate"</c:f>
              <c:strCache>
                <c:ptCount val="1"/>
                <c:pt idx="0">
                  <c:v>Latest estimate</c:v>
                </c:pt>
              </c:strCache>
            </c:strRef>
          </c:tx>
          <c:spPr>
            <a:solidFill>
              <a:srgbClr val="e3a21a"/>
            </a:solidFill>
            <a:ln w="28080">
              <a:solidFill>
                <a:srgbClr val="e3a21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Budget!$C$5:$N$5</c:f>
              <c:multiLvlStrCache>
                <c:ptCount val="1"/>
                <c:lvl>
                  <c:pt idx="0">
                    <c:v>Mar-27</c:v>
                  </c:pt>
                </c:lvl>
                <c:lvl>
                  <c:pt idx="0">
                    <c:v>Feb-27</c:v>
                  </c:pt>
                </c:lvl>
                <c:lvl>
                  <c:pt idx="0">
                    <c:v>Jan-27</c:v>
                  </c:pt>
                </c:lvl>
                <c:lvl>
                  <c:pt idx="0">
                    <c:v>Dec-26</c:v>
                  </c:pt>
                </c:lvl>
                <c:lvl>
                  <c:pt idx="0">
                    <c:v>Nov-26</c:v>
                  </c:pt>
                </c:lvl>
                <c:lvl>
                  <c:pt idx="0">
                    <c:v>Oct-26</c:v>
                  </c:pt>
                </c:lvl>
                <c:lvl>
                  <c:pt idx="0">
                    <c:v>Sep-26</c:v>
                  </c:pt>
                </c:lvl>
                <c:lvl>
                  <c:pt idx="0">
                    <c:v>Aug-26</c:v>
                  </c:pt>
                </c:lvl>
                <c:lvl>
                  <c:pt idx="0">
                    <c:v>Jul-26</c:v>
                  </c:pt>
                </c:lvl>
                <c:lvl>
                  <c:pt idx="0">
                    <c:v>Jun-26</c:v>
                  </c:pt>
                </c:lvl>
                <c:lvl>
                  <c:pt idx="0">
                    <c:v>May-26</c:v>
                  </c:pt>
                </c:lvl>
                <c:lvl>
                  <c:pt idx="0">
                    <c:v>Apr-26</c:v>
                  </c:pt>
                </c:lvl>
              </c:multiLvlStrCache>
            </c:multiLvlStrRef>
          </c:cat>
          <c:val>
            <c:numRef>
              <c:f>'Rolling Forecast'!$C$6:$N$6</c:f>
              <c:numCache>
                <c:formatCode>[&gt;=10000000]##\,##\,##\,##0;[&gt;=100000]##\,##\,##0;##,##0</c:formatCode>
                <c:ptCount val="12"/>
                <c:pt idx="0">
                  <c:v>1850000</c:v>
                </c:pt>
                <c:pt idx="1">
                  <c:v>1925000</c:v>
                </c:pt>
                <c:pt idx="2">
                  <c:v>1990000</c:v>
                </c:pt>
                <c:pt idx="3">
                  <c:v>2060000</c:v>
                </c:pt>
                <c:pt idx="4">
                  <c:v>2120000</c:v>
                </c:pt>
                <c:pt idx="5">
                  <c:v>2205000</c:v>
                </c:pt>
                <c:pt idx="6">
                  <c:v>2268699.3634051</c:v>
                </c:pt>
                <c:pt idx="7">
                  <c:v>2336760.34430725</c:v>
                </c:pt>
                <c:pt idx="8">
                  <c:v>2406863.15463647</c:v>
                </c:pt>
                <c:pt idx="9">
                  <c:v>2479069.04927557</c:v>
                </c:pt>
                <c:pt idx="10">
                  <c:v>2553441.12075383</c:v>
                </c:pt>
                <c:pt idx="11">
                  <c:v>2630044.35437645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1471874"/>
        <c:axId val="38219282"/>
      </c:lineChart>
      <c:catAx>
        <c:axId val="814718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219282"/>
        <c:crosses val="autoZero"/>
        <c:auto val="1"/>
        <c:lblAlgn val="ctr"/>
        <c:lblOffset val="100"/>
        <c:noMultiLvlLbl val="0"/>
      </c:catAx>
      <c:valAx>
        <c:axId val="382192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4718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24</xdr:row>
      <xdr:rowOff>130680</xdr:rowOff>
    </xdr:from>
    <xdr:to>
      <xdr:col>9</xdr:col>
      <xdr:colOff>322560</xdr:colOff>
      <xdr:row>39</xdr:row>
      <xdr:rowOff>153000</xdr:rowOff>
    </xdr:to>
    <xdr:graphicFrame>
      <xdr:nvGraphicFramePr>
        <xdr:cNvPr id="0" name="Chart 1"/>
        <xdr:cNvGraphicFramePr/>
      </xdr:nvGraphicFramePr>
      <xdr:xfrm>
        <a:off x="141120" y="4952880"/>
        <a:ext cx="86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myfinmantra.com/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45" hidden="false" customHeight="true" outlineLevel="0" collapsed="false">
      <c r="B5" s="3" t="s">
        <v>2</v>
      </c>
      <c r="C5" s="4" t="s">
        <v>3</v>
      </c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5" t="s">
        <v>5</v>
      </c>
      <c r="C8" s="6" t="s">
        <v>6</v>
      </c>
    </row>
    <row r="9" customFormat="false" ht="15" hidden="false" customHeight="false" outlineLevel="0" collapsed="false">
      <c r="B9" s="7" t="s">
        <v>7</v>
      </c>
      <c r="C9" s="6" t="s">
        <v>8</v>
      </c>
    </row>
    <row r="10" customFormat="false" ht="15" hidden="false" customHeight="false" outlineLevel="0" collapsed="false">
      <c r="B10" s="8" t="s">
        <v>9</v>
      </c>
      <c r="C10" s="6" t="s">
        <v>10</v>
      </c>
    </row>
    <row r="12" customFormat="false" ht="15" hidden="false" customHeight="false" outlineLevel="0" collapsed="false">
      <c r="B12" s="3" t="s">
        <v>11</v>
      </c>
    </row>
    <row r="13" customFormat="false" ht="30" hidden="false" customHeight="true" outlineLevel="0" collapsed="false">
      <c r="B13" s="9" t="s">
        <v>12</v>
      </c>
      <c r="C13" s="10" t="s">
        <v>13</v>
      </c>
    </row>
    <row r="14" customFormat="false" ht="30" hidden="false" customHeight="true" outlineLevel="0" collapsed="false">
      <c r="B14" s="9" t="s">
        <v>14</v>
      </c>
      <c r="C14" s="10" t="s">
        <v>15</v>
      </c>
    </row>
    <row r="15" customFormat="false" ht="15.75" hidden="false" customHeight="true" outlineLevel="0" collapsed="false">
      <c r="B15" s="9" t="s">
        <v>16</v>
      </c>
      <c r="C15" s="10" t="s">
        <v>17</v>
      </c>
    </row>
    <row r="16" customFormat="false" ht="30" hidden="false" customHeight="true" outlineLevel="0" collapsed="false">
      <c r="B16" s="9" t="s">
        <v>18</v>
      </c>
      <c r="C16" s="10" t="s">
        <v>19</v>
      </c>
    </row>
    <row r="17" customFormat="false" ht="30" hidden="false" customHeight="true" outlineLevel="0" collapsed="false">
      <c r="B17" s="9" t="s">
        <v>20</v>
      </c>
      <c r="C17" s="10" t="s">
        <v>21</v>
      </c>
    </row>
    <row r="19" customFormat="false" ht="15" hidden="false" customHeight="false" outlineLevel="0" collapsed="false">
      <c r="B19" s="3" t="s">
        <v>22</v>
      </c>
    </row>
    <row r="20" customFormat="false" ht="30" hidden="false" customHeight="true" outlineLevel="0" collapsed="false">
      <c r="C20" s="11" t="s">
        <v>23</v>
      </c>
    </row>
    <row r="21" customFormat="false" ht="30" hidden="false" customHeight="true" outlineLevel="0" collapsed="false">
      <c r="C21" s="11" t="s">
        <v>24</v>
      </c>
    </row>
    <row r="23" customFormat="false" ht="15" hidden="false" customHeight="false" outlineLevel="0" collapsed="false">
      <c r="B23" s="12" t="s">
        <v>25</v>
      </c>
    </row>
    <row r="25" customFormat="false" ht="15" hidden="false" customHeight="false" outlineLevel="0" collapsed="false">
      <c r="B25" s="3" t="s">
        <v>26</v>
      </c>
    </row>
    <row r="26" customFormat="false" ht="15" hidden="false" customHeight="false" outlineLevel="0" collapsed="false">
      <c r="B26" s="13" t="s">
        <v>27</v>
      </c>
    </row>
    <row r="27" customFormat="false" ht="15" hidden="false" customHeight="false" outlineLevel="0" collapsed="false">
      <c r="B27" s="14" t="s">
        <v>28</v>
      </c>
    </row>
  </sheetData>
  <hyperlinks>
    <hyperlink ref="B26" r:id="rId1" display="Accounting, GST, payroll and Virtual CFO services · www.myfinmantra.com · WhatsApp +91 97118 9955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50"/>
  </cols>
  <sheetData>
    <row r="2" customFormat="false" ht="19.7" hidden="false" customHeight="false" outlineLevel="0" collapsed="false">
      <c r="B2" s="1" t="s">
        <v>29</v>
      </c>
    </row>
    <row r="3" customFormat="false" ht="15" hidden="false" customHeight="false" outlineLevel="0" collapsed="false">
      <c r="B3" s="2" t="s">
        <v>30</v>
      </c>
    </row>
    <row r="5" customFormat="false" ht="15" hidden="false" customHeight="false" outlineLevel="0" collapsed="false">
      <c r="B5" s="9" t="s">
        <v>31</v>
      </c>
      <c r="C5" s="5" t="s">
        <v>32</v>
      </c>
    </row>
    <row r="6" customFormat="false" ht="15" hidden="false" customHeight="false" outlineLevel="0" collapsed="false">
      <c r="B6" s="9" t="s">
        <v>33</v>
      </c>
      <c r="C6" s="5" t="s">
        <v>34</v>
      </c>
    </row>
    <row r="8" customFormat="false" ht="15" hidden="false" customHeight="false" outlineLevel="0" collapsed="false">
      <c r="B8" s="7" t="s">
        <v>35</v>
      </c>
      <c r="C8" s="15" t="n">
        <v>1900000</v>
      </c>
      <c r="D8" s="2" t="s">
        <v>36</v>
      </c>
    </row>
    <row r="9" customFormat="false" ht="15" hidden="false" customHeight="false" outlineLevel="0" collapsed="false">
      <c r="B9" s="7" t="s">
        <v>37</v>
      </c>
      <c r="C9" s="16" t="n">
        <v>0.03</v>
      </c>
      <c r="D9" s="2" t="s">
        <v>38</v>
      </c>
    </row>
    <row r="10" customFormat="false" ht="15" hidden="false" customHeight="false" outlineLevel="0" collapsed="false">
      <c r="B10" s="7" t="s">
        <v>39</v>
      </c>
      <c r="C10" s="15" t="n">
        <v>20000</v>
      </c>
      <c r="D10" s="2" t="s">
        <v>40</v>
      </c>
    </row>
    <row r="11" customFormat="false" ht="15" hidden="false" customHeight="false" outlineLevel="0" collapsed="false">
      <c r="B11" s="7" t="s">
        <v>41</v>
      </c>
      <c r="C11" s="16" t="n">
        <v>0.4</v>
      </c>
      <c r="D11" s="2" t="s">
        <v>42</v>
      </c>
    </row>
    <row r="12" customFormat="false" ht="15" hidden="false" customHeight="false" outlineLevel="0" collapsed="false">
      <c r="B12" s="7" t="s">
        <v>43</v>
      </c>
      <c r="C12" s="15" t="n">
        <v>30000</v>
      </c>
      <c r="D12" s="2" t="s">
        <v>44</v>
      </c>
    </row>
    <row r="13" customFormat="false" ht="15" hidden="false" customHeight="false" outlineLevel="0" collapsed="false">
      <c r="B13" s="7" t="s">
        <v>45</v>
      </c>
      <c r="C13" s="16" t="n">
        <v>0.08</v>
      </c>
      <c r="D13" s="2" t="s">
        <v>46</v>
      </c>
    </row>
    <row r="14" customFormat="false" ht="15" hidden="false" customHeight="false" outlineLevel="0" collapsed="false">
      <c r="B14" s="7" t="s">
        <v>47</v>
      </c>
      <c r="C14" s="5" t="s">
        <v>48</v>
      </c>
      <c r="D14" s="2" t="s">
        <v>49</v>
      </c>
    </row>
    <row r="15" customFormat="false" ht="15" hidden="false" customHeight="false" outlineLevel="0" collapsed="false">
      <c r="B15" s="7" t="s">
        <v>50</v>
      </c>
      <c r="C15" s="15" t="n">
        <v>85000</v>
      </c>
      <c r="D15" s="2" t="s">
        <v>51</v>
      </c>
    </row>
    <row r="16" customFormat="false" ht="15" hidden="false" customHeight="false" outlineLevel="0" collapsed="false">
      <c r="B16" s="7" t="s">
        <v>52</v>
      </c>
      <c r="C16" s="15" t="n">
        <v>45000</v>
      </c>
      <c r="D16" s="2"/>
    </row>
    <row r="17" customFormat="false" ht="15" hidden="false" customHeight="false" outlineLevel="0" collapsed="false">
      <c r="B17" s="7" t="s">
        <v>53</v>
      </c>
      <c r="C17" s="16" t="n">
        <v>0.03</v>
      </c>
      <c r="D17" s="2"/>
    </row>
    <row r="18" customFormat="false" ht="15" hidden="false" customHeight="false" outlineLevel="0" collapsed="false">
      <c r="B18" s="7" t="s">
        <v>54</v>
      </c>
      <c r="C18" s="15" t="n">
        <v>55000</v>
      </c>
      <c r="D18" s="2"/>
    </row>
    <row r="19" customFormat="false" ht="15" hidden="false" customHeight="false" outlineLevel="0" collapsed="false">
      <c r="B19" s="7" t="s">
        <v>55</v>
      </c>
      <c r="C19" s="15" t="n">
        <v>30000</v>
      </c>
      <c r="D19" s="2" t="s">
        <v>56</v>
      </c>
    </row>
    <row r="20" customFormat="false" ht="15" hidden="false" customHeight="false" outlineLevel="0" collapsed="false">
      <c r="B20" s="7" t="s">
        <v>57</v>
      </c>
      <c r="C20" s="15" t="n">
        <v>17000</v>
      </c>
      <c r="D20" s="2" t="s">
        <v>58</v>
      </c>
    </row>
    <row r="21" customFormat="false" ht="15" hidden="false" customHeight="false" outlineLevel="0" collapsed="false">
      <c r="B21" s="7" t="s">
        <v>59</v>
      </c>
      <c r="C21" s="16" t="n">
        <v>0.25</v>
      </c>
      <c r="D21" s="2" t="s">
        <v>60</v>
      </c>
    </row>
    <row r="23" customFormat="false" ht="15" hidden="false" customHeight="false" outlineLevel="0" collapsed="false">
      <c r="B23" s="9" t="s">
        <v>61</v>
      </c>
      <c r="C23" s="5" t="s">
        <v>62</v>
      </c>
      <c r="D23" s="2" t="s">
        <v>63</v>
      </c>
    </row>
  </sheetData>
  <dataValidations count="2">
    <dataValidation allowBlank="false" errorStyle="stop" operator="between" showDropDown="false" showErrorMessage="false" showInputMessage="false" sqref="C14" type="list">
      <formula1>Budget!$C$5:$N$5</formula1>
      <formula2>0</formula2>
    </dataValidation>
    <dataValidation allowBlank="false" errorStyle="stop" operator="between" showDropDown="false" showErrorMessage="false" showInputMessage="false" sqref="C23" type="list">
      <formula1>Budget!$C$5:$N$5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O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14" min="3" style="0" width="12"/>
    <col collapsed="false" customWidth="true" hidden="false" outlineLevel="0" max="15" min="15" style="0" width="14"/>
  </cols>
  <sheetData>
    <row r="2" customFormat="false" ht="19.7" hidden="false" customHeight="false" outlineLevel="0" collapsed="false">
      <c r="B2" s="1" t="s">
        <v>64</v>
      </c>
    </row>
    <row r="3" customFormat="false" ht="15" hidden="false" customHeight="false" outlineLevel="0" collapsed="false">
      <c r="B3" s="2" t="s">
        <v>65</v>
      </c>
    </row>
    <row r="5" customFormat="false" ht="30" hidden="false" customHeight="true" outlineLevel="0" collapsed="false">
      <c r="B5" s="17" t="s">
        <v>66</v>
      </c>
      <c r="C5" s="18" t="s">
        <v>67</v>
      </c>
      <c r="D5" s="18" t="s">
        <v>68</v>
      </c>
      <c r="E5" s="18" t="s">
        <v>69</v>
      </c>
      <c r="F5" s="18" t="s">
        <v>70</v>
      </c>
      <c r="G5" s="18" t="s">
        <v>71</v>
      </c>
      <c r="H5" s="18" t="s">
        <v>62</v>
      </c>
      <c r="I5" s="18" t="s">
        <v>48</v>
      </c>
      <c r="J5" s="18" t="s">
        <v>72</v>
      </c>
      <c r="K5" s="18" t="s">
        <v>73</v>
      </c>
      <c r="L5" s="18" t="s">
        <v>74</v>
      </c>
      <c r="M5" s="18" t="s">
        <v>75</v>
      </c>
      <c r="N5" s="18" t="s">
        <v>76</v>
      </c>
      <c r="O5" s="18" t="s">
        <v>77</v>
      </c>
    </row>
    <row r="6" customFormat="false" ht="15" hidden="false" customHeight="false" outlineLevel="0" collapsed="false">
      <c r="B6" s="19" t="s">
        <v>78</v>
      </c>
      <c r="C6" s="20" t="n">
        <f aca="false">Assumptions!$C$8</f>
        <v>1900000</v>
      </c>
      <c r="D6" s="20" t="n">
        <f aca="false">C6*(1+Assumptions!$C$9)</f>
        <v>1957000</v>
      </c>
      <c r="E6" s="20" t="n">
        <f aca="false">D6*(1+Assumptions!$C$9)</f>
        <v>2015710</v>
      </c>
      <c r="F6" s="20" t="n">
        <f aca="false">E6*(1+Assumptions!$C$9)</f>
        <v>2076181.3</v>
      </c>
      <c r="G6" s="20" t="n">
        <f aca="false">F6*(1+Assumptions!$C$9)</f>
        <v>2138466.739</v>
      </c>
      <c r="H6" s="20" t="n">
        <f aca="false">G6*(1+Assumptions!$C$9)</f>
        <v>2202620.74117</v>
      </c>
      <c r="I6" s="20" t="n">
        <f aca="false">H6*(1+Assumptions!$C$9)</f>
        <v>2268699.3634051</v>
      </c>
      <c r="J6" s="20" t="n">
        <f aca="false">I6*(1+Assumptions!$C$9)</f>
        <v>2336760.34430725</v>
      </c>
      <c r="K6" s="20" t="n">
        <f aca="false">J6*(1+Assumptions!$C$9)</f>
        <v>2406863.15463647</v>
      </c>
      <c r="L6" s="20" t="n">
        <f aca="false">K6*(1+Assumptions!$C$9)</f>
        <v>2479069.04927557</v>
      </c>
      <c r="M6" s="20" t="n">
        <f aca="false">L6*(1+Assumptions!$C$9)</f>
        <v>2553441.12075383</v>
      </c>
      <c r="N6" s="20" t="n">
        <f aca="false">M6*(1+Assumptions!$C$9)</f>
        <v>2630044.35437645</v>
      </c>
      <c r="O6" s="21" t="n">
        <f aca="false">SUM(C6:N6)</f>
        <v>26964856.1669247</v>
      </c>
    </row>
    <row r="7" customFormat="false" ht="15" hidden="false" customHeight="false" outlineLevel="0" collapsed="false">
      <c r="B7" s="19" t="s">
        <v>79</v>
      </c>
      <c r="C7" s="20" t="n">
        <f aca="false">Assumptions!$C$10</f>
        <v>20000</v>
      </c>
      <c r="D7" s="20" t="n">
        <f aca="false">Assumptions!$C$10</f>
        <v>20000</v>
      </c>
      <c r="E7" s="20" t="n">
        <f aca="false">Assumptions!$C$10</f>
        <v>20000</v>
      </c>
      <c r="F7" s="20" t="n">
        <f aca="false">Assumptions!$C$10</f>
        <v>20000</v>
      </c>
      <c r="G7" s="20" t="n">
        <f aca="false">Assumptions!$C$10</f>
        <v>20000</v>
      </c>
      <c r="H7" s="20" t="n">
        <f aca="false">Assumptions!$C$10</f>
        <v>20000</v>
      </c>
      <c r="I7" s="20" t="n">
        <f aca="false">Assumptions!$C$10</f>
        <v>20000</v>
      </c>
      <c r="J7" s="20" t="n">
        <f aca="false">Assumptions!$C$10</f>
        <v>20000</v>
      </c>
      <c r="K7" s="20" t="n">
        <f aca="false">Assumptions!$C$10</f>
        <v>20000</v>
      </c>
      <c r="L7" s="20" t="n">
        <f aca="false">Assumptions!$C$10</f>
        <v>20000</v>
      </c>
      <c r="M7" s="20" t="n">
        <f aca="false">Assumptions!$C$10</f>
        <v>20000</v>
      </c>
      <c r="N7" s="20" t="n">
        <f aca="false">Assumptions!$C$10</f>
        <v>20000</v>
      </c>
      <c r="O7" s="21" t="n">
        <f aca="false">SUM(C7:N7)</f>
        <v>240000</v>
      </c>
    </row>
    <row r="8" customFormat="false" ht="15" hidden="false" customHeight="false" outlineLevel="0" collapsed="false">
      <c r="B8" s="22" t="s">
        <v>80</v>
      </c>
      <c r="C8" s="21" t="n">
        <f aca="false">IF(COUNT(C6:C7,C9,C11:C15)=0,"",C6+C7)</f>
        <v>1920000</v>
      </c>
      <c r="D8" s="21" t="n">
        <f aca="false">IF(COUNT(D6:D7,D9,D11:D15)=0,"",D6+D7)</f>
        <v>1977000</v>
      </c>
      <c r="E8" s="21" t="n">
        <f aca="false">IF(COUNT(E6:E7,E9,E11:E15)=0,"",E6+E7)</f>
        <v>2035710</v>
      </c>
      <c r="F8" s="21" t="n">
        <f aca="false">IF(COUNT(F6:F7,F9,F11:F15)=0,"",F6+F7)</f>
        <v>2096181.3</v>
      </c>
      <c r="G8" s="21" t="n">
        <f aca="false">IF(COUNT(G6:G7,G9,G11:G15)=0,"",G6+G7)</f>
        <v>2158466.739</v>
      </c>
      <c r="H8" s="21" t="n">
        <f aca="false">IF(COUNT(H6:H7,H9,H11:H15)=0,"",H6+H7)</f>
        <v>2222620.74117</v>
      </c>
      <c r="I8" s="21" t="n">
        <f aca="false">IF(COUNT(I6:I7,I9,I11:I15)=0,"",I6+I7)</f>
        <v>2288699.3634051</v>
      </c>
      <c r="J8" s="21" t="n">
        <f aca="false">IF(COUNT(J6:J7,J9,J11:J15)=0,"",J6+J7)</f>
        <v>2356760.34430725</v>
      </c>
      <c r="K8" s="21" t="n">
        <f aca="false">IF(COUNT(K6:K7,K9,K11:K15)=0,"",K6+K7)</f>
        <v>2426863.15463647</v>
      </c>
      <c r="L8" s="21" t="n">
        <f aca="false">IF(COUNT(L6:L7,L9,L11:L15)=0,"",L6+L7)</f>
        <v>2499069.04927557</v>
      </c>
      <c r="M8" s="21" t="n">
        <f aca="false">IF(COUNT(M6:M7,M9,M11:M15)=0,"",M6+M7)</f>
        <v>2573441.12075383</v>
      </c>
      <c r="N8" s="21" t="n">
        <f aca="false">IF(COUNT(N6:N7,N9,N11:N15)=0,"",N6+N7)</f>
        <v>2650044.35437645</v>
      </c>
      <c r="O8" s="21" t="n">
        <f aca="false">SUM(C8:N8)</f>
        <v>27204856.1669247</v>
      </c>
    </row>
    <row r="9" customFormat="false" ht="15" hidden="false" customHeight="false" outlineLevel="0" collapsed="false">
      <c r="B9" s="19" t="s">
        <v>81</v>
      </c>
      <c r="C9" s="20" t="n">
        <f aca="false">C6*Assumptions!$C$11</f>
        <v>760000</v>
      </c>
      <c r="D9" s="20" t="n">
        <f aca="false">D6*Assumptions!$C$11</f>
        <v>782800</v>
      </c>
      <c r="E9" s="20" t="n">
        <f aca="false">E6*Assumptions!$C$11</f>
        <v>806284</v>
      </c>
      <c r="F9" s="20" t="n">
        <f aca="false">F6*Assumptions!$C$11</f>
        <v>830472.52</v>
      </c>
      <c r="G9" s="20" t="n">
        <f aca="false">G6*Assumptions!$C$11</f>
        <v>855386.6956</v>
      </c>
      <c r="H9" s="20" t="n">
        <f aca="false">H6*Assumptions!$C$11</f>
        <v>881048.296468</v>
      </c>
      <c r="I9" s="20" t="n">
        <f aca="false">I6*Assumptions!$C$11</f>
        <v>907479.74536204</v>
      </c>
      <c r="J9" s="20" t="n">
        <f aca="false">J6*Assumptions!$C$11</f>
        <v>934704.137722902</v>
      </c>
      <c r="K9" s="20" t="n">
        <f aca="false">K6*Assumptions!$C$11</f>
        <v>962745.261854589</v>
      </c>
      <c r="L9" s="20" t="n">
        <f aca="false">L6*Assumptions!$C$11</f>
        <v>991627.619710226</v>
      </c>
      <c r="M9" s="20" t="n">
        <f aca="false">M6*Assumptions!$C$11</f>
        <v>1021376.44830153</v>
      </c>
      <c r="N9" s="20" t="n">
        <f aca="false">N6*Assumptions!$C$11</f>
        <v>1052017.74175058</v>
      </c>
      <c r="O9" s="21" t="n">
        <f aca="false">SUM(C9:N9)</f>
        <v>10785942.4667699</v>
      </c>
    </row>
    <row r="10" customFormat="false" ht="15" hidden="false" customHeight="false" outlineLevel="0" collapsed="false">
      <c r="B10" s="22" t="s">
        <v>82</v>
      </c>
      <c r="C10" s="21" t="n">
        <f aca="false">IF(COUNT(C6:C7,C9,C11:C15)=0,"",C6-C9)</f>
        <v>1140000</v>
      </c>
      <c r="D10" s="21" t="n">
        <f aca="false">IF(COUNT(D6:D7,D9,D11:D15)=0,"",D6-D9)</f>
        <v>1174200</v>
      </c>
      <c r="E10" s="21" t="n">
        <f aca="false">IF(COUNT(E6:E7,E9,E11:E15)=0,"",E6-E9)</f>
        <v>1209426</v>
      </c>
      <c r="F10" s="21" t="n">
        <f aca="false">IF(COUNT(F6:F7,F9,F11:F15)=0,"",F6-F9)</f>
        <v>1245708.78</v>
      </c>
      <c r="G10" s="21" t="n">
        <f aca="false">IF(COUNT(G6:G7,G9,G11:G15)=0,"",G6-G9)</f>
        <v>1283080.0434</v>
      </c>
      <c r="H10" s="21" t="n">
        <f aca="false">IF(COUNT(H6:H7,H9,H11:H15)=0,"",H6-H9)</f>
        <v>1321572.444702</v>
      </c>
      <c r="I10" s="21" t="n">
        <f aca="false">IF(COUNT(I6:I7,I9,I11:I15)=0,"",I6-I9)</f>
        <v>1361219.61804306</v>
      </c>
      <c r="J10" s="21" t="n">
        <f aca="false">IF(COUNT(J6:J7,J9,J11:J15)=0,"",J6-J9)</f>
        <v>1402056.20658435</v>
      </c>
      <c r="K10" s="21" t="n">
        <f aca="false">IF(COUNT(K6:K7,K9,K11:K15)=0,"",K6-K9)</f>
        <v>1444117.89278188</v>
      </c>
      <c r="L10" s="21" t="n">
        <f aca="false">IF(COUNT(L6:L7,L9,L11:L15)=0,"",L6-L9)</f>
        <v>1487441.42956534</v>
      </c>
      <c r="M10" s="21" t="n">
        <f aca="false">IF(COUNT(M6:M7,M9,M11:M15)=0,"",M6-M9)</f>
        <v>1532064.6724523</v>
      </c>
      <c r="N10" s="21" t="n">
        <f aca="false">IF(COUNT(N6:N7,N9,N11:N15)=0,"",N6-N9)</f>
        <v>1578026.61262587</v>
      </c>
      <c r="O10" s="21" t="n">
        <f aca="false">SUM(C10:N10)</f>
        <v>16178913.7001548</v>
      </c>
    </row>
    <row r="11" customFormat="false" ht="15" hidden="false" customHeight="false" outlineLevel="0" collapsed="false">
      <c r="B11" s="19" t="s">
        <v>83</v>
      </c>
      <c r="C11" s="20" t="n">
        <f aca="false">C24*Assumptions!$C$12*IF(COLUMN()-2&gt;=MATCH(Assumptions!$C$14,$C$5:$N$5,0),1+Assumptions!$C$13,1)</f>
        <v>420000</v>
      </c>
      <c r="D11" s="20" t="n">
        <f aca="false">D24*Assumptions!$C$12*IF(COLUMN()-2&gt;=MATCH(Assumptions!$C$14,$C$5:$N$5,0),1+Assumptions!$C$13,1)</f>
        <v>420000</v>
      </c>
      <c r="E11" s="20" t="n">
        <f aca="false">E24*Assumptions!$C$12*IF(COLUMN()-2&gt;=MATCH(Assumptions!$C$14,$C$5:$N$5,0),1+Assumptions!$C$13,1)</f>
        <v>450000</v>
      </c>
      <c r="F11" s="20" t="n">
        <f aca="false">F24*Assumptions!$C$12*IF(COLUMN()-2&gt;=MATCH(Assumptions!$C$14,$C$5:$N$5,0),1+Assumptions!$C$13,1)</f>
        <v>450000</v>
      </c>
      <c r="G11" s="20" t="n">
        <f aca="false">G24*Assumptions!$C$12*IF(COLUMN()-2&gt;=MATCH(Assumptions!$C$14,$C$5:$N$5,0),1+Assumptions!$C$13,1)</f>
        <v>480000</v>
      </c>
      <c r="H11" s="20" t="n">
        <f aca="false">H24*Assumptions!$C$12*IF(COLUMN()-2&gt;=MATCH(Assumptions!$C$14,$C$5:$N$5,0),1+Assumptions!$C$13,1)</f>
        <v>480000</v>
      </c>
      <c r="I11" s="20" t="n">
        <f aca="false">I24*Assumptions!$C$12*IF(COLUMN()-2&gt;=MATCH(Assumptions!$C$14,$C$5:$N$5,0),1+Assumptions!$C$13,1)</f>
        <v>518400</v>
      </c>
      <c r="J11" s="20" t="n">
        <f aca="false">J24*Assumptions!$C$12*IF(COLUMN()-2&gt;=MATCH(Assumptions!$C$14,$C$5:$N$5,0),1+Assumptions!$C$13,1)</f>
        <v>550800</v>
      </c>
      <c r="K11" s="20" t="n">
        <f aca="false">K24*Assumptions!$C$12*IF(COLUMN()-2&gt;=MATCH(Assumptions!$C$14,$C$5:$N$5,0),1+Assumptions!$C$13,1)</f>
        <v>550800</v>
      </c>
      <c r="L11" s="20" t="n">
        <f aca="false">L24*Assumptions!$C$12*IF(COLUMN()-2&gt;=MATCH(Assumptions!$C$14,$C$5:$N$5,0),1+Assumptions!$C$13,1)</f>
        <v>550800</v>
      </c>
      <c r="M11" s="20" t="n">
        <f aca="false">M24*Assumptions!$C$12*IF(COLUMN()-2&gt;=MATCH(Assumptions!$C$14,$C$5:$N$5,0),1+Assumptions!$C$13,1)</f>
        <v>583200</v>
      </c>
      <c r="N11" s="20" t="n">
        <f aca="false">N24*Assumptions!$C$12*IF(COLUMN()-2&gt;=MATCH(Assumptions!$C$14,$C$5:$N$5,0),1+Assumptions!$C$13,1)</f>
        <v>583200</v>
      </c>
      <c r="O11" s="21" t="n">
        <f aca="false">SUM(C11:N11)</f>
        <v>6037200</v>
      </c>
    </row>
    <row r="12" customFormat="false" ht="15" hidden="false" customHeight="false" outlineLevel="0" collapsed="false">
      <c r="B12" s="19" t="s">
        <v>84</v>
      </c>
      <c r="C12" s="20" t="n">
        <f aca="false">Assumptions!$C$15</f>
        <v>85000</v>
      </c>
      <c r="D12" s="20" t="n">
        <f aca="false">Assumptions!$C$15</f>
        <v>85000</v>
      </c>
      <c r="E12" s="20" t="n">
        <f aca="false">Assumptions!$C$15</f>
        <v>85000</v>
      </c>
      <c r="F12" s="20" t="n">
        <f aca="false">Assumptions!$C$15</f>
        <v>85000</v>
      </c>
      <c r="G12" s="20" t="n">
        <f aca="false">Assumptions!$C$15</f>
        <v>85000</v>
      </c>
      <c r="H12" s="20" t="n">
        <f aca="false">Assumptions!$C$15</f>
        <v>85000</v>
      </c>
      <c r="I12" s="20" t="n">
        <f aca="false">Assumptions!$C$15</f>
        <v>85000</v>
      </c>
      <c r="J12" s="20" t="n">
        <f aca="false">Assumptions!$C$15</f>
        <v>85000</v>
      </c>
      <c r="K12" s="20" t="n">
        <f aca="false">Assumptions!$C$15</f>
        <v>85000</v>
      </c>
      <c r="L12" s="20" t="n">
        <f aca="false">Assumptions!$C$15</f>
        <v>85000</v>
      </c>
      <c r="M12" s="20" t="n">
        <f aca="false">Assumptions!$C$15</f>
        <v>85000</v>
      </c>
      <c r="N12" s="20" t="n">
        <f aca="false">Assumptions!$C$15</f>
        <v>85000</v>
      </c>
      <c r="O12" s="21" t="n">
        <f aca="false">SUM(C12:N12)</f>
        <v>1020000</v>
      </c>
    </row>
    <row r="13" customFormat="false" ht="15" hidden="false" customHeight="false" outlineLevel="0" collapsed="false">
      <c r="B13" s="19" t="s">
        <v>85</v>
      </c>
      <c r="C13" s="20" t="n">
        <f aca="false">Assumptions!$C$16</f>
        <v>45000</v>
      </c>
      <c r="D13" s="20" t="n">
        <f aca="false">Assumptions!$C$16</f>
        <v>45000</v>
      </c>
      <c r="E13" s="20" t="n">
        <f aca="false">Assumptions!$C$16</f>
        <v>45000</v>
      </c>
      <c r="F13" s="20" t="n">
        <f aca="false">Assumptions!$C$16</f>
        <v>45000</v>
      </c>
      <c r="G13" s="20" t="n">
        <f aca="false">Assumptions!$C$16</f>
        <v>45000</v>
      </c>
      <c r="H13" s="20" t="n">
        <f aca="false">Assumptions!$C$16</f>
        <v>45000</v>
      </c>
      <c r="I13" s="20" t="n">
        <f aca="false">Assumptions!$C$16</f>
        <v>45000</v>
      </c>
      <c r="J13" s="20" t="n">
        <f aca="false">Assumptions!$C$16</f>
        <v>45000</v>
      </c>
      <c r="K13" s="20" t="n">
        <f aca="false">Assumptions!$C$16</f>
        <v>45000</v>
      </c>
      <c r="L13" s="20" t="n">
        <f aca="false">Assumptions!$C$16</f>
        <v>45000</v>
      </c>
      <c r="M13" s="20" t="n">
        <f aca="false">Assumptions!$C$16</f>
        <v>45000</v>
      </c>
      <c r="N13" s="20" t="n">
        <f aca="false">Assumptions!$C$16</f>
        <v>45000</v>
      </c>
      <c r="O13" s="21" t="n">
        <f aca="false">SUM(C13:N13)</f>
        <v>540000</v>
      </c>
    </row>
    <row r="14" customFormat="false" ht="15" hidden="false" customHeight="false" outlineLevel="0" collapsed="false">
      <c r="B14" s="19" t="s">
        <v>86</v>
      </c>
      <c r="C14" s="20" t="n">
        <f aca="false">C6*Assumptions!$C$17</f>
        <v>57000</v>
      </c>
      <c r="D14" s="20" t="n">
        <f aca="false">D6*Assumptions!$C$17</f>
        <v>58710</v>
      </c>
      <c r="E14" s="20" t="n">
        <f aca="false">E6*Assumptions!$C$17</f>
        <v>60471.3</v>
      </c>
      <c r="F14" s="20" t="n">
        <f aca="false">F6*Assumptions!$C$17</f>
        <v>62285.439</v>
      </c>
      <c r="G14" s="20" t="n">
        <f aca="false">G6*Assumptions!$C$17</f>
        <v>64154.00217</v>
      </c>
      <c r="H14" s="20" t="n">
        <f aca="false">H6*Assumptions!$C$17</f>
        <v>66078.6222351</v>
      </c>
      <c r="I14" s="20" t="n">
        <f aca="false">I6*Assumptions!$C$17</f>
        <v>68060.980902153</v>
      </c>
      <c r="J14" s="20" t="n">
        <f aca="false">J6*Assumptions!$C$17</f>
        <v>70102.8103292176</v>
      </c>
      <c r="K14" s="20" t="n">
        <f aca="false">K6*Assumptions!$C$17</f>
        <v>72205.8946390941</v>
      </c>
      <c r="L14" s="20" t="n">
        <f aca="false">L6*Assumptions!$C$17</f>
        <v>74372.071478267</v>
      </c>
      <c r="M14" s="20" t="n">
        <f aca="false">M6*Assumptions!$C$17</f>
        <v>76603.233622615</v>
      </c>
      <c r="N14" s="20" t="n">
        <f aca="false">N6*Assumptions!$C$17</f>
        <v>78901.3306312934</v>
      </c>
      <c r="O14" s="21" t="n">
        <f aca="false">SUM(C14:N14)</f>
        <v>808945.68500774</v>
      </c>
    </row>
    <row r="15" customFormat="false" ht="15" hidden="false" customHeight="false" outlineLevel="0" collapsed="false">
      <c r="B15" s="19" t="s">
        <v>87</v>
      </c>
      <c r="C15" s="20" t="n">
        <f aca="false">Assumptions!$C$18</f>
        <v>55000</v>
      </c>
      <c r="D15" s="20" t="n">
        <f aca="false">Assumptions!$C$18</f>
        <v>55000</v>
      </c>
      <c r="E15" s="20" t="n">
        <f aca="false">Assumptions!$C$18</f>
        <v>55000</v>
      </c>
      <c r="F15" s="20" t="n">
        <f aca="false">Assumptions!$C$18</f>
        <v>55000</v>
      </c>
      <c r="G15" s="20" t="n">
        <f aca="false">Assumptions!$C$18</f>
        <v>55000</v>
      </c>
      <c r="H15" s="20" t="n">
        <f aca="false">Assumptions!$C$18</f>
        <v>55000</v>
      </c>
      <c r="I15" s="20" t="n">
        <f aca="false">Assumptions!$C$18</f>
        <v>55000</v>
      </c>
      <c r="J15" s="20" t="n">
        <f aca="false">Assumptions!$C$18</f>
        <v>55000</v>
      </c>
      <c r="K15" s="20" t="n">
        <f aca="false">Assumptions!$C$18</f>
        <v>55000</v>
      </c>
      <c r="L15" s="20" t="n">
        <f aca="false">Assumptions!$C$18</f>
        <v>55000</v>
      </c>
      <c r="M15" s="20" t="n">
        <f aca="false">Assumptions!$C$18</f>
        <v>55000</v>
      </c>
      <c r="N15" s="20" t="n">
        <f aca="false">Assumptions!$C$18</f>
        <v>55000</v>
      </c>
      <c r="O15" s="21" t="n">
        <f aca="false">SUM(C15:N15)</f>
        <v>660000</v>
      </c>
    </row>
    <row r="16" customFormat="false" ht="15" hidden="false" customHeight="false" outlineLevel="0" collapsed="false">
      <c r="B16" s="22" t="s">
        <v>88</v>
      </c>
      <c r="C16" s="21" t="n">
        <f aca="false">IF(COUNT(C6:C7,C9,C11:C15)=0,"",SUM(C11:C15))</f>
        <v>662000</v>
      </c>
      <c r="D16" s="21" t="n">
        <f aca="false">IF(COUNT(D6:D7,D9,D11:D15)=0,"",SUM(D11:D15))</f>
        <v>663710</v>
      </c>
      <c r="E16" s="21" t="n">
        <f aca="false">IF(COUNT(E6:E7,E9,E11:E15)=0,"",SUM(E11:E15))</f>
        <v>695471.3</v>
      </c>
      <c r="F16" s="21" t="n">
        <f aca="false">IF(COUNT(F6:F7,F9,F11:F15)=0,"",SUM(F11:F15))</f>
        <v>697285.439</v>
      </c>
      <c r="G16" s="21" t="n">
        <f aca="false">IF(COUNT(G6:G7,G9,G11:G15)=0,"",SUM(G11:G15))</f>
        <v>729154.00217</v>
      </c>
      <c r="H16" s="21" t="n">
        <f aca="false">IF(COUNT(H6:H7,H9,H11:H15)=0,"",SUM(H11:H15))</f>
        <v>731078.6222351</v>
      </c>
      <c r="I16" s="21" t="n">
        <f aca="false">IF(COUNT(I6:I7,I9,I11:I15)=0,"",SUM(I11:I15))</f>
        <v>771460.980902153</v>
      </c>
      <c r="J16" s="21" t="n">
        <f aca="false">IF(COUNT(J6:J7,J9,J11:J15)=0,"",SUM(J11:J15))</f>
        <v>805902.810329218</v>
      </c>
      <c r="K16" s="21" t="n">
        <f aca="false">IF(COUNT(K6:K7,K9,K11:K15)=0,"",SUM(K11:K15))</f>
        <v>808005.894639094</v>
      </c>
      <c r="L16" s="21" t="n">
        <f aca="false">IF(COUNT(L6:L7,L9,L11:L15)=0,"",SUM(L11:L15))</f>
        <v>810172.071478267</v>
      </c>
      <c r="M16" s="21" t="n">
        <f aca="false">IF(COUNT(M6:M7,M9,M11:M15)=0,"",SUM(M11:M15))</f>
        <v>844803.233622615</v>
      </c>
      <c r="N16" s="21" t="n">
        <f aca="false">IF(COUNT(N6:N7,N9,N11:N15)=0,"",SUM(N11:N15))</f>
        <v>847101.330631294</v>
      </c>
      <c r="O16" s="21" t="n">
        <f aca="false">SUM(C16:N16)</f>
        <v>9066145.68500774</v>
      </c>
    </row>
    <row r="17" customFormat="false" ht="15" hidden="false" customHeight="false" outlineLevel="0" collapsed="false">
      <c r="B17" s="22" t="s">
        <v>89</v>
      </c>
      <c r="C17" s="21" t="n">
        <f aca="false">IF(COUNT(C6:C7,C9,C11:C15)=0,"",C8-C9-C16)</f>
        <v>498000</v>
      </c>
      <c r="D17" s="21" t="n">
        <f aca="false">IF(COUNT(D6:D7,D9,D11:D15)=0,"",D8-D9-D16)</f>
        <v>530490</v>
      </c>
      <c r="E17" s="21" t="n">
        <f aca="false">IF(COUNT(E6:E7,E9,E11:E15)=0,"",E8-E9-E16)</f>
        <v>533954.7</v>
      </c>
      <c r="F17" s="21" t="n">
        <f aca="false">IF(COUNT(F6:F7,F9,F11:F15)=0,"",F8-F9-F16)</f>
        <v>568423.341</v>
      </c>
      <c r="G17" s="21" t="n">
        <f aca="false">IF(COUNT(G6:G7,G9,G11:G15)=0,"",G8-G9-G16)</f>
        <v>573926.04123</v>
      </c>
      <c r="H17" s="21" t="n">
        <f aca="false">IF(COUNT(H6:H7,H9,H11:H15)=0,"",H8-H9-H16)</f>
        <v>610493.8224669</v>
      </c>
      <c r="I17" s="21" t="n">
        <f aca="false">IF(COUNT(I6:I7,I9,I11:I15)=0,"",I8-I9-I16)</f>
        <v>609758.637140907</v>
      </c>
      <c r="J17" s="21" t="n">
        <f aca="false">IF(COUNT(J6:J7,J9,J11:J15)=0,"",J8-J9-J16)</f>
        <v>616153.396255135</v>
      </c>
      <c r="K17" s="21" t="n">
        <f aca="false">IF(COUNT(K6:K7,K9,K11:K15)=0,"",K8-K9-K16)</f>
        <v>656111.998142788</v>
      </c>
      <c r="L17" s="21" t="n">
        <f aca="false">IF(COUNT(L6:L7,L9,L11:L15)=0,"",L8-L9-L16)</f>
        <v>697269.358087072</v>
      </c>
      <c r="M17" s="21" t="n">
        <f aca="false">IF(COUNT(M6:M7,M9,M11:M15)=0,"",M8-M9-M16)</f>
        <v>707261.438829684</v>
      </c>
      <c r="N17" s="21" t="n">
        <f aca="false">IF(COUNT(N6:N7,N9,N11:N15)=0,"",N8-N9-N16)</f>
        <v>750925.281994575</v>
      </c>
      <c r="O17" s="21" t="n">
        <f aca="false">SUM(C17:N17)</f>
        <v>7352768.01514706</v>
      </c>
    </row>
    <row r="18" customFormat="false" ht="15" hidden="false" customHeight="false" outlineLevel="0" collapsed="false">
      <c r="B18" s="19" t="s">
        <v>90</v>
      </c>
      <c r="C18" s="20" t="n">
        <f aca="false">Assumptions!$C$19</f>
        <v>30000</v>
      </c>
      <c r="D18" s="20" t="n">
        <f aca="false">Assumptions!$C$19</f>
        <v>30000</v>
      </c>
      <c r="E18" s="20" t="n">
        <f aca="false">Assumptions!$C$19</f>
        <v>30000</v>
      </c>
      <c r="F18" s="20" t="n">
        <f aca="false">Assumptions!$C$19</f>
        <v>30000</v>
      </c>
      <c r="G18" s="20" t="n">
        <f aca="false">Assumptions!$C$19</f>
        <v>30000</v>
      </c>
      <c r="H18" s="20" t="n">
        <f aca="false">Assumptions!$C$19</f>
        <v>30000</v>
      </c>
      <c r="I18" s="20" t="n">
        <f aca="false">Assumptions!$C$19</f>
        <v>30000</v>
      </c>
      <c r="J18" s="20" t="n">
        <f aca="false">Assumptions!$C$19</f>
        <v>30000</v>
      </c>
      <c r="K18" s="20" t="n">
        <f aca="false">Assumptions!$C$19</f>
        <v>30000</v>
      </c>
      <c r="L18" s="20" t="n">
        <f aca="false">Assumptions!$C$19</f>
        <v>30000</v>
      </c>
      <c r="M18" s="20" t="n">
        <f aca="false">Assumptions!$C$19</f>
        <v>30000</v>
      </c>
      <c r="N18" s="20" t="n">
        <f aca="false">Assumptions!$C$19</f>
        <v>30000</v>
      </c>
      <c r="O18" s="21" t="n">
        <f aca="false">SUM(C18:N18)</f>
        <v>360000</v>
      </c>
    </row>
    <row r="19" customFormat="false" ht="15" hidden="false" customHeight="false" outlineLevel="0" collapsed="false">
      <c r="B19" s="19" t="s">
        <v>91</v>
      </c>
      <c r="C19" s="20" t="n">
        <f aca="false">Assumptions!$C$20</f>
        <v>17000</v>
      </c>
      <c r="D19" s="20" t="n">
        <f aca="false">Assumptions!$C$20</f>
        <v>17000</v>
      </c>
      <c r="E19" s="20" t="n">
        <f aca="false">Assumptions!$C$20</f>
        <v>17000</v>
      </c>
      <c r="F19" s="20" t="n">
        <f aca="false">Assumptions!$C$20</f>
        <v>17000</v>
      </c>
      <c r="G19" s="20" t="n">
        <f aca="false">Assumptions!$C$20</f>
        <v>17000</v>
      </c>
      <c r="H19" s="20" t="n">
        <f aca="false">Assumptions!$C$20</f>
        <v>17000</v>
      </c>
      <c r="I19" s="20" t="n">
        <f aca="false">Assumptions!$C$20</f>
        <v>17000</v>
      </c>
      <c r="J19" s="20" t="n">
        <f aca="false">Assumptions!$C$20</f>
        <v>17000</v>
      </c>
      <c r="K19" s="20" t="n">
        <f aca="false">Assumptions!$C$20</f>
        <v>17000</v>
      </c>
      <c r="L19" s="20" t="n">
        <f aca="false">Assumptions!$C$20</f>
        <v>17000</v>
      </c>
      <c r="M19" s="20" t="n">
        <f aca="false">Assumptions!$C$20</f>
        <v>17000</v>
      </c>
      <c r="N19" s="20" t="n">
        <f aca="false">Assumptions!$C$20</f>
        <v>17000</v>
      </c>
      <c r="O19" s="21" t="n">
        <f aca="false">SUM(C19:N19)</f>
        <v>204000</v>
      </c>
    </row>
    <row r="20" customFormat="false" ht="15" hidden="false" customHeight="false" outlineLevel="0" collapsed="false">
      <c r="B20" s="22" t="s">
        <v>92</v>
      </c>
      <c r="C20" s="21" t="n">
        <f aca="false">IF(COUNT(C6:C7,C9,C11:C15)=0,"",C17-C18-C19)</f>
        <v>451000</v>
      </c>
      <c r="D20" s="21" t="n">
        <f aca="false">IF(COUNT(D6:D7,D9,D11:D15)=0,"",D17-D18-D19)</f>
        <v>483490</v>
      </c>
      <c r="E20" s="21" t="n">
        <f aca="false">IF(COUNT(E6:E7,E9,E11:E15)=0,"",E17-E18-E19)</f>
        <v>486954.7</v>
      </c>
      <c r="F20" s="21" t="n">
        <f aca="false">IF(COUNT(F6:F7,F9,F11:F15)=0,"",F17-F18-F19)</f>
        <v>521423.341</v>
      </c>
      <c r="G20" s="21" t="n">
        <f aca="false">IF(COUNT(G6:G7,G9,G11:G15)=0,"",G17-G18-G19)</f>
        <v>526926.04123</v>
      </c>
      <c r="H20" s="21" t="n">
        <f aca="false">IF(COUNT(H6:H7,H9,H11:H15)=0,"",H17-H18-H19)</f>
        <v>563493.8224669</v>
      </c>
      <c r="I20" s="21" t="n">
        <f aca="false">IF(COUNT(I6:I7,I9,I11:I15)=0,"",I17-I18-I19)</f>
        <v>562758.637140907</v>
      </c>
      <c r="J20" s="21" t="n">
        <f aca="false">IF(COUNT(J6:J7,J9,J11:J15)=0,"",J17-J18-J19)</f>
        <v>569153.396255135</v>
      </c>
      <c r="K20" s="21" t="n">
        <f aca="false">IF(COUNT(K6:K7,K9,K11:K15)=0,"",K17-K18-K19)</f>
        <v>609111.998142788</v>
      </c>
      <c r="L20" s="21" t="n">
        <f aca="false">IF(COUNT(L6:L7,L9,L11:L15)=0,"",L17-L18-L19)</f>
        <v>650269.358087072</v>
      </c>
      <c r="M20" s="21" t="n">
        <f aca="false">IF(COUNT(M6:M7,M9,M11:M15)=0,"",M17-M18-M19)</f>
        <v>660261.438829684</v>
      </c>
      <c r="N20" s="21" t="n">
        <f aca="false">IF(COUNT(N6:N7,N9,N11:N15)=0,"",N17-N18-N19)</f>
        <v>703925.281994575</v>
      </c>
      <c r="O20" s="21" t="n">
        <f aca="false">SUM(C20:N20)</f>
        <v>6788768.01514706</v>
      </c>
    </row>
    <row r="21" customFormat="false" ht="15" hidden="false" customHeight="false" outlineLevel="0" collapsed="false">
      <c r="B21" s="19" t="s">
        <v>93</v>
      </c>
      <c r="C21" s="20" t="n">
        <f aca="false">MAX(0,C20)*Assumptions!$C$21</f>
        <v>112750</v>
      </c>
      <c r="D21" s="20" t="n">
        <f aca="false">MAX(0,D20)*Assumptions!$C$21</f>
        <v>120872.5</v>
      </c>
      <c r="E21" s="20" t="n">
        <f aca="false">MAX(0,E20)*Assumptions!$C$21</f>
        <v>121738.675</v>
      </c>
      <c r="F21" s="20" t="n">
        <f aca="false">MAX(0,F20)*Assumptions!$C$21</f>
        <v>130355.83525</v>
      </c>
      <c r="G21" s="20" t="n">
        <f aca="false">MAX(0,G20)*Assumptions!$C$21</f>
        <v>131731.5103075</v>
      </c>
      <c r="H21" s="20" t="n">
        <f aca="false">MAX(0,H20)*Assumptions!$C$21</f>
        <v>140873.455616725</v>
      </c>
      <c r="I21" s="20" t="n">
        <f aca="false">MAX(0,I20)*Assumptions!$C$21</f>
        <v>140689.659285227</v>
      </c>
      <c r="J21" s="20" t="n">
        <f aca="false">MAX(0,J20)*Assumptions!$C$21</f>
        <v>142288.349063784</v>
      </c>
      <c r="K21" s="20" t="n">
        <f aca="false">MAX(0,K20)*Assumptions!$C$21</f>
        <v>152277.999535697</v>
      </c>
      <c r="L21" s="20" t="n">
        <f aca="false">MAX(0,L20)*Assumptions!$C$21</f>
        <v>162567.339521768</v>
      </c>
      <c r="M21" s="20" t="n">
        <f aca="false">MAX(0,M20)*Assumptions!$C$21</f>
        <v>165065.359707421</v>
      </c>
      <c r="N21" s="20" t="n">
        <f aca="false">MAX(0,N20)*Assumptions!$C$21</f>
        <v>175981.320498644</v>
      </c>
      <c r="O21" s="21" t="n">
        <f aca="false">SUM(C21:N21)</f>
        <v>1697192.00378677</v>
      </c>
    </row>
    <row r="22" customFormat="false" ht="15" hidden="false" customHeight="false" outlineLevel="0" collapsed="false">
      <c r="B22" s="22" t="s">
        <v>94</v>
      </c>
      <c r="C22" s="21" t="n">
        <f aca="false">IF(COUNT(C6:C7,C9,C11:C15)=0,"",C20-C21)</f>
        <v>338250</v>
      </c>
      <c r="D22" s="21" t="n">
        <f aca="false">IF(COUNT(D6:D7,D9,D11:D15)=0,"",D20-D21)</f>
        <v>362617.5</v>
      </c>
      <c r="E22" s="21" t="n">
        <f aca="false">IF(COUNT(E6:E7,E9,E11:E15)=0,"",E20-E21)</f>
        <v>365216.025</v>
      </c>
      <c r="F22" s="21" t="n">
        <f aca="false">IF(COUNT(F6:F7,F9,F11:F15)=0,"",F20-F21)</f>
        <v>391067.50575</v>
      </c>
      <c r="G22" s="21" t="n">
        <f aca="false">IF(COUNT(G6:G7,G9,G11:G15)=0,"",G20-G21)</f>
        <v>395194.5309225</v>
      </c>
      <c r="H22" s="21" t="n">
        <f aca="false">IF(COUNT(H6:H7,H9,H11:H15)=0,"",H20-H21)</f>
        <v>422620.366850175</v>
      </c>
      <c r="I22" s="21" t="n">
        <f aca="false">IF(COUNT(I6:I7,I9,I11:I15)=0,"",I20-I21)</f>
        <v>422068.977855681</v>
      </c>
      <c r="J22" s="21" t="n">
        <f aca="false">IF(COUNT(J6:J7,J9,J11:J15)=0,"",J20-J21)</f>
        <v>426865.047191351</v>
      </c>
      <c r="K22" s="21" t="n">
        <f aca="false">IF(COUNT(K6:K7,K9,K11:K15)=0,"",K20-K21)</f>
        <v>456833.998607091</v>
      </c>
      <c r="L22" s="21" t="n">
        <f aca="false">IF(COUNT(L6:L7,L9,L11:L15)=0,"",L20-L21)</f>
        <v>487702.018565304</v>
      </c>
      <c r="M22" s="21" t="n">
        <f aca="false">IF(COUNT(M6:M7,M9,M11:M15)=0,"",M20-M21)</f>
        <v>495196.079122263</v>
      </c>
      <c r="N22" s="21" t="n">
        <f aca="false">IF(COUNT(N6:N7,N9,N11:N15)=0,"",N20-N21)</f>
        <v>527943.961495932</v>
      </c>
      <c r="O22" s="21" t="n">
        <f aca="false">SUM(C22:N22)</f>
        <v>5091576.0113603</v>
      </c>
    </row>
    <row r="24" customFormat="false" ht="15" hidden="false" customHeight="false" outlineLevel="0" collapsed="false">
      <c r="B24" s="23" t="s">
        <v>95</v>
      </c>
      <c r="C24" s="24" t="n">
        <v>14</v>
      </c>
      <c r="D24" s="24" t="n">
        <v>14</v>
      </c>
      <c r="E24" s="24" t="n">
        <v>15</v>
      </c>
      <c r="F24" s="24" t="n">
        <v>15</v>
      </c>
      <c r="G24" s="24" t="n">
        <v>16</v>
      </c>
      <c r="H24" s="24" t="n">
        <v>16</v>
      </c>
      <c r="I24" s="24" t="n">
        <v>16</v>
      </c>
      <c r="J24" s="24" t="n">
        <v>17</v>
      </c>
      <c r="K24" s="24" t="n">
        <v>17</v>
      </c>
      <c r="L24" s="24" t="n">
        <v>17</v>
      </c>
      <c r="M24" s="24" t="n">
        <v>18</v>
      </c>
      <c r="N24" s="24" t="n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O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14" min="3" style="0" width="12"/>
    <col collapsed="false" customWidth="true" hidden="false" outlineLevel="0" max="15" min="15" style="0" width="14"/>
  </cols>
  <sheetData>
    <row r="2" customFormat="false" ht="19.7" hidden="false" customHeight="false" outlineLevel="0" collapsed="false">
      <c r="B2" s="1" t="s">
        <v>96</v>
      </c>
    </row>
    <row r="3" customFormat="false" ht="15" hidden="false" customHeight="false" outlineLevel="0" collapsed="false">
      <c r="B3" s="2" t="s">
        <v>97</v>
      </c>
    </row>
    <row r="5" customFormat="false" ht="30" hidden="false" customHeight="true" outlineLevel="0" collapsed="false">
      <c r="B5" s="17" t="s">
        <v>66</v>
      </c>
      <c r="C5" s="18" t="s">
        <v>67</v>
      </c>
      <c r="D5" s="18" t="s">
        <v>68</v>
      </c>
      <c r="E5" s="18" t="s">
        <v>69</v>
      </c>
      <c r="F5" s="18" t="s">
        <v>70</v>
      </c>
      <c r="G5" s="18" t="s">
        <v>71</v>
      </c>
      <c r="H5" s="18" t="s">
        <v>62</v>
      </c>
      <c r="I5" s="18" t="s">
        <v>48</v>
      </c>
      <c r="J5" s="18" t="s">
        <v>72</v>
      </c>
      <c r="K5" s="18" t="s">
        <v>73</v>
      </c>
      <c r="L5" s="18" t="s">
        <v>74</v>
      </c>
      <c r="M5" s="18" t="s">
        <v>75</v>
      </c>
      <c r="N5" s="18" t="s">
        <v>76</v>
      </c>
      <c r="O5" s="18" t="s">
        <v>77</v>
      </c>
    </row>
    <row r="6" customFormat="false" ht="15" hidden="false" customHeight="false" outlineLevel="0" collapsed="false">
      <c r="B6" s="19" t="s">
        <v>78</v>
      </c>
      <c r="C6" s="15" t="n">
        <v>1850000</v>
      </c>
      <c r="D6" s="15" t="n">
        <v>1925000</v>
      </c>
      <c r="E6" s="15" t="n">
        <v>1990000</v>
      </c>
      <c r="F6" s="15" t="n">
        <v>2060000</v>
      </c>
      <c r="G6" s="15" t="n">
        <v>2120000</v>
      </c>
      <c r="H6" s="15" t="n">
        <v>2205000</v>
      </c>
      <c r="I6" s="15"/>
      <c r="J6" s="15"/>
      <c r="K6" s="15"/>
      <c r="L6" s="15"/>
      <c r="M6" s="15"/>
      <c r="N6" s="15"/>
      <c r="O6" s="21" t="n">
        <f aca="false">SUM(C6:N6)</f>
        <v>12150000</v>
      </c>
    </row>
    <row r="7" customFormat="false" ht="15" hidden="false" customHeight="false" outlineLevel="0" collapsed="false">
      <c r="B7" s="19" t="s">
        <v>79</v>
      </c>
      <c r="C7" s="15" t="n">
        <v>25000</v>
      </c>
      <c r="D7" s="15" t="n">
        <v>18000</v>
      </c>
      <c r="E7" s="15" t="n">
        <v>22000</v>
      </c>
      <c r="F7" s="15" t="n">
        <v>30000</v>
      </c>
      <c r="G7" s="15" t="n">
        <v>21000</v>
      </c>
      <c r="H7" s="15" t="n">
        <v>26000</v>
      </c>
      <c r="I7" s="15"/>
      <c r="J7" s="15"/>
      <c r="K7" s="15"/>
      <c r="L7" s="15"/>
      <c r="M7" s="15"/>
      <c r="N7" s="15"/>
      <c r="O7" s="21" t="n">
        <f aca="false">SUM(C7:N7)</f>
        <v>142000</v>
      </c>
    </row>
    <row r="8" customFormat="false" ht="15" hidden="false" customHeight="false" outlineLevel="0" collapsed="false">
      <c r="B8" s="22" t="s">
        <v>80</v>
      </c>
      <c r="C8" s="21" t="n">
        <f aca="false">IF(COUNT(C6:C7,C9,C11:C15)=0,"",C6+C7)</f>
        <v>1875000</v>
      </c>
      <c r="D8" s="21" t="n">
        <f aca="false">IF(COUNT(D6:D7,D9,D11:D15)=0,"",D6+D7)</f>
        <v>1943000</v>
      </c>
      <c r="E8" s="21" t="n">
        <f aca="false">IF(COUNT(E6:E7,E9,E11:E15)=0,"",E6+E7)</f>
        <v>2012000</v>
      </c>
      <c r="F8" s="21" t="n">
        <f aca="false">IF(COUNT(F6:F7,F9,F11:F15)=0,"",F6+F7)</f>
        <v>2090000</v>
      </c>
      <c r="G8" s="21" t="n">
        <f aca="false">IF(COUNT(G6:G7,G9,G11:G15)=0,"",G6+G7)</f>
        <v>2141000</v>
      </c>
      <c r="H8" s="21" t="n">
        <f aca="false">IF(COUNT(H6:H7,H9,H11:H15)=0,"",H6+H7)</f>
        <v>2231000</v>
      </c>
      <c r="I8" s="21" t="str">
        <f aca="false">IF(COUNT(I6:I7,I9,I11:I15)=0,"",I6+I7)</f>
        <v/>
      </c>
      <c r="J8" s="21" t="str">
        <f aca="false">IF(COUNT(J6:J7,J9,J11:J15)=0,"",J6+J7)</f>
        <v/>
      </c>
      <c r="K8" s="21" t="str">
        <f aca="false">IF(COUNT(K6:K7,K9,K11:K15)=0,"",K6+K7)</f>
        <v/>
      </c>
      <c r="L8" s="21" t="str">
        <f aca="false">IF(COUNT(L6:L7,L9,L11:L15)=0,"",L6+L7)</f>
        <v/>
      </c>
      <c r="M8" s="21" t="str">
        <f aca="false">IF(COUNT(M6:M7,M9,M11:M15)=0,"",M6+M7)</f>
        <v/>
      </c>
      <c r="N8" s="21" t="str">
        <f aca="false">IF(COUNT(N6:N7,N9,N11:N15)=0,"",N6+N7)</f>
        <v/>
      </c>
      <c r="O8" s="21" t="n">
        <f aca="false">SUM(C8:N8)</f>
        <v>12292000</v>
      </c>
    </row>
    <row r="9" customFormat="false" ht="15" hidden="false" customHeight="false" outlineLevel="0" collapsed="false">
      <c r="B9" s="19" t="s">
        <v>81</v>
      </c>
      <c r="C9" s="15" t="n">
        <v>740000</v>
      </c>
      <c r="D9" s="15" t="n">
        <v>770000</v>
      </c>
      <c r="E9" s="15" t="n">
        <v>796000</v>
      </c>
      <c r="F9" s="15" t="n">
        <v>824000</v>
      </c>
      <c r="G9" s="15" t="n">
        <v>848000</v>
      </c>
      <c r="H9" s="15" t="n">
        <v>882000</v>
      </c>
      <c r="I9" s="15"/>
      <c r="J9" s="15"/>
      <c r="K9" s="15"/>
      <c r="L9" s="15"/>
      <c r="M9" s="15"/>
      <c r="N9" s="15"/>
      <c r="O9" s="21" t="n">
        <f aca="false">SUM(C9:N9)</f>
        <v>4860000</v>
      </c>
    </row>
    <row r="10" customFormat="false" ht="15" hidden="false" customHeight="false" outlineLevel="0" collapsed="false">
      <c r="B10" s="22" t="s">
        <v>82</v>
      </c>
      <c r="C10" s="21" t="n">
        <f aca="false">IF(COUNT(C6:C7,C9,C11:C15)=0,"",C6-C9)</f>
        <v>1110000</v>
      </c>
      <c r="D10" s="21" t="n">
        <f aca="false">IF(COUNT(D6:D7,D9,D11:D15)=0,"",D6-D9)</f>
        <v>1155000</v>
      </c>
      <c r="E10" s="21" t="n">
        <f aca="false">IF(COUNT(E6:E7,E9,E11:E15)=0,"",E6-E9)</f>
        <v>1194000</v>
      </c>
      <c r="F10" s="21" t="n">
        <f aca="false">IF(COUNT(F6:F7,F9,F11:F15)=0,"",F6-F9)</f>
        <v>1236000</v>
      </c>
      <c r="G10" s="21" t="n">
        <f aca="false">IF(COUNT(G6:G7,G9,G11:G15)=0,"",G6-G9)</f>
        <v>1272000</v>
      </c>
      <c r="H10" s="21" t="n">
        <f aca="false">IF(COUNT(H6:H7,H9,H11:H15)=0,"",H6-H9)</f>
        <v>1323000</v>
      </c>
      <c r="I10" s="21" t="str">
        <f aca="false">IF(COUNT(I6:I7,I9,I11:I15)=0,"",I6-I9)</f>
        <v/>
      </c>
      <c r="J10" s="21" t="str">
        <f aca="false">IF(COUNT(J6:J7,J9,J11:J15)=0,"",J6-J9)</f>
        <v/>
      </c>
      <c r="K10" s="21" t="str">
        <f aca="false">IF(COUNT(K6:K7,K9,K11:K15)=0,"",K6-K9)</f>
        <v/>
      </c>
      <c r="L10" s="21" t="str">
        <f aca="false">IF(COUNT(L6:L7,L9,L11:L15)=0,"",L6-L9)</f>
        <v/>
      </c>
      <c r="M10" s="21" t="str">
        <f aca="false">IF(COUNT(M6:M7,M9,M11:M15)=0,"",M6-M9)</f>
        <v/>
      </c>
      <c r="N10" s="21" t="str">
        <f aca="false">IF(COUNT(N6:N7,N9,N11:N15)=0,"",N6-N9)</f>
        <v/>
      </c>
      <c r="O10" s="21" t="n">
        <f aca="false">SUM(C10:N10)</f>
        <v>7290000</v>
      </c>
    </row>
    <row r="11" customFormat="false" ht="15" hidden="false" customHeight="false" outlineLevel="0" collapsed="false">
      <c r="B11" s="19" t="s">
        <v>83</v>
      </c>
      <c r="C11" s="15" t="n">
        <v>420000</v>
      </c>
      <c r="D11" s="15" t="n">
        <v>420000</v>
      </c>
      <c r="E11" s="15" t="n">
        <v>435000</v>
      </c>
      <c r="F11" s="15" t="n">
        <v>435000</v>
      </c>
      <c r="G11" s="15" t="n">
        <v>450000</v>
      </c>
      <c r="H11" s="15" t="n">
        <v>450000</v>
      </c>
      <c r="I11" s="15"/>
      <c r="J11" s="15"/>
      <c r="K11" s="15"/>
      <c r="L11" s="15"/>
      <c r="M11" s="15"/>
      <c r="N11" s="15"/>
      <c r="O11" s="21" t="n">
        <f aca="false">SUM(C11:N11)</f>
        <v>2610000</v>
      </c>
    </row>
    <row r="12" customFormat="false" ht="15" hidden="false" customHeight="false" outlineLevel="0" collapsed="false">
      <c r="B12" s="19" t="s">
        <v>84</v>
      </c>
      <c r="C12" s="15" t="n">
        <v>85000</v>
      </c>
      <c r="D12" s="15" t="n">
        <v>85000</v>
      </c>
      <c r="E12" s="15" t="n">
        <v>85000</v>
      </c>
      <c r="F12" s="15" t="n">
        <v>85000</v>
      </c>
      <c r="G12" s="15" t="n">
        <v>85000</v>
      </c>
      <c r="H12" s="15" t="n">
        <v>85000</v>
      </c>
      <c r="I12" s="15"/>
      <c r="J12" s="15"/>
      <c r="K12" s="15"/>
      <c r="L12" s="15"/>
      <c r="M12" s="15"/>
      <c r="N12" s="15"/>
      <c r="O12" s="21" t="n">
        <f aca="false">SUM(C12:N12)</f>
        <v>510000</v>
      </c>
    </row>
    <row r="13" customFormat="false" ht="15" hidden="false" customHeight="false" outlineLevel="0" collapsed="false">
      <c r="B13" s="19" t="s">
        <v>85</v>
      </c>
      <c r="C13" s="15" t="n">
        <v>45000</v>
      </c>
      <c r="D13" s="15" t="n">
        <v>40000</v>
      </c>
      <c r="E13" s="15" t="n">
        <v>52000</v>
      </c>
      <c r="F13" s="15" t="n">
        <v>45000</v>
      </c>
      <c r="G13" s="15" t="n">
        <v>48000</v>
      </c>
      <c r="H13" s="15" t="n">
        <v>60000</v>
      </c>
      <c r="I13" s="15"/>
      <c r="J13" s="15"/>
      <c r="K13" s="15"/>
      <c r="L13" s="15"/>
      <c r="M13" s="15"/>
      <c r="N13" s="15"/>
      <c r="O13" s="21" t="n">
        <f aca="false">SUM(C13:N13)</f>
        <v>290000</v>
      </c>
    </row>
    <row r="14" customFormat="false" ht="15" hidden="false" customHeight="false" outlineLevel="0" collapsed="false">
      <c r="B14" s="19" t="s">
        <v>86</v>
      </c>
      <c r="C14" s="15" t="n">
        <v>60000</v>
      </c>
      <c r="D14" s="15" t="n">
        <v>65000</v>
      </c>
      <c r="E14" s="15" t="n">
        <v>55000</v>
      </c>
      <c r="F14" s="15" t="n">
        <v>72000</v>
      </c>
      <c r="G14" s="15" t="n">
        <v>70000</v>
      </c>
      <c r="H14" s="15" t="n">
        <v>80000</v>
      </c>
      <c r="I14" s="15"/>
      <c r="J14" s="15"/>
      <c r="K14" s="15"/>
      <c r="L14" s="15"/>
      <c r="M14" s="15"/>
      <c r="N14" s="15"/>
      <c r="O14" s="21" t="n">
        <f aca="false">SUM(C14:N14)</f>
        <v>402000</v>
      </c>
    </row>
    <row r="15" customFormat="false" ht="15" hidden="false" customHeight="false" outlineLevel="0" collapsed="false">
      <c r="B15" s="19" t="s">
        <v>87</v>
      </c>
      <c r="C15" s="15" t="n">
        <v>55000</v>
      </c>
      <c r="D15" s="15" t="n">
        <v>52000</v>
      </c>
      <c r="E15" s="15" t="n">
        <v>58000</v>
      </c>
      <c r="F15" s="15" t="n">
        <v>61000</v>
      </c>
      <c r="G15" s="15" t="n">
        <v>57000</v>
      </c>
      <c r="H15" s="15" t="n">
        <v>63000</v>
      </c>
      <c r="I15" s="15"/>
      <c r="J15" s="15"/>
      <c r="K15" s="15"/>
      <c r="L15" s="15"/>
      <c r="M15" s="15"/>
      <c r="N15" s="15"/>
      <c r="O15" s="21" t="n">
        <f aca="false">SUM(C15:N15)</f>
        <v>346000</v>
      </c>
    </row>
    <row r="16" customFormat="false" ht="15" hidden="false" customHeight="false" outlineLevel="0" collapsed="false">
      <c r="B16" s="22" t="s">
        <v>88</v>
      </c>
      <c r="C16" s="21" t="n">
        <f aca="false">IF(COUNT(C6:C7,C9,C11:C15)=0,"",SUM(C11:C15))</f>
        <v>665000</v>
      </c>
      <c r="D16" s="21" t="n">
        <f aca="false">IF(COUNT(D6:D7,D9,D11:D15)=0,"",SUM(D11:D15))</f>
        <v>662000</v>
      </c>
      <c r="E16" s="21" t="n">
        <f aca="false">IF(COUNT(E6:E7,E9,E11:E15)=0,"",SUM(E11:E15))</f>
        <v>685000</v>
      </c>
      <c r="F16" s="21" t="n">
        <f aca="false">IF(COUNT(F6:F7,F9,F11:F15)=0,"",SUM(F11:F15))</f>
        <v>698000</v>
      </c>
      <c r="G16" s="21" t="n">
        <f aca="false">IF(COUNT(G6:G7,G9,G11:G15)=0,"",SUM(G11:G15))</f>
        <v>710000</v>
      </c>
      <c r="H16" s="21" t="n">
        <f aca="false">IF(COUNT(H6:H7,H9,H11:H15)=0,"",SUM(H11:H15))</f>
        <v>738000</v>
      </c>
      <c r="I16" s="21" t="str">
        <f aca="false">IF(COUNT(I6:I7,I9,I11:I15)=0,"",SUM(I11:I15))</f>
        <v/>
      </c>
      <c r="J16" s="21" t="str">
        <f aca="false">IF(COUNT(J6:J7,J9,J11:J15)=0,"",SUM(J11:J15))</f>
        <v/>
      </c>
      <c r="K16" s="21" t="str">
        <f aca="false">IF(COUNT(K6:K7,K9,K11:K15)=0,"",SUM(K11:K15))</f>
        <v/>
      </c>
      <c r="L16" s="21" t="str">
        <f aca="false">IF(COUNT(L6:L7,L9,L11:L15)=0,"",SUM(L11:L15))</f>
        <v/>
      </c>
      <c r="M16" s="21" t="str">
        <f aca="false">IF(COUNT(M6:M7,M9,M11:M15)=0,"",SUM(M11:M15))</f>
        <v/>
      </c>
      <c r="N16" s="21" t="str">
        <f aca="false">IF(COUNT(N6:N7,N9,N11:N15)=0,"",SUM(N11:N15))</f>
        <v/>
      </c>
      <c r="O16" s="21" t="n">
        <f aca="false">SUM(C16:N16)</f>
        <v>4158000</v>
      </c>
    </row>
    <row r="17" customFormat="false" ht="15" hidden="false" customHeight="false" outlineLevel="0" collapsed="false">
      <c r="B17" s="22" t="s">
        <v>89</v>
      </c>
      <c r="C17" s="21" t="n">
        <f aca="false">IF(COUNT(C6:C7,C9,C11:C15)=0,"",C8-C9-C16)</f>
        <v>470000</v>
      </c>
      <c r="D17" s="21" t="n">
        <f aca="false">IF(COUNT(D6:D7,D9,D11:D15)=0,"",D8-D9-D16)</f>
        <v>511000</v>
      </c>
      <c r="E17" s="21" t="n">
        <f aca="false">IF(COUNT(E6:E7,E9,E11:E15)=0,"",E8-E9-E16)</f>
        <v>531000</v>
      </c>
      <c r="F17" s="21" t="n">
        <f aca="false">IF(COUNT(F6:F7,F9,F11:F15)=0,"",F8-F9-F16)</f>
        <v>568000</v>
      </c>
      <c r="G17" s="21" t="n">
        <f aca="false">IF(COUNT(G6:G7,G9,G11:G15)=0,"",G8-G9-G16)</f>
        <v>583000</v>
      </c>
      <c r="H17" s="21" t="n">
        <f aca="false">IF(COUNT(H6:H7,H9,H11:H15)=0,"",H8-H9-H16)</f>
        <v>611000</v>
      </c>
      <c r="I17" s="21" t="str">
        <f aca="false">IF(COUNT(I6:I7,I9,I11:I15)=0,"",I8-I9-I16)</f>
        <v/>
      </c>
      <c r="J17" s="21" t="str">
        <f aca="false">IF(COUNT(J6:J7,J9,J11:J15)=0,"",J8-J9-J16)</f>
        <v/>
      </c>
      <c r="K17" s="21" t="str">
        <f aca="false">IF(COUNT(K6:K7,K9,K11:K15)=0,"",K8-K9-K16)</f>
        <v/>
      </c>
      <c r="L17" s="21" t="str">
        <f aca="false">IF(COUNT(L6:L7,L9,L11:L15)=0,"",L8-L9-L16)</f>
        <v/>
      </c>
      <c r="M17" s="21" t="str">
        <f aca="false">IF(COUNT(M6:M7,M9,M11:M15)=0,"",M8-M9-M16)</f>
        <v/>
      </c>
      <c r="N17" s="21" t="str">
        <f aca="false">IF(COUNT(N6:N7,N9,N11:N15)=0,"",N8-N9-N16)</f>
        <v/>
      </c>
      <c r="O17" s="21" t="n">
        <f aca="false">SUM(C17:N17)</f>
        <v>3274000</v>
      </c>
    </row>
    <row r="18" customFormat="false" ht="15" hidden="false" customHeight="false" outlineLevel="0" collapsed="false">
      <c r="B18" s="19" t="s">
        <v>90</v>
      </c>
      <c r="C18" s="15" t="n">
        <v>30000</v>
      </c>
      <c r="D18" s="15" t="n">
        <v>30000</v>
      </c>
      <c r="E18" s="15" t="n">
        <v>30000</v>
      </c>
      <c r="F18" s="15" t="n">
        <v>30000</v>
      </c>
      <c r="G18" s="15" t="n">
        <v>30000</v>
      </c>
      <c r="H18" s="15" t="n">
        <v>30000</v>
      </c>
      <c r="I18" s="15"/>
      <c r="J18" s="15"/>
      <c r="K18" s="15"/>
      <c r="L18" s="15"/>
      <c r="M18" s="15"/>
      <c r="N18" s="15"/>
      <c r="O18" s="21" t="n">
        <f aca="false">SUM(C18:N18)</f>
        <v>180000</v>
      </c>
    </row>
    <row r="19" customFormat="false" ht="15" hidden="false" customHeight="false" outlineLevel="0" collapsed="false">
      <c r="B19" s="19" t="s">
        <v>91</v>
      </c>
      <c r="C19" s="15" t="n">
        <v>18000</v>
      </c>
      <c r="D19" s="15" t="n">
        <v>18000</v>
      </c>
      <c r="E19" s="15" t="n">
        <v>17500</v>
      </c>
      <c r="F19" s="15" t="n">
        <v>17500</v>
      </c>
      <c r="G19" s="15" t="n">
        <v>17000</v>
      </c>
      <c r="H19" s="15" t="n">
        <v>17000</v>
      </c>
      <c r="I19" s="15"/>
      <c r="J19" s="15"/>
      <c r="K19" s="15"/>
      <c r="L19" s="15"/>
      <c r="M19" s="15"/>
      <c r="N19" s="15"/>
      <c r="O19" s="21" t="n">
        <f aca="false">SUM(C19:N19)</f>
        <v>105000</v>
      </c>
    </row>
    <row r="20" customFormat="false" ht="15" hidden="false" customHeight="false" outlineLevel="0" collapsed="false">
      <c r="B20" s="22" t="s">
        <v>92</v>
      </c>
      <c r="C20" s="21" t="n">
        <f aca="false">IF(COUNT(C6:C7,C9,C11:C15)=0,"",C17-C18-C19)</f>
        <v>422000</v>
      </c>
      <c r="D20" s="21" t="n">
        <f aca="false">IF(COUNT(D6:D7,D9,D11:D15)=0,"",D17-D18-D19)</f>
        <v>463000</v>
      </c>
      <c r="E20" s="21" t="n">
        <f aca="false">IF(COUNT(E6:E7,E9,E11:E15)=0,"",E17-E18-E19)</f>
        <v>483500</v>
      </c>
      <c r="F20" s="21" t="n">
        <f aca="false">IF(COUNT(F6:F7,F9,F11:F15)=0,"",F17-F18-F19)</f>
        <v>520500</v>
      </c>
      <c r="G20" s="21" t="n">
        <f aca="false">IF(COUNT(G6:G7,G9,G11:G15)=0,"",G17-G18-G19)</f>
        <v>536000</v>
      </c>
      <c r="H20" s="21" t="n">
        <f aca="false">IF(COUNT(H6:H7,H9,H11:H15)=0,"",H17-H18-H19)</f>
        <v>564000</v>
      </c>
      <c r="I20" s="21" t="str">
        <f aca="false">IF(COUNT(I6:I7,I9,I11:I15)=0,"",I17-I18-I19)</f>
        <v/>
      </c>
      <c r="J20" s="21" t="str">
        <f aca="false">IF(COUNT(J6:J7,J9,J11:J15)=0,"",J17-J18-J19)</f>
        <v/>
      </c>
      <c r="K20" s="21" t="str">
        <f aca="false">IF(COUNT(K6:K7,K9,K11:K15)=0,"",K17-K18-K19)</f>
        <v/>
      </c>
      <c r="L20" s="21" t="str">
        <f aca="false">IF(COUNT(L6:L7,L9,L11:L15)=0,"",L17-L18-L19)</f>
        <v/>
      </c>
      <c r="M20" s="21" t="str">
        <f aca="false">IF(COUNT(M6:M7,M9,M11:M15)=0,"",M17-M18-M19)</f>
        <v/>
      </c>
      <c r="N20" s="21" t="str">
        <f aca="false">IF(COUNT(N6:N7,N9,N11:N15)=0,"",N17-N18-N19)</f>
        <v/>
      </c>
      <c r="O20" s="21" t="n">
        <f aca="false">SUM(C20:N20)</f>
        <v>2989000</v>
      </c>
    </row>
    <row r="21" customFormat="false" ht="15" hidden="false" customHeight="false" outlineLevel="0" collapsed="false">
      <c r="B21" s="19" t="s">
        <v>93</v>
      </c>
      <c r="C21" s="15" t="n">
        <v>105500</v>
      </c>
      <c r="D21" s="15" t="n">
        <v>115800</v>
      </c>
      <c r="E21" s="15" t="n">
        <v>120900</v>
      </c>
      <c r="F21" s="15" t="n">
        <v>130100</v>
      </c>
      <c r="G21" s="15" t="n">
        <v>134000</v>
      </c>
      <c r="H21" s="15" t="n">
        <v>141000</v>
      </c>
      <c r="I21" s="15"/>
      <c r="J21" s="15"/>
      <c r="K21" s="15"/>
      <c r="L21" s="15"/>
      <c r="M21" s="15"/>
      <c r="N21" s="15"/>
      <c r="O21" s="21" t="n">
        <f aca="false">SUM(C21:N21)</f>
        <v>747300</v>
      </c>
    </row>
    <row r="22" customFormat="false" ht="15" hidden="false" customHeight="false" outlineLevel="0" collapsed="false">
      <c r="B22" s="22" t="s">
        <v>94</v>
      </c>
      <c r="C22" s="21" t="n">
        <f aca="false">IF(COUNT(C6:C7,C9,C11:C15)=0,"",C20-C21)</f>
        <v>316500</v>
      </c>
      <c r="D22" s="21" t="n">
        <f aca="false">IF(COUNT(D6:D7,D9,D11:D15)=0,"",D20-D21)</f>
        <v>347200</v>
      </c>
      <c r="E22" s="21" t="n">
        <f aca="false">IF(COUNT(E6:E7,E9,E11:E15)=0,"",E20-E21)</f>
        <v>362600</v>
      </c>
      <c r="F22" s="21" t="n">
        <f aca="false">IF(COUNT(F6:F7,F9,F11:F15)=0,"",F20-F21)</f>
        <v>390400</v>
      </c>
      <c r="G22" s="21" t="n">
        <f aca="false">IF(COUNT(G6:G7,G9,G11:G15)=0,"",G20-G21)</f>
        <v>402000</v>
      </c>
      <c r="H22" s="21" t="n">
        <f aca="false">IF(COUNT(H6:H7,H9,H11:H15)=0,"",H20-H21)</f>
        <v>423000</v>
      </c>
      <c r="I22" s="21" t="str">
        <f aca="false">IF(COUNT(I6:I7,I9,I11:I15)=0,"",I20-I21)</f>
        <v/>
      </c>
      <c r="J22" s="21" t="str">
        <f aca="false">IF(COUNT(J6:J7,J9,J11:J15)=0,"",J20-J21)</f>
        <v/>
      </c>
      <c r="K22" s="21" t="str">
        <f aca="false">IF(COUNT(K6:K7,K9,K11:K15)=0,"",K20-K21)</f>
        <v/>
      </c>
      <c r="L22" s="21" t="str">
        <f aca="false">IF(COUNT(L6:L7,L9,L11:L15)=0,"",L20-L21)</f>
        <v/>
      </c>
      <c r="M22" s="21" t="str">
        <f aca="false">IF(COUNT(M6:M7,M9,M11:M15)=0,"",M20-M21)</f>
        <v/>
      </c>
      <c r="N22" s="21" t="str">
        <f aca="false">IF(COUNT(N6:N7,N9,N11:N15)=0,"",N20-N21)</f>
        <v/>
      </c>
      <c r="O22" s="21" t="n">
        <f aca="false">SUM(C22:N22)</f>
        <v>2241700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R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5" min="3" style="0" width="13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9" min="8" style="0" width="14"/>
    <col collapsed="false" customWidth="true" hidden="false" outlineLevel="0" max="10" min="10" style="0" width="13"/>
    <col collapsed="false" customWidth="true" hidden="false" outlineLevel="0" max="12" min="11" style="0" width="9"/>
  </cols>
  <sheetData>
    <row r="2" customFormat="false" ht="19.7" hidden="false" customHeight="false" outlineLevel="0" collapsed="false">
      <c r="B2" s="1" t="s">
        <v>98</v>
      </c>
    </row>
    <row r="3" customFormat="false" ht="15" hidden="false" customHeight="false" outlineLevel="0" collapsed="false">
      <c r="B3" s="25" t="str">
        <f aca="false">"Client: "&amp;Assumptions!$C$5&amp;"   |   Month: "&amp;$C$4</f>
        <v>Client: Sample Traders Pvt Ltd   |   Month: Sep-26</v>
      </c>
    </row>
    <row r="4" customFormat="false" ht="15" hidden="false" customHeight="false" outlineLevel="0" collapsed="false">
      <c r="B4" s="9" t="s">
        <v>99</v>
      </c>
      <c r="C4" s="5" t="s">
        <v>62</v>
      </c>
      <c r="Q4" s="26" t="s">
        <v>100</v>
      </c>
      <c r="R4" s="27" t="n">
        <f aca="false">MATCH($C$4,Budget!$C$5:$N$5,0)</f>
        <v>6</v>
      </c>
    </row>
    <row r="6" customFormat="false" ht="30" hidden="false" customHeight="true" outlineLevel="0" collapsed="false">
      <c r="B6" s="17" t="s">
        <v>66</v>
      </c>
      <c r="C6" s="18" t="s">
        <v>101</v>
      </c>
      <c r="D6" s="18" t="s">
        <v>102</v>
      </c>
      <c r="E6" s="18" t="s">
        <v>103</v>
      </c>
      <c r="F6" s="18" t="s">
        <v>104</v>
      </c>
      <c r="G6" s="18"/>
      <c r="H6" s="18" t="s">
        <v>105</v>
      </c>
      <c r="I6" s="18" t="s">
        <v>106</v>
      </c>
      <c r="J6" s="18" t="s">
        <v>107</v>
      </c>
      <c r="K6" s="18" t="s">
        <v>108</v>
      </c>
      <c r="L6" s="18" t="s">
        <v>109</v>
      </c>
    </row>
    <row r="7" customFormat="false" ht="15" hidden="false" customHeight="false" outlineLevel="0" collapsed="false">
      <c r="B7" s="19" t="s">
        <v>78</v>
      </c>
      <c r="C7" s="20" t="n">
        <f aca="false">N(INDEX(Budget!$C$6:$N$6,$R$4))</f>
        <v>2202620.74117</v>
      </c>
      <c r="D7" s="20" t="n">
        <f aca="false">N(INDEX(Actuals!$C$6:$N$6,$R$4))</f>
        <v>2205000</v>
      </c>
      <c r="E7" s="20" t="n">
        <f aca="false">D7-C7</f>
        <v>2379.25882999972</v>
      </c>
      <c r="F7" s="28" t="n">
        <f aca="false">IF(C7=0,"",E7/ABS(C7))</f>
        <v>0.00108019450899018</v>
      </c>
      <c r="G7" s="7" t="str">
        <f aca="false">IF(E7=0,"-",IF((L7="Income")=(E7&gt;0),"Favourable","Adverse"))</f>
        <v>Favourable</v>
      </c>
      <c r="H7" s="20" t="n">
        <f aca="false">SUM(INDEX(Budget!$C$6:$N$6,1):INDEX(Budget!$C$6:$N$6,$R$4))</f>
        <v>12289978.78017</v>
      </c>
      <c r="I7" s="20" t="n">
        <f aca="false">SUM(INDEX(Actuals!$C$6:$N$6,1):INDEX(Actuals!$C$6:$N$6,$R$4))</f>
        <v>12150000</v>
      </c>
      <c r="J7" s="20" t="n">
        <f aca="false">I7-H7</f>
        <v>-139978.780170001</v>
      </c>
      <c r="K7" s="28" t="n">
        <f aca="false">IF(H7=0,"",J7/ABS(H7))</f>
        <v>-0.0113896681738668</v>
      </c>
      <c r="L7" s="29" t="s">
        <v>110</v>
      </c>
    </row>
    <row r="8" customFormat="false" ht="15" hidden="false" customHeight="false" outlineLevel="0" collapsed="false">
      <c r="B8" s="19" t="s">
        <v>79</v>
      </c>
      <c r="C8" s="20" t="n">
        <f aca="false">N(INDEX(Budget!$C$7:$N$7,$R$4))</f>
        <v>20000</v>
      </c>
      <c r="D8" s="20" t="n">
        <f aca="false">N(INDEX(Actuals!$C$7:$N$7,$R$4))</f>
        <v>26000</v>
      </c>
      <c r="E8" s="20" t="n">
        <f aca="false">D8-C8</f>
        <v>6000</v>
      </c>
      <c r="F8" s="28" t="n">
        <f aca="false">IF(C8=0,"",E8/ABS(C8))</f>
        <v>0.3</v>
      </c>
      <c r="G8" s="7" t="str">
        <f aca="false">IF(E8=0,"-",IF((L8="Income")=(E8&gt;0),"Favourable","Adverse"))</f>
        <v>Favourable</v>
      </c>
      <c r="H8" s="20" t="n">
        <f aca="false">SUM(INDEX(Budget!$C$7:$N$7,1):INDEX(Budget!$C$7:$N$7,$R$4))</f>
        <v>120000</v>
      </c>
      <c r="I8" s="20" t="n">
        <f aca="false">SUM(INDEX(Actuals!$C$7:$N$7,1):INDEX(Actuals!$C$7:$N$7,$R$4))</f>
        <v>142000</v>
      </c>
      <c r="J8" s="20" t="n">
        <f aca="false">I8-H8</f>
        <v>22000</v>
      </c>
      <c r="K8" s="28" t="n">
        <f aca="false">IF(H8=0,"",J8/ABS(H8))</f>
        <v>0.183333333333333</v>
      </c>
      <c r="L8" s="29" t="s">
        <v>110</v>
      </c>
    </row>
    <row r="9" customFormat="false" ht="15" hidden="false" customHeight="false" outlineLevel="0" collapsed="false">
      <c r="B9" s="22" t="s">
        <v>80</v>
      </c>
      <c r="C9" s="21" t="n">
        <f aca="false">N(INDEX(Budget!$C$8:$N$8,$R$4))</f>
        <v>2222620.74117</v>
      </c>
      <c r="D9" s="21" t="n">
        <f aca="false">N(INDEX(Actuals!$C$8:$N$8,$R$4))</f>
        <v>2231000</v>
      </c>
      <c r="E9" s="21" t="n">
        <f aca="false">D9-C9</f>
        <v>8379.25882999972</v>
      </c>
      <c r="F9" s="30" t="n">
        <f aca="false">IF(C9=0,"",E9/ABS(C9))</f>
        <v>0.00376999038782875</v>
      </c>
      <c r="G9" s="22" t="str">
        <f aca="false">IF(E9=0,"-",IF((L9="Income")=(E9&gt;0),"Favourable","Adverse"))</f>
        <v>Favourable</v>
      </c>
      <c r="H9" s="21" t="n">
        <f aca="false">SUM(INDEX(Budget!$C$8:$N$8,1):INDEX(Budget!$C$8:$N$8,$R$4))</f>
        <v>12409978.78017</v>
      </c>
      <c r="I9" s="21" t="n">
        <f aca="false">SUM(INDEX(Actuals!$C$8:$N$8,1):INDEX(Actuals!$C$8:$N$8,$R$4))</f>
        <v>12292000</v>
      </c>
      <c r="J9" s="21" t="n">
        <f aca="false">I9-H9</f>
        <v>-117978.780170001</v>
      </c>
      <c r="K9" s="30" t="n">
        <f aca="false">IF(H9=0,"",J9/ABS(H9))</f>
        <v>-0.00950676727655008</v>
      </c>
      <c r="L9" s="29" t="s">
        <v>110</v>
      </c>
    </row>
    <row r="10" customFormat="false" ht="15" hidden="false" customHeight="false" outlineLevel="0" collapsed="false">
      <c r="B10" s="19" t="s">
        <v>81</v>
      </c>
      <c r="C10" s="20" t="n">
        <f aca="false">N(INDEX(Budget!$C$9:$N$9,$R$4))</f>
        <v>881048.296468</v>
      </c>
      <c r="D10" s="20" t="n">
        <f aca="false">N(INDEX(Actuals!$C$9:$N$9,$R$4))</f>
        <v>882000</v>
      </c>
      <c r="E10" s="20" t="n">
        <f aca="false">D10-C10</f>
        <v>951.70353199984</v>
      </c>
      <c r="F10" s="28" t="n">
        <f aca="false">IF(C10=0,"",E10/ABS(C10))</f>
        <v>0.00108019450899013</v>
      </c>
      <c r="G10" s="7" t="str">
        <f aca="false">IF(E10=0,"-",IF((L10="Income")=(E10&gt;0),"Favourable","Adverse"))</f>
        <v>Adverse</v>
      </c>
      <c r="H10" s="20" t="n">
        <f aca="false">SUM(INDEX(Budget!$C$9:$N$9,1):INDEX(Budget!$C$9:$N$9,$R$4))</f>
        <v>4915991.512068</v>
      </c>
      <c r="I10" s="20" t="n">
        <f aca="false">SUM(INDEX(Actuals!$C$9:$N$9,1):INDEX(Actuals!$C$9:$N$9,$R$4))</f>
        <v>4860000</v>
      </c>
      <c r="J10" s="20" t="n">
        <f aca="false">I10-H10</f>
        <v>-55991.5120680006</v>
      </c>
      <c r="K10" s="28" t="n">
        <f aca="false">IF(H10=0,"",J10/ABS(H10))</f>
        <v>-0.0113896681738669</v>
      </c>
      <c r="L10" s="29" t="s">
        <v>111</v>
      </c>
    </row>
    <row r="11" customFormat="false" ht="15" hidden="false" customHeight="false" outlineLevel="0" collapsed="false">
      <c r="B11" s="22" t="s">
        <v>82</v>
      </c>
      <c r="C11" s="21" t="n">
        <f aca="false">N(INDEX(Budget!$C$10:$N$10,$R$4))</f>
        <v>1321572.444702</v>
      </c>
      <c r="D11" s="21" t="n">
        <f aca="false">N(INDEX(Actuals!$C$10:$N$10,$R$4))</f>
        <v>1323000</v>
      </c>
      <c r="E11" s="21" t="n">
        <f aca="false">D11-C11</f>
        <v>1427.55529799988</v>
      </c>
      <c r="F11" s="30" t="n">
        <f aca="false">IF(C11=0,"",E11/ABS(C11))</f>
        <v>0.00108019450899022</v>
      </c>
      <c r="G11" s="22" t="str">
        <f aca="false">IF(E11=0,"-",IF((L11="Income")=(E11&gt;0),"Favourable","Adverse"))</f>
        <v>Favourable</v>
      </c>
      <c r="H11" s="21" t="n">
        <f aca="false">SUM(INDEX(Budget!$C$10:$N$10,1):INDEX(Budget!$C$10:$N$10,$R$4))</f>
        <v>7373987.268102</v>
      </c>
      <c r="I11" s="21" t="n">
        <f aca="false">SUM(INDEX(Actuals!$C$10:$N$10,1):INDEX(Actuals!$C$10:$N$10,$R$4))</f>
        <v>7290000</v>
      </c>
      <c r="J11" s="21" t="n">
        <f aca="false">I11-H11</f>
        <v>-83987.2681020005</v>
      </c>
      <c r="K11" s="30" t="n">
        <f aca="false">IF(H11=0,"",J11/ABS(H11))</f>
        <v>-0.0113896681738668</v>
      </c>
      <c r="L11" s="29" t="s">
        <v>110</v>
      </c>
    </row>
    <row r="12" customFormat="false" ht="15" hidden="false" customHeight="false" outlineLevel="0" collapsed="false">
      <c r="B12" s="19" t="s">
        <v>83</v>
      </c>
      <c r="C12" s="20" t="n">
        <f aca="false">N(INDEX(Budget!$C$11:$N$11,$R$4))</f>
        <v>480000</v>
      </c>
      <c r="D12" s="20" t="n">
        <f aca="false">N(INDEX(Actuals!$C$11:$N$11,$R$4))</f>
        <v>450000</v>
      </c>
      <c r="E12" s="20" t="n">
        <f aca="false">D12-C12</f>
        <v>-30000</v>
      </c>
      <c r="F12" s="28" t="n">
        <f aca="false">IF(C12=0,"",E12/ABS(C12))</f>
        <v>-0.0625</v>
      </c>
      <c r="G12" s="7" t="str">
        <f aca="false">IF(E12=0,"-",IF((L12="Income")=(E12&gt;0),"Favourable","Adverse"))</f>
        <v>Favourable</v>
      </c>
      <c r="H12" s="20" t="n">
        <f aca="false">SUM(INDEX(Budget!$C$11:$N$11,1):INDEX(Budget!$C$11:$N$11,$R$4))</f>
        <v>2700000</v>
      </c>
      <c r="I12" s="20" t="n">
        <f aca="false">SUM(INDEX(Actuals!$C$11:$N$11,1):INDEX(Actuals!$C$11:$N$11,$R$4))</f>
        <v>2610000</v>
      </c>
      <c r="J12" s="20" t="n">
        <f aca="false">I12-H12</f>
        <v>-90000</v>
      </c>
      <c r="K12" s="28" t="n">
        <f aca="false">IF(H12=0,"",J12/ABS(H12))</f>
        <v>-0.0333333333333333</v>
      </c>
      <c r="L12" s="29" t="s">
        <v>111</v>
      </c>
    </row>
    <row r="13" customFormat="false" ht="15" hidden="false" customHeight="false" outlineLevel="0" collapsed="false">
      <c r="B13" s="19" t="s">
        <v>84</v>
      </c>
      <c r="C13" s="20" t="n">
        <f aca="false">N(INDEX(Budget!$C$12:$N$12,$R$4))</f>
        <v>85000</v>
      </c>
      <c r="D13" s="20" t="n">
        <f aca="false">N(INDEX(Actuals!$C$12:$N$12,$R$4))</f>
        <v>85000</v>
      </c>
      <c r="E13" s="20" t="n">
        <f aca="false">D13-C13</f>
        <v>0</v>
      </c>
      <c r="F13" s="28" t="n">
        <f aca="false">IF(C13=0,"",E13/ABS(C13))</f>
        <v>0</v>
      </c>
      <c r="G13" s="7" t="str">
        <f aca="false">IF(E13=0,"-",IF((L13="Income")=(E13&gt;0),"Favourable","Adverse"))</f>
        <v>-</v>
      </c>
      <c r="H13" s="20" t="n">
        <f aca="false">SUM(INDEX(Budget!$C$12:$N$12,1):INDEX(Budget!$C$12:$N$12,$R$4))</f>
        <v>510000</v>
      </c>
      <c r="I13" s="20" t="n">
        <f aca="false">SUM(INDEX(Actuals!$C$12:$N$12,1):INDEX(Actuals!$C$12:$N$12,$R$4))</f>
        <v>510000</v>
      </c>
      <c r="J13" s="20" t="n">
        <f aca="false">I13-H13</f>
        <v>0</v>
      </c>
      <c r="K13" s="28" t="n">
        <f aca="false">IF(H13=0,"",J13/ABS(H13))</f>
        <v>0</v>
      </c>
      <c r="L13" s="29" t="s">
        <v>111</v>
      </c>
    </row>
    <row r="14" customFormat="false" ht="15" hidden="false" customHeight="false" outlineLevel="0" collapsed="false">
      <c r="B14" s="19" t="s">
        <v>85</v>
      </c>
      <c r="C14" s="20" t="n">
        <f aca="false">N(INDEX(Budget!$C$13:$N$13,$R$4))</f>
        <v>45000</v>
      </c>
      <c r="D14" s="20" t="n">
        <f aca="false">N(INDEX(Actuals!$C$13:$N$13,$R$4))</f>
        <v>60000</v>
      </c>
      <c r="E14" s="20" t="n">
        <f aca="false">D14-C14</f>
        <v>15000</v>
      </c>
      <c r="F14" s="28" t="n">
        <f aca="false">IF(C14=0,"",E14/ABS(C14))</f>
        <v>0.333333333333333</v>
      </c>
      <c r="G14" s="7" t="str">
        <f aca="false">IF(E14=0,"-",IF((L14="Income")=(E14&gt;0),"Favourable","Adverse"))</f>
        <v>Adverse</v>
      </c>
      <c r="H14" s="20" t="n">
        <f aca="false">SUM(INDEX(Budget!$C$13:$N$13,1):INDEX(Budget!$C$13:$N$13,$R$4))</f>
        <v>270000</v>
      </c>
      <c r="I14" s="20" t="n">
        <f aca="false">SUM(INDEX(Actuals!$C$13:$N$13,1):INDEX(Actuals!$C$13:$N$13,$R$4))</f>
        <v>290000</v>
      </c>
      <c r="J14" s="20" t="n">
        <f aca="false">I14-H14</f>
        <v>20000</v>
      </c>
      <c r="K14" s="28" t="n">
        <f aca="false">IF(H14=0,"",J14/ABS(H14))</f>
        <v>0.0740740740740741</v>
      </c>
      <c r="L14" s="29" t="s">
        <v>111</v>
      </c>
    </row>
    <row r="15" customFormat="false" ht="15" hidden="false" customHeight="false" outlineLevel="0" collapsed="false">
      <c r="B15" s="19" t="s">
        <v>86</v>
      </c>
      <c r="C15" s="20" t="n">
        <f aca="false">N(INDEX(Budget!$C$14:$N$14,$R$4))</f>
        <v>66078.6222351</v>
      </c>
      <c r="D15" s="20" t="n">
        <f aca="false">N(INDEX(Actuals!$C$14:$N$14,$R$4))</f>
        <v>80000</v>
      </c>
      <c r="E15" s="20" t="n">
        <f aca="false">D15-C15</f>
        <v>13921.3777649</v>
      </c>
      <c r="F15" s="28" t="n">
        <f aca="false">IF(C15=0,"",E15/ABS(C15))</f>
        <v>0.210678995626897</v>
      </c>
      <c r="G15" s="7" t="str">
        <f aca="false">IF(E15=0,"-",IF((L15="Income")=(E15&gt;0),"Favourable","Adverse"))</f>
        <v>Adverse</v>
      </c>
      <c r="H15" s="20" t="n">
        <f aca="false">SUM(INDEX(Budget!$C$14:$N$14,1):INDEX(Budget!$C$14:$N$14,$R$4))</f>
        <v>368699.3634051</v>
      </c>
      <c r="I15" s="20" t="n">
        <f aca="false">SUM(INDEX(Actuals!$C$14:$N$14,1):INDEX(Actuals!$C$14:$N$14,$R$4))</f>
        <v>402000</v>
      </c>
      <c r="J15" s="20" t="n">
        <f aca="false">I15-H15</f>
        <v>33300.6365949</v>
      </c>
      <c r="K15" s="28" t="n">
        <f aca="false">IF(H15=0,"",J15/ABS(H15))</f>
        <v>0.0903192137012498</v>
      </c>
      <c r="L15" s="29" t="s">
        <v>111</v>
      </c>
    </row>
    <row r="16" customFormat="false" ht="15" hidden="false" customHeight="false" outlineLevel="0" collapsed="false">
      <c r="B16" s="19" t="s">
        <v>87</v>
      </c>
      <c r="C16" s="20" t="n">
        <f aca="false">N(INDEX(Budget!$C$15:$N$15,$R$4))</f>
        <v>55000</v>
      </c>
      <c r="D16" s="20" t="n">
        <f aca="false">N(INDEX(Actuals!$C$15:$N$15,$R$4))</f>
        <v>63000</v>
      </c>
      <c r="E16" s="20" t="n">
        <f aca="false">D16-C16</f>
        <v>8000</v>
      </c>
      <c r="F16" s="28" t="n">
        <f aca="false">IF(C16=0,"",E16/ABS(C16))</f>
        <v>0.145454545454545</v>
      </c>
      <c r="G16" s="7" t="str">
        <f aca="false">IF(E16=0,"-",IF((L16="Income")=(E16&gt;0),"Favourable","Adverse"))</f>
        <v>Adverse</v>
      </c>
      <c r="H16" s="20" t="n">
        <f aca="false">SUM(INDEX(Budget!$C$15:$N$15,1):INDEX(Budget!$C$15:$N$15,$R$4))</f>
        <v>330000</v>
      </c>
      <c r="I16" s="20" t="n">
        <f aca="false">SUM(INDEX(Actuals!$C$15:$N$15,1):INDEX(Actuals!$C$15:$N$15,$R$4))</f>
        <v>346000</v>
      </c>
      <c r="J16" s="20" t="n">
        <f aca="false">I16-H16</f>
        <v>16000</v>
      </c>
      <c r="K16" s="28" t="n">
        <f aca="false">IF(H16=0,"",J16/ABS(H16))</f>
        <v>0.0484848484848485</v>
      </c>
      <c r="L16" s="29" t="s">
        <v>111</v>
      </c>
    </row>
    <row r="17" customFormat="false" ht="15" hidden="false" customHeight="false" outlineLevel="0" collapsed="false">
      <c r="B17" s="22" t="s">
        <v>88</v>
      </c>
      <c r="C17" s="21" t="n">
        <f aca="false">N(INDEX(Budget!$C$16:$N$16,$R$4))</f>
        <v>731078.6222351</v>
      </c>
      <c r="D17" s="21" t="n">
        <f aca="false">N(INDEX(Actuals!$C$16:$N$16,$R$4))</f>
        <v>738000</v>
      </c>
      <c r="E17" s="21" t="n">
        <f aca="false">D17-C17</f>
        <v>6921.37776489998</v>
      </c>
      <c r="F17" s="30" t="n">
        <f aca="false">IF(C17=0,"",E17/ABS(C17))</f>
        <v>0.00946735078060347</v>
      </c>
      <c r="G17" s="22" t="str">
        <f aca="false">IF(E17=0,"-",IF((L17="Income")=(E17&gt;0),"Favourable","Adverse"))</f>
        <v>Adverse</v>
      </c>
      <c r="H17" s="21" t="n">
        <f aca="false">SUM(INDEX(Budget!$C$16:$N$16,1):INDEX(Budget!$C$16:$N$16,$R$4))</f>
        <v>4178699.3634051</v>
      </c>
      <c r="I17" s="21" t="n">
        <f aca="false">SUM(INDEX(Actuals!$C$16:$N$16,1):INDEX(Actuals!$C$16:$N$16,$R$4))</f>
        <v>4158000</v>
      </c>
      <c r="J17" s="21" t="n">
        <f aca="false">I17-H17</f>
        <v>-20699.3634051001</v>
      </c>
      <c r="K17" s="30" t="n">
        <f aca="false">IF(H17=0,"",J17/ABS(H17))</f>
        <v>-0.00495354214432712</v>
      </c>
      <c r="L17" s="29" t="s">
        <v>111</v>
      </c>
    </row>
    <row r="18" customFormat="false" ht="15" hidden="false" customHeight="false" outlineLevel="0" collapsed="false">
      <c r="B18" s="22" t="s">
        <v>89</v>
      </c>
      <c r="C18" s="21" t="n">
        <f aca="false">N(INDEX(Budget!$C$17:$N$17,$R$4))</f>
        <v>610493.8224669</v>
      </c>
      <c r="D18" s="21" t="n">
        <f aca="false">N(INDEX(Actuals!$C$17:$N$17,$R$4))</f>
        <v>611000</v>
      </c>
      <c r="E18" s="21" t="n">
        <f aca="false">D18-C18</f>
        <v>506.177533099894</v>
      </c>
      <c r="F18" s="30" t="n">
        <f aca="false">IF(C18=0,"",E18/ABS(C18))</f>
        <v>0.000829128018125585</v>
      </c>
      <c r="G18" s="22" t="str">
        <f aca="false">IF(E18=0,"-",IF((L18="Income")=(E18&gt;0),"Favourable","Adverse"))</f>
        <v>Favourable</v>
      </c>
      <c r="H18" s="21" t="n">
        <f aca="false">SUM(INDEX(Budget!$C$17:$N$17,1):INDEX(Budget!$C$17:$N$17,$R$4))</f>
        <v>3315287.9046969</v>
      </c>
      <c r="I18" s="21" t="n">
        <f aca="false">SUM(INDEX(Actuals!$C$17:$N$17,1):INDEX(Actuals!$C$17:$N$17,$R$4))</f>
        <v>3274000</v>
      </c>
      <c r="J18" s="21" t="n">
        <f aca="false">I18-H18</f>
        <v>-41287.9046968999</v>
      </c>
      <c r="K18" s="30" t="n">
        <f aca="false">IF(H18=0,"",J18/ABS(H18))</f>
        <v>-0.012453791611403</v>
      </c>
      <c r="L18" s="29" t="s">
        <v>110</v>
      </c>
    </row>
    <row r="19" customFormat="false" ht="15" hidden="false" customHeight="false" outlineLevel="0" collapsed="false">
      <c r="B19" s="19" t="s">
        <v>90</v>
      </c>
      <c r="C19" s="20" t="n">
        <f aca="false">N(INDEX(Budget!$C$18:$N$18,$R$4))</f>
        <v>30000</v>
      </c>
      <c r="D19" s="20" t="n">
        <f aca="false">N(INDEX(Actuals!$C$18:$N$18,$R$4))</f>
        <v>30000</v>
      </c>
      <c r="E19" s="20" t="n">
        <f aca="false">D19-C19</f>
        <v>0</v>
      </c>
      <c r="F19" s="28" t="n">
        <f aca="false">IF(C19=0,"",E19/ABS(C19))</f>
        <v>0</v>
      </c>
      <c r="G19" s="7" t="str">
        <f aca="false">IF(E19=0,"-",IF((L19="Income")=(E19&gt;0),"Favourable","Adverse"))</f>
        <v>-</v>
      </c>
      <c r="H19" s="20" t="n">
        <f aca="false">SUM(INDEX(Budget!$C$18:$N$18,1):INDEX(Budget!$C$18:$N$18,$R$4))</f>
        <v>180000</v>
      </c>
      <c r="I19" s="20" t="n">
        <f aca="false">SUM(INDEX(Actuals!$C$18:$N$18,1):INDEX(Actuals!$C$18:$N$18,$R$4))</f>
        <v>180000</v>
      </c>
      <c r="J19" s="20" t="n">
        <f aca="false">I19-H19</f>
        <v>0</v>
      </c>
      <c r="K19" s="28" t="n">
        <f aca="false">IF(H19=0,"",J19/ABS(H19))</f>
        <v>0</v>
      </c>
      <c r="L19" s="29" t="s">
        <v>111</v>
      </c>
    </row>
    <row r="20" customFormat="false" ht="15" hidden="false" customHeight="false" outlineLevel="0" collapsed="false">
      <c r="B20" s="19" t="s">
        <v>91</v>
      </c>
      <c r="C20" s="20" t="n">
        <f aca="false">N(INDEX(Budget!$C$19:$N$19,$R$4))</f>
        <v>17000</v>
      </c>
      <c r="D20" s="20" t="n">
        <f aca="false">N(INDEX(Actuals!$C$19:$N$19,$R$4))</f>
        <v>17000</v>
      </c>
      <c r="E20" s="20" t="n">
        <f aca="false">D20-C20</f>
        <v>0</v>
      </c>
      <c r="F20" s="28" t="n">
        <f aca="false">IF(C20=0,"",E20/ABS(C20))</f>
        <v>0</v>
      </c>
      <c r="G20" s="7" t="str">
        <f aca="false">IF(E20=0,"-",IF((L20="Income")=(E20&gt;0),"Favourable","Adverse"))</f>
        <v>-</v>
      </c>
      <c r="H20" s="20" t="n">
        <f aca="false">SUM(INDEX(Budget!$C$19:$N$19,1):INDEX(Budget!$C$19:$N$19,$R$4))</f>
        <v>102000</v>
      </c>
      <c r="I20" s="20" t="n">
        <f aca="false">SUM(INDEX(Actuals!$C$19:$N$19,1):INDEX(Actuals!$C$19:$N$19,$R$4))</f>
        <v>105000</v>
      </c>
      <c r="J20" s="20" t="n">
        <f aca="false">I20-H20</f>
        <v>3000</v>
      </c>
      <c r="K20" s="28" t="n">
        <f aca="false">IF(H20=0,"",J20/ABS(H20))</f>
        <v>0.0294117647058824</v>
      </c>
      <c r="L20" s="29" t="s">
        <v>111</v>
      </c>
    </row>
    <row r="21" customFormat="false" ht="15" hidden="false" customHeight="false" outlineLevel="0" collapsed="false">
      <c r="B21" s="22" t="s">
        <v>92</v>
      </c>
      <c r="C21" s="21" t="n">
        <f aca="false">N(INDEX(Budget!$C$20:$N$20,$R$4))</f>
        <v>563493.8224669</v>
      </c>
      <c r="D21" s="21" t="n">
        <f aca="false">N(INDEX(Actuals!$C$20:$N$20,$R$4))</f>
        <v>564000</v>
      </c>
      <c r="E21" s="21" t="n">
        <f aca="false">D21-C21</f>
        <v>506.177533099894</v>
      </c>
      <c r="F21" s="30" t="n">
        <f aca="false">IF(C21=0,"",E21/ABS(C21))</f>
        <v>0.000898284085678023</v>
      </c>
      <c r="G21" s="22" t="str">
        <f aca="false">IF(E21=0,"-",IF((L21="Income")=(E21&gt;0),"Favourable","Adverse"))</f>
        <v>Favourable</v>
      </c>
      <c r="H21" s="21" t="n">
        <f aca="false">SUM(INDEX(Budget!$C$20:$N$20,1):INDEX(Budget!$C$20:$N$20,$R$4))</f>
        <v>3033287.9046969</v>
      </c>
      <c r="I21" s="21" t="n">
        <f aca="false">SUM(INDEX(Actuals!$C$20:$N$20,1):INDEX(Actuals!$C$20:$N$20,$R$4))</f>
        <v>2989000</v>
      </c>
      <c r="J21" s="21" t="n">
        <f aca="false">I21-H21</f>
        <v>-44287.9046968999</v>
      </c>
      <c r="K21" s="30" t="n">
        <f aca="false">IF(H21=0,"",J21/ABS(H21))</f>
        <v>-0.0146006268077363</v>
      </c>
      <c r="L21" s="29" t="s">
        <v>110</v>
      </c>
    </row>
    <row r="22" customFormat="false" ht="15" hidden="false" customHeight="false" outlineLevel="0" collapsed="false">
      <c r="B22" s="19" t="s">
        <v>93</v>
      </c>
      <c r="C22" s="20" t="n">
        <f aca="false">N(INDEX(Budget!$C$21:$N$21,$R$4))</f>
        <v>140873.455616725</v>
      </c>
      <c r="D22" s="20" t="n">
        <f aca="false">N(INDEX(Actuals!$C$21:$N$21,$R$4))</f>
        <v>141000</v>
      </c>
      <c r="E22" s="20" t="n">
        <f aca="false">D22-C22</f>
        <v>126.544383274973</v>
      </c>
      <c r="F22" s="28" t="n">
        <f aca="false">IF(C22=0,"",E22/ABS(C22))</f>
        <v>0.000898284085678023</v>
      </c>
      <c r="G22" s="7" t="str">
        <f aca="false">IF(E22=0,"-",IF((L22="Income")=(E22&gt;0),"Favourable","Adverse"))</f>
        <v>Adverse</v>
      </c>
      <c r="H22" s="20" t="n">
        <f aca="false">SUM(INDEX(Budget!$C$21:$N$21,1):INDEX(Budget!$C$21:$N$21,$R$4))</f>
        <v>758321.976174225</v>
      </c>
      <c r="I22" s="20" t="n">
        <f aca="false">SUM(INDEX(Actuals!$C$21:$N$21,1):INDEX(Actuals!$C$21:$N$21,$R$4))</f>
        <v>747300</v>
      </c>
      <c r="J22" s="20" t="n">
        <f aca="false">I22-H22</f>
        <v>-11021.976174225</v>
      </c>
      <c r="K22" s="28" t="n">
        <f aca="false">IF(H22=0,"",J22/ABS(H22))</f>
        <v>-0.0145346917543277</v>
      </c>
      <c r="L22" s="29" t="s">
        <v>111</v>
      </c>
    </row>
    <row r="23" customFormat="false" ht="15" hidden="false" customHeight="false" outlineLevel="0" collapsed="false">
      <c r="B23" s="22" t="s">
        <v>94</v>
      </c>
      <c r="C23" s="21" t="n">
        <f aca="false">N(INDEX(Budget!$C$22:$N$22,$R$4))</f>
        <v>422620.366850175</v>
      </c>
      <c r="D23" s="21" t="n">
        <f aca="false">N(INDEX(Actuals!$C$22:$N$22,$R$4))</f>
        <v>423000</v>
      </c>
      <c r="E23" s="21" t="n">
        <f aca="false">D23-C23</f>
        <v>379.63314982492</v>
      </c>
      <c r="F23" s="30" t="n">
        <f aca="false">IF(C23=0,"",E23/ABS(C23))</f>
        <v>0.000898284085678023</v>
      </c>
      <c r="G23" s="22" t="str">
        <f aca="false">IF(E23=0,"-",IF((L23="Income")=(E23&gt;0),"Favourable","Adverse"))</f>
        <v>Favourable</v>
      </c>
      <c r="H23" s="21" t="n">
        <f aca="false">SUM(INDEX(Budget!$C$22:$N$22,1):INDEX(Budget!$C$22:$N$22,$R$4))</f>
        <v>2274965.92852268</v>
      </c>
      <c r="I23" s="21" t="n">
        <f aca="false">SUM(INDEX(Actuals!$C$22:$N$22,1):INDEX(Actuals!$C$22:$N$22,$R$4))</f>
        <v>2241700</v>
      </c>
      <c r="J23" s="21" t="n">
        <f aca="false">I23-H23</f>
        <v>-33265.9285226748</v>
      </c>
      <c r="K23" s="30" t="n">
        <f aca="false">IF(H23=0,"",J23/ABS(H23))</f>
        <v>-0.0146226051588725</v>
      </c>
      <c r="L23" s="29" t="s">
        <v>110</v>
      </c>
    </row>
  </sheetData>
  <conditionalFormatting sqref="G7:G23">
    <cfRule type="expression" priority="2" aboveAverage="0" equalAverage="0" bottom="0" percent="0" rank="0" text="" dxfId="0">
      <formula>G7="Favourable"</formula>
    </cfRule>
    <cfRule type="expression" priority="3" aboveAverage="0" equalAverage="0" bottom="0" percent="0" rank="0" text="" dxfId="1">
      <formula>G7="Adverse"</formula>
    </cfRule>
  </conditionalFormatting>
  <dataValidations count="1">
    <dataValidation allowBlank="false" errorStyle="stop" operator="between" showDropDown="false" showErrorMessage="false" showInputMessage="false" sqref="C4" type="list">
      <formula1>Budget!$C$5:$N$5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R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14" min="3" style="0" width="12"/>
    <col collapsed="false" customWidth="true" hidden="false" outlineLevel="0" max="15" min="15" style="0" width="15"/>
    <col collapsed="false" customWidth="true" hidden="false" outlineLevel="0" max="16" min="16" style="0" width="14"/>
    <col collapsed="false" customWidth="true" hidden="false" outlineLevel="0" max="17" min="17" style="0" width="13"/>
    <col collapsed="false" customWidth="true" hidden="false" outlineLevel="0" max="18" min="18" style="0" width="9"/>
  </cols>
  <sheetData>
    <row r="2" customFormat="false" ht="19.7" hidden="false" customHeight="false" outlineLevel="0" collapsed="false">
      <c r="B2" s="1" t="s">
        <v>112</v>
      </c>
      <c r="R2" s="27" t="n">
        <f aca="false">MATCH(Assumptions!$C$23,Budget!$C$5:$N$5,0)</f>
        <v>6</v>
      </c>
    </row>
    <row r="3" customFormat="false" ht="15" hidden="false" customHeight="false" outlineLevel="0" collapsed="false">
      <c r="B3" s="25" t="str">
        <f aca="false">"Last closed month: "&amp;Assumptions!$C$23&amp;"   (change it on Assumptions)"</f>
        <v>Last closed month: Sep-26   (change it on Assumptions)</v>
      </c>
    </row>
    <row r="4" customFormat="false" ht="15" hidden="false" customHeight="false" outlineLevel="0" collapsed="false">
      <c r="B4" s="2" t="s">
        <v>113</v>
      </c>
      <c r="C4" s="31" t="str">
        <f aca="false">IF(1&lt;=$R$2,"Actual","Forecast")</f>
        <v>Actual</v>
      </c>
      <c r="D4" s="31" t="str">
        <f aca="false">IF(2&lt;=$R$2,"Actual","Forecast")</f>
        <v>Actual</v>
      </c>
      <c r="E4" s="31" t="str">
        <f aca="false">IF(3&lt;=$R$2,"Actual","Forecast")</f>
        <v>Actual</v>
      </c>
      <c r="F4" s="31" t="str">
        <f aca="false">IF(4&lt;=$R$2,"Actual","Forecast")</f>
        <v>Actual</v>
      </c>
      <c r="G4" s="31" t="str">
        <f aca="false">IF(5&lt;=$R$2,"Actual","Forecast")</f>
        <v>Actual</v>
      </c>
      <c r="H4" s="31" t="str">
        <f aca="false">IF(6&lt;=$R$2,"Actual","Forecast")</f>
        <v>Actual</v>
      </c>
      <c r="I4" s="31" t="str">
        <f aca="false">IF(7&lt;=$R$2,"Actual","Forecast")</f>
        <v>Forecast</v>
      </c>
      <c r="J4" s="31" t="str">
        <f aca="false">IF(8&lt;=$R$2,"Actual","Forecast")</f>
        <v>Forecast</v>
      </c>
      <c r="K4" s="31" t="str">
        <f aca="false">IF(9&lt;=$R$2,"Actual","Forecast")</f>
        <v>Forecast</v>
      </c>
      <c r="L4" s="31" t="str">
        <f aca="false">IF(10&lt;=$R$2,"Actual","Forecast")</f>
        <v>Forecast</v>
      </c>
      <c r="M4" s="31" t="str">
        <f aca="false">IF(11&lt;=$R$2,"Actual","Forecast")</f>
        <v>Forecast</v>
      </c>
      <c r="N4" s="31" t="str">
        <f aca="false">IF(12&lt;=$R$2,"Actual","Forecast")</f>
        <v>Forecast</v>
      </c>
    </row>
    <row r="5" customFormat="false" ht="30" hidden="false" customHeight="true" outlineLevel="0" collapsed="false">
      <c r="B5" s="17" t="s">
        <v>66</v>
      </c>
      <c r="C5" s="18" t="s">
        <v>67</v>
      </c>
      <c r="D5" s="18" t="s">
        <v>68</v>
      </c>
      <c r="E5" s="18" t="s">
        <v>69</v>
      </c>
      <c r="F5" s="18" t="s">
        <v>70</v>
      </c>
      <c r="G5" s="18" t="s">
        <v>71</v>
      </c>
      <c r="H5" s="18" t="s">
        <v>62</v>
      </c>
      <c r="I5" s="18" t="s">
        <v>48</v>
      </c>
      <c r="J5" s="18" t="s">
        <v>72</v>
      </c>
      <c r="K5" s="18" t="s">
        <v>73</v>
      </c>
      <c r="L5" s="18" t="s">
        <v>74</v>
      </c>
      <c r="M5" s="18" t="s">
        <v>75</v>
      </c>
      <c r="N5" s="18" t="s">
        <v>76</v>
      </c>
      <c r="O5" s="18" t="s">
        <v>114</v>
      </c>
      <c r="P5" s="18" t="s">
        <v>115</v>
      </c>
      <c r="Q5" s="18" t="s">
        <v>103</v>
      </c>
      <c r="R5" s="18" t="s">
        <v>104</v>
      </c>
    </row>
    <row r="6" customFormat="false" ht="15" hidden="false" customHeight="false" outlineLevel="0" collapsed="false">
      <c r="B6" s="19" t="s">
        <v>78</v>
      </c>
      <c r="C6" s="20" t="n">
        <f aca="false">IF(1&lt;=$R$2,N(Actuals!C6),Budget!C6)</f>
        <v>1850000</v>
      </c>
      <c r="D6" s="20" t="n">
        <f aca="false">IF(2&lt;=$R$2,N(Actuals!D6),Budget!D6)</f>
        <v>1925000</v>
      </c>
      <c r="E6" s="20" t="n">
        <f aca="false">IF(3&lt;=$R$2,N(Actuals!E6),Budget!E6)</f>
        <v>1990000</v>
      </c>
      <c r="F6" s="20" t="n">
        <f aca="false">IF(4&lt;=$R$2,N(Actuals!F6),Budget!F6)</f>
        <v>2060000</v>
      </c>
      <c r="G6" s="20" t="n">
        <f aca="false">IF(5&lt;=$R$2,N(Actuals!G6),Budget!G6)</f>
        <v>2120000</v>
      </c>
      <c r="H6" s="20" t="n">
        <f aca="false">IF(6&lt;=$R$2,N(Actuals!H6),Budget!H6)</f>
        <v>2205000</v>
      </c>
      <c r="I6" s="20" t="n">
        <f aca="false">IF(7&lt;=$R$2,N(Actuals!I6),Budget!I6)</f>
        <v>2268699.3634051</v>
      </c>
      <c r="J6" s="20" t="n">
        <f aca="false">IF(8&lt;=$R$2,N(Actuals!J6),Budget!J6)</f>
        <v>2336760.34430725</v>
      </c>
      <c r="K6" s="20" t="n">
        <f aca="false">IF(9&lt;=$R$2,N(Actuals!K6),Budget!K6)</f>
        <v>2406863.15463647</v>
      </c>
      <c r="L6" s="20" t="n">
        <f aca="false">IF(10&lt;=$R$2,N(Actuals!L6),Budget!L6)</f>
        <v>2479069.04927557</v>
      </c>
      <c r="M6" s="20" t="n">
        <f aca="false">IF(11&lt;=$R$2,N(Actuals!M6),Budget!M6)</f>
        <v>2553441.12075383</v>
      </c>
      <c r="N6" s="20" t="n">
        <f aca="false">IF(12&lt;=$R$2,N(Actuals!N6),Budget!N6)</f>
        <v>2630044.35437645</v>
      </c>
      <c r="O6" s="21" t="n">
        <f aca="false">SUM(C6:N6)</f>
        <v>26824877.3867547</v>
      </c>
      <c r="P6" s="32" t="n">
        <f aca="false">Budget!O6</f>
        <v>26964856.1669247</v>
      </c>
      <c r="Q6" s="20" t="n">
        <f aca="false">O6-P6</f>
        <v>-139978.780170001</v>
      </c>
      <c r="R6" s="28" t="n">
        <f aca="false">IF(P6=0,"",Q6/ABS(P6))</f>
        <v>-0.0051911561961788</v>
      </c>
    </row>
    <row r="7" customFormat="false" ht="15" hidden="false" customHeight="false" outlineLevel="0" collapsed="false">
      <c r="B7" s="19" t="s">
        <v>79</v>
      </c>
      <c r="C7" s="20" t="n">
        <f aca="false">IF(1&lt;=$R$2,N(Actuals!C7),Budget!C7)</f>
        <v>25000</v>
      </c>
      <c r="D7" s="20" t="n">
        <f aca="false">IF(2&lt;=$R$2,N(Actuals!D7),Budget!D7)</f>
        <v>18000</v>
      </c>
      <c r="E7" s="20" t="n">
        <f aca="false">IF(3&lt;=$R$2,N(Actuals!E7),Budget!E7)</f>
        <v>22000</v>
      </c>
      <c r="F7" s="20" t="n">
        <f aca="false">IF(4&lt;=$R$2,N(Actuals!F7),Budget!F7)</f>
        <v>30000</v>
      </c>
      <c r="G7" s="20" t="n">
        <f aca="false">IF(5&lt;=$R$2,N(Actuals!G7),Budget!G7)</f>
        <v>21000</v>
      </c>
      <c r="H7" s="20" t="n">
        <f aca="false">IF(6&lt;=$R$2,N(Actuals!H7),Budget!H7)</f>
        <v>26000</v>
      </c>
      <c r="I7" s="20" t="n">
        <f aca="false">IF(7&lt;=$R$2,N(Actuals!I7),Budget!I7)</f>
        <v>20000</v>
      </c>
      <c r="J7" s="20" t="n">
        <f aca="false">IF(8&lt;=$R$2,N(Actuals!J7),Budget!J7)</f>
        <v>20000</v>
      </c>
      <c r="K7" s="20" t="n">
        <f aca="false">IF(9&lt;=$R$2,N(Actuals!K7),Budget!K7)</f>
        <v>20000</v>
      </c>
      <c r="L7" s="20" t="n">
        <f aca="false">IF(10&lt;=$R$2,N(Actuals!L7),Budget!L7)</f>
        <v>20000</v>
      </c>
      <c r="M7" s="20" t="n">
        <f aca="false">IF(11&lt;=$R$2,N(Actuals!M7),Budget!M7)</f>
        <v>20000</v>
      </c>
      <c r="N7" s="20" t="n">
        <f aca="false">IF(12&lt;=$R$2,N(Actuals!N7),Budget!N7)</f>
        <v>20000</v>
      </c>
      <c r="O7" s="21" t="n">
        <f aca="false">SUM(C7:N7)</f>
        <v>262000</v>
      </c>
      <c r="P7" s="32" t="n">
        <f aca="false">Budget!O7</f>
        <v>240000</v>
      </c>
      <c r="Q7" s="20" t="n">
        <f aca="false">O7-P7</f>
        <v>22000</v>
      </c>
      <c r="R7" s="28" t="n">
        <f aca="false">IF(P7=0,"",Q7/ABS(P7))</f>
        <v>0.0916666666666667</v>
      </c>
    </row>
    <row r="8" customFormat="false" ht="15" hidden="false" customHeight="false" outlineLevel="0" collapsed="false">
      <c r="B8" s="22" t="s">
        <v>80</v>
      </c>
      <c r="C8" s="21" t="n">
        <f aca="false">IF(COUNT(C6:C7,C9,C11:C15)=0,"",C6+C7)</f>
        <v>1875000</v>
      </c>
      <c r="D8" s="21" t="n">
        <f aca="false">IF(COUNT(D6:D7,D9,D11:D15)=0,"",D6+D7)</f>
        <v>1943000</v>
      </c>
      <c r="E8" s="21" t="n">
        <f aca="false">IF(COUNT(E6:E7,E9,E11:E15)=0,"",E6+E7)</f>
        <v>2012000</v>
      </c>
      <c r="F8" s="21" t="n">
        <f aca="false">IF(COUNT(F6:F7,F9,F11:F15)=0,"",F6+F7)</f>
        <v>2090000</v>
      </c>
      <c r="G8" s="21" t="n">
        <f aca="false">IF(COUNT(G6:G7,G9,G11:G15)=0,"",G6+G7)</f>
        <v>2141000</v>
      </c>
      <c r="H8" s="21" t="n">
        <f aca="false">IF(COUNT(H6:H7,H9,H11:H15)=0,"",H6+H7)</f>
        <v>2231000</v>
      </c>
      <c r="I8" s="21" t="n">
        <f aca="false">IF(COUNT(I6:I7,I9,I11:I15)=0,"",I6+I7)</f>
        <v>2288699.3634051</v>
      </c>
      <c r="J8" s="21" t="n">
        <f aca="false">IF(COUNT(J6:J7,J9,J11:J15)=0,"",J6+J7)</f>
        <v>2356760.34430725</v>
      </c>
      <c r="K8" s="21" t="n">
        <f aca="false">IF(COUNT(K6:K7,K9,K11:K15)=0,"",K6+K7)</f>
        <v>2426863.15463647</v>
      </c>
      <c r="L8" s="21" t="n">
        <f aca="false">IF(COUNT(L6:L7,L9,L11:L15)=0,"",L6+L7)</f>
        <v>2499069.04927557</v>
      </c>
      <c r="M8" s="21" t="n">
        <f aca="false">IF(COUNT(M6:M7,M9,M11:M15)=0,"",M6+M7)</f>
        <v>2573441.12075383</v>
      </c>
      <c r="N8" s="21" t="n">
        <f aca="false">IF(COUNT(N6:N7,N9,N11:N15)=0,"",N6+N7)</f>
        <v>2650044.35437645</v>
      </c>
      <c r="O8" s="21" t="n">
        <f aca="false">SUM(C8:N8)</f>
        <v>27086877.3867547</v>
      </c>
      <c r="P8" s="33" t="n">
        <f aca="false">Budget!O8</f>
        <v>27204856.1669247</v>
      </c>
      <c r="Q8" s="21" t="n">
        <f aca="false">O8-P8</f>
        <v>-117978.780170001</v>
      </c>
      <c r="R8" s="30" t="n">
        <f aca="false">IF(P8=0,"",Q8/ABS(P8))</f>
        <v>-0.00433668090160455</v>
      </c>
    </row>
    <row r="9" customFormat="false" ht="15" hidden="false" customHeight="false" outlineLevel="0" collapsed="false">
      <c r="B9" s="19" t="s">
        <v>81</v>
      </c>
      <c r="C9" s="20" t="n">
        <f aca="false">IF(1&lt;=$R$2,N(Actuals!C9),Budget!C9)</f>
        <v>740000</v>
      </c>
      <c r="D9" s="20" t="n">
        <f aca="false">IF(2&lt;=$R$2,N(Actuals!D9),Budget!D9)</f>
        <v>770000</v>
      </c>
      <c r="E9" s="20" t="n">
        <f aca="false">IF(3&lt;=$R$2,N(Actuals!E9),Budget!E9)</f>
        <v>796000</v>
      </c>
      <c r="F9" s="20" t="n">
        <f aca="false">IF(4&lt;=$R$2,N(Actuals!F9),Budget!F9)</f>
        <v>824000</v>
      </c>
      <c r="G9" s="20" t="n">
        <f aca="false">IF(5&lt;=$R$2,N(Actuals!G9),Budget!G9)</f>
        <v>848000</v>
      </c>
      <c r="H9" s="20" t="n">
        <f aca="false">IF(6&lt;=$R$2,N(Actuals!H9),Budget!H9)</f>
        <v>882000</v>
      </c>
      <c r="I9" s="20" t="n">
        <f aca="false">IF(7&lt;=$R$2,N(Actuals!I9),Budget!I9)</f>
        <v>907479.74536204</v>
      </c>
      <c r="J9" s="20" t="n">
        <f aca="false">IF(8&lt;=$R$2,N(Actuals!J9),Budget!J9)</f>
        <v>934704.137722902</v>
      </c>
      <c r="K9" s="20" t="n">
        <f aca="false">IF(9&lt;=$R$2,N(Actuals!K9),Budget!K9)</f>
        <v>962745.261854589</v>
      </c>
      <c r="L9" s="20" t="n">
        <f aca="false">IF(10&lt;=$R$2,N(Actuals!L9),Budget!L9)</f>
        <v>991627.619710226</v>
      </c>
      <c r="M9" s="20" t="n">
        <f aca="false">IF(11&lt;=$R$2,N(Actuals!M9),Budget!M9)</f>
        <v>1021376.44830153</v>
      </c>
      <c r="N9" s="20" t="n">
        <f aca="false">IF(12&lt;=$R$2,N(Actuals!N9),Budget!N9)</f>
        <v>1052017.74175058</v>
      </c>
      <c r="O9" s="21" t="n">
        <f aca="false">SUM(C9:N9)</f>
        <v>10729950.9547019</v>
      </c>
      <c r="P9" s="32" t="n">
        <f aca="false">Budget!O9</f>
        <v>10785942.4667699</v>
      </c>
      <c r="Q9" s="20" t="n">
        <f aca="false">O9-P9</f>
        <v>-55991.5120679997</v>
      </c>
      <c r="R9" s="28" t="n">
        <f aca="false">IF(P9=0,"",Q9/ABS(P9))</f>
        <v>-0.00519115619617873</v>
      </c>
    </row>
    <row r="10" customFormat="false" ht="15" hidden="false" customHeight="false" outlineLevel="0" collapsed="false">
      <c r="B10" s="22" t="s">
        <v>82</v>
      </c>
      <c r="C10" s="21" t="n">
        <f aca="false">IF(COUNT(C6:C7,C9,C11:C15)=0,"",C6-C9)</f>
        <v>1110000</v>
      </c>
      <c r="D10" s="21" t="n">
        <f aca="false">IF(COUNT(D6:D7,D9,D11:D15)=0,"",D6-D9)</f>
        <v>1155000</v>
      </c>
      <c r="E10" s="21" t="n">
        <f aca="false">IF(COUNT(E6:E7,E9,E11:E15)=0,"",E6-E9)</f>
        <v>1194000</v>
      </c>
      <c r="F10" s="21" t="n">
        <f aca="false">IF(COUNT(F6:F7,F9,F11:F15)=0,"",F6-F9)</f>
        <v>1236000</v>
      </c>
      <c r="G10" s="21" t="n">
        <f aca="false">IF(COUNT(G6:G7,G9,G11:G15)=0,"",G6-G9)</f>
        <v>1272000</v>
      </c>
      <c r="H10" s="21" t="n">
        <f aca="false">IF(COUNT(H6:H7,H9,H11:H15)=0,"",H6-H9)</f>
        <v>1323000</v>
      </c>
      <c r="I10" s="21" t="n">
        <f aca="false">IF(COUNT(I6:I7,I9,I11:I15)=0,"",I6-I9)</f>
        <v>1361219.61804306</v>
      </c>
      <c r="J10" s="21" t="n">
        <f aca="false">IF(COUNT(J6:J7,J9,J11:J15)=0,"",J6-J9)</f>
        <v>1402056.20658435</v>
      </c>
      <c r="K10" s="21" t="n">
        <f aca="false">IF(COUNT(K6:K7,K9,K11:K15)=0,"",K6-K9)</f>
        <v>1444117.89278188</v>
      </c>
      <c r="L10" s="21" t="n">
        <f aca="false">IF(COUNT(L6:L7,L9,L11:L15)=0,"",L6-L9)</f>
        <v>1487441.42956534</v>
      </c>
      <c r="M10" s="21" t="n">
        <f aca="false">IF(COUNT(M6:M7,M9,M11:M15)=0,"",M6-M9)</f>
        <v>1532064.6724523</v>
      </c>
      <c r="N10" s="21" t="n">
        <f aca="false">IF(COUNT(N6:N7,N9,N11:N15)=0,"",N6-N9)</f>
        <v>1578026.61262587</v>
      </c>
      <c r="O10" s="21" t="n">
        <f aca="false">SUM(C10:N10)</f>
        <v>16094926.4320528</v>
      </c>
      <c r="P10" s="33" t="n">
        <f aca="false">Budget!O10</f>
        <v>16178913.7001548</v>
      </c>
      <c r="Q10" s="21" t="n">
        <f aca="false">O10-P10</f>
        <v>-83987.2681019995</v>
      </c>
      <c r="R10" s="30" t="n">
        <f aca="false">IF(P10=0,"",Q10/ABS(P10))</f>
        <v>-0.00519115619617873</v>
      </c>
    </row>
    <row r="11" customFormat="false" ht="15" hidden="false" customHeight="false" outlineLevel="0" collapsed="false">
      <c r="B11" s="19" t="s">
        <v>83</v>
      </c>
      <c r="C11" s="20" t="n">
        <f aca="false">IF(1&lt;=$R$2,N(Actuals!C11),Budget!C11)</f>
        <v>420000</v>
      </c>
      <c r="D11" s="20" t="n">
        <f aca="false">IF(2&lt;=$R$2,N(Actuals!D11),Budget!D11)</f>
        <v>420000</v>
      </c>
      <c r="E11" s="20" t="n">
        <f aca="false">IF(3&lt;=$R$2,N(Actuals!E11),Budget!E11)</f>
        <v>435000</v>
      </c>
      <c r="F11" s="20" t="n">
        <f aca="false">IF(4&lt;=$R$2,N(Actuals!F11),Budget!F11)</f>
        <v>435000</v>
      </c>
      <c r="G11" s="20" t="n">
        <f aca="false">IF(5&lt;=$R$2,N(Actuals!G11),Budget!G11)</f>
        <v>450000</v>
      </c>
      <c r="H11" s="20" t="n">
        <f aca="false">IF(6&lt;=$R$2,N(Actuals!H11),Budget!H11)</f>
        <v>450000</v>
      </c>
      <c r="I11" s="20" t="n">
        <f aca="false">IF(7&lt;=$R$2,N(Actuals!I11),Budget!I11)</f>
        <v>518400</v>
      </c>
      <c r="J11" s="20" t="n">
        <f aca="false">IF(8&lt;=$R$2,N(Actuals!J11),Budget!J11)</f>
        <v>550800</v>
      </c>
      <c r="K11" s="20" t="n">
        <f aca="false">IF(9&lt;=$R$2,N(Actuals!K11),Budget!K11)</f>
        <v>550800</v>
      </c>
      <c r="L11" s="20" t="n">
        <f aca="false">IF(10&lt;=$R$2,N(Actuals!L11),Budget!L11)</f>
        <v>550800</v>
      </c>
      <c r="M11" s="20" t="n">
        <f aca="false">IF(11&lt;=$R$2,N(Actuals!M11),Budget!M11)</f>
        <v>583200</v>
      </c>
      <c r="N11" s="20" t="n">
        <f aca="false">IF(12&lt;=$R$2,N(Actuals!N11),Budget!N11)</f>
        <v>583200</v>
      </c>
      <c r="O11" s="21" t="n">
        <f aca="false">SUM(C11:N11)</f>
        <v>5947200</v>
      </c>
      <c r="P11" s="32" t="n">
        <f aca="false">Budget!O11</f>
        <v>6037200</v>
      </c>
      <c r="Q11" s="20" t="n">
        <f aca="false">O11-P11</f>
        <v>-90000</v>
      </c>
      <c r="R11" s="28" t="n">
        <f aca="false">IF(P11=0,"",Q11/ABS(P11))</f>
        <v>-0.0149075730471079</v>
      </c>
    </row>
    <row r="12" customFormat="false" ht="15" hidden="false" customHeight="false" outlineLevel="0" collapsed="false">
      <c r="B12" s="19" t="s">
        <v>84</v>
      </c>
      <c r="C12" s="20" t="n">
        <f aca="false">IF(1&lt;=$R$2,N(Actuals!C12),Budget!C12)</f>
        <v>85000</v>
      </c>
      <c r="D12" s="20" t="n">
        <f aca="false">IF(2&lt;=$R$2,N(Actuals!D12),Budget!D12)</f>
        <v>85000</v>
      </c>
      <c r="E12" s="20" t="n">
        <f aca="false">IF(3&lt;=$R$2,N(Actuals!E12),Budget!E12)</f>
        <v>85000</v>
      </c>
      <c r="F12" s="20" t="n">
        <f aca="false">IF(4&lt;=$R$2,N(Actuals!F12),Budget!F12)</f>
        <v>85000</v>
      </c>
      <c r="G12" s="20" t="n">
        <f aca="false">IF(5&lt;=$R$2,N(Actuals!G12),Budget!G12)</f>
        <v>85000</v>
      </c>
      <c r="H12" s="20" t="n">
        <f aca="false">IF(6&lt;=$R$2,N(Actuals!H12),Budget!H12)</f>
        <v>85000</v>
      </c>
      <c r="I12" s="20" t="n">
        <f aca="false">IF(7&lt;=$R$2,N(Actuals!I12),Budget!I12)</f>
        <v>85000</v>
      </c>
      <c r="J12" s="20" t="n">
        <f aca="false">IF(8&lt;=$R$2,N(Actuals!J12),Budget!J12)</f>
        <v>85000</v>
      </c>
      <c r="K12" s="20" t="n">
        <f aca="false">IF(9&lt;=$R$2,N(Actuals!K12),Budget!K12)</f>
        <v>85000</v>
      </c>
      <c r="L12" s="20" t="n">
        <f aca="false">IF(10&lt;=$R$2,N(Actuals!L12),Budget!L12)</f>
        <v>85000</v>
      </c>
      <c r="M12" s="20" t="n">
        <f aca="false">IF(11&lt;=$R$2,N(Actuals!M12),Budget!M12)</f>
        <v>85000</v>
      </c>
      <c r="N12" s="20" t="n">
        <f aca="false">IF(12&lt;=$R$2,N(Actuals!N12),Budget!N12)</f>
        <v>85000</v>
      </c>
      <c r="O12" s="21" t="n">
        <f aca="false">SUM(C12:N12)</f>
        <v>1020000</v>
      </c>
      <c r="P12" s="32" t="n">
        <f aca="false">Budget!O12</f>
        <v>1020000</v>
      </c>
      <c r="Q12" s="20" t="n">
        <f aca="false">O12-P12</f>
        <v>0</v>
      </c>
      <c r="R12" s="28" t="n">
        <f aca="false">IF(P12=0,"",Q12/ABS(P12))</f>
        <v>0</v>
      </c>
    </row>
    <row r="13" customFormat="false" ht="15" hidden="false" customHeight="false" outlineLevel="0" collapsed="false">
      <c r="B13" s="19" t="s">
        <v>85</v>
      </c>
      <c r="C13" s="20" t="n">
        <f aca="false">IF(1&lt;=$R$2,N(Actuals!C13),Budget!C13)</f>
        <v>45000</v>
      </c>
      <c r="D13" s="20" t="n">
        <f aca="false">IF(2&lt;=$R$2,N(Actuals!D13),Budget!D13)</f>
        <v>40000</v>
      </c>
      <c r="E13" s="20" t="n">
        <f aca="false">IF(3&lt;=$R$2,N(Actuals!E13),Budget!E13)</f>
        <v>52000</v>
      </c>
      <c r="F13" s="20" t="n">
        <f aca="false">IF(4&lt;=$R$2,N(Actuals!F13),Budget!F13)</f>
        <v>45000</v>
      </c>
      <c r="G13" s="20" t="n">
        <f aca="false">IF(5&lt;=$R$2,N(Actuals!G13),Budget!G13)</f>
        <v>48000</v>
      </c>
      <c r="H13" s="20" t="n">
        <f aca="false">IF(6&lt;=$R$2,N(Actuals!H13),Budget!H13)</f>
        <v>60000</v>
      </c>
      <c r="I13" s="20" t="n">
        <f aca="false">IF(7&lt;=$R$2,N(Actuals!I13),Budget!I13)</f>
        <v>45000</v>
      </c>
      <c r="J13" s="20" t="n">
        <f aca="false">IF(8&lt;=$R$2,N(Actuals!J13),Budget!J13)</f>
        <v>45000</v>
      </c>
      <c r="K13" s="20" t="n">
        <f aca="false">IF(9&lt;=$R$2,N(Actuals!K13),Budget!K13)</f>
        <v>45000</v>
      </c>
      <c r="L13" s="20" t="n">
        <f aca="false">IF(10&lt;=$R$2,N(Actuals!L13),Budget!L13)</f>
        <v>45000</v>
      </c>
      <c r="M13" s="20" t="n">
        <f aca="false">IF(11&lt;=$R$2,N(Actuals!M13),Budget!M13)</f>
        <v>45000</v>
      </c>
      <c r="N13" s="20" t="n">
        <f aca="false">IF(12&lt;=$R$2,N(Actuals!N13),Budget!N13)</f>
        <v>45000</v>
      </c>
      <c r="O13" s="21" t="n">
        <f aca="false">SUM(C13:N13)</f>
        <v>560000</v>
      </c>
      <c r="P13" s="32" t="n">
        <f aca="false">Budget!O13</f>
        <v>540000</v>
      </c>
      <c r="Q13" s="20" t="n">
        <f aca="false">O13-P13</f>
        <v>20000</v>
      </c>
      <c r="R13" s="28" t="n">
        <f aca="false">IF(P13=0,"",Q13/ABS(P13))</f>
        <v>0.037037037037037</v>
      </c>
    </row>
    <row r="14" customFormat="false" ht="15" hidden="false" customHeight="false" outlineLevel="0" collapsed="false">
      <c r="B14" s="19" t="s">
        <v>86</v>
      </c>
      <c r="C14" s="20" t="n">
        <f aca="false">IF(1&lt;=$R$2,N(Actuals!C14),Budget!C14)</f>
        <v>60000</v>
      </c>
      <c r="D14" s="20" t="n">
        <f aca="false">IF(2&lt;=$R$2,N(Actuals!D14),Budget!D14)</f>
        <v>65000</v>
      </c>
      <c r="E14" s="20" t="n">
        <f aca="false">IF(3&lt;=$R$2,N(Actuals!E14),Budget!E14)</f>
        <v>55000</v>
      </c>
      <c r="F14" s="20" t="n">
        <f aca="false">IF(4&lt;=$R$2,N(Actuals!F14),Budget!F14)</f>
        <v>72000</v>
      </c>
      <c r="G14" s="20" t="n">
        <f aca="false">IF(5&lt;=$R$2,N(Actuals!G14),Budget!G14)</f>
        <v>70000</v>
      </c>
      <c r="H14" s="20" t="n">
        <f aca="false">IF(6&lt;=$R$2,N(Actuals!H14),Budget!H14)</f>
        <v>80000</v>
      </c>
      <c r="I14" s="20" t="n">
        <f aca="false">IF(7&lt;=$R$2,N(Actuals!I14),Budget!I14)</f>
        <v>68060.980902153</v>
      </c>
      <c r="J14" s="20" t="n">
        <f aca="false">IF(8&lt;=$R$2,N(Actuals!J14),Budget!J14)</f>
        <v>70102.8103292176</v>
      </c>
      <c r="K14" s="20" t="n">
        <f aca="false">IF(9&lt;=$R$2,N(Actuals!K14),Budget!K14)</f>
        <v>72205.8946390941</v>
      </c>
      <c r="L14" s="20" t="n">
        <f aca="false">IF(10&lt;=$R$2,N(Actuals!L14),Budget!L14)</f>
        <v>74372.071478267</v>
      </c>
      <c r="M14" s="20" t="n">
        <f aca="false">IF(11&lt;=$R$2,N(Actuals!M14),Budget!M14)</f>
        <v>76603.233622615</v>
      </c>
      <c r="N14" s="20" t="n">
        <f aca="false">IF(12&lt;=$R$2,N(Actuals!N14),Budget!N14)</f>
        <v>78901.3306312934</v>
      </c>
      <c r="O14" s="21" t="n">
        <f aca="false">SUM(C14:N14)</f>
        <v>842246.32160264</v>
      </c>
      <c r="P14" s="32" t="n">
        <f aca="false">Budget!O14</f>
        <v>808945.68500774</v>
      </c>
      <c r="Q14" s="20" t="n">
        <f aca="false">O14-P14</f>
        <v>33300.6365948999</v>
      </c>
      <c r="R14" s="28" t="n">
        <f aca="false">IF(P14=0,"",Q14/ABS(P14))</f>
        <v>0.0411654789834021</v>
      </c>
    </row>
    <row r="15" customFormat="false" ht="15" hidden="false" customHeight="false" outlineLevel="0" collapsed="false">
      <c r="B15" s="19" t="s">
        <v>87</v>
      </c>
      <c r="C15" s="20" t="n">
        <f aca="false">IF(1&lt;=$R$2,N(Actuals!C15),Budget!C15)</f>
        <v>55000</v>
      </c>
      <c r="D15" s="20" t="n">
        <f aca="false">IF(2&lt;=$R$2,N(Actuals!D15),Budget!D15)</f>
        <v>52000</v>
      </c>
      <c r="E15" s="20" t="n">
        <f aca="false">IF(3&lt;=$R$2,N(Actuals!E15),Budget!E15)</f>
        <v>58000</v>
      </c>
      <c r="F15" s="20" t="n">
        <f aca="false">IF(4&lt;=$R$2,N(Actuals!F15),Budget!F15)</f>
        <v>61000</v>
      </c>
      <c r="G15" s="20" t="n">
        <f aca="false">IF(5&lt;=$R$2,N(Actuals!G15),Budget!G15)</f>
        <v>57000</v>
      </c>
      <c r="H15" s="20" t="n">
        <f aca="false">IF(6&lt;=$R$2,N(Actuals!H15),Budget!H15)</f>
        <v>63000</v>
      </c>
      <c r="I15" s="20" t="n">
        <f aca="false">IF(7&lt;=$R$2,N(Actuals!I15),Budget!I15)</f>
        <v>55000</v>
      </c>
      <c r="J15" s="20" t="n">
        <f aca="false">IF(8&lt;=$R$2,N(Actuals!J15),Budget!J15)</f>
        <v>55000</v>
      </c>
      <c r="K15" s="20" t="n">
        <f aca="false">IF(9&lt;=$R$2,N(Actuals!K15),Budget!K15)</f>
        <v>55000</v>
      </c>
      <c r="L15" s="20" t="n">
        <f aca="false">IF(10&lt;=$R$2,N(Actuals!L15),Budget!L15)</f>
        <v>55000</v>
      </c>
      <c r="M15" s="20" t="n">
        <f aca="false">IF(11&lt;=$R$2,N(Actuals!M15),Budget!M15)</f>
        <v>55000</v>
      </c>
      <c r="N15" s="20" t="n">
        <f aca="false">IF(12&lt;=$R$2,N(Actuals!N15),Budget!N15)</f>
        <v>55000</v>
      </c>
      <c r="O15" s="21" t="n">
        <f aca="false">SUM(C15:N15)</f>
        <v>676000</v>
      </c>
      <c r="P15" s="32" t="n">
        <f aca="false">Budget!O15</f>
        <v>660000</v>
      </c>
      <c r="Q15" s="20" t="n">
        <f aca="false">O15-P15</f>
        <v>16000</v>
      </c>
      <c r="R15" s="28" t="n">
        <f aca="false">IF(P15=0,"",Q15/ABS(P15))</f>
        <v>0.0242424242424242</v>
      </c>
    </row>
    <row r="16" customFormat="false" ht="15" hidden="false" customHeight="false" outlineLevel="0" collapsed="false">
      <c r="B16" s="22" t="s">
        <v>88</v>
      </c>
      <c r="C16" s="21" t="n">
        <f aca="false">IF(COUNT(C6:C7,C9,C11:C15)=0,"",SUM(C11:C15))</f>
        <v>665000</v>
      </c>
      <c r="D16" s="21" t="n">
        <f aca="false">IF(COUNT(D6:D7,D9,D11:D15)=0,"",SUM(D11:D15))</f>
        <v>662000</v>
      </c>
      <c r="E16" s="21" t="n">
        <f aca="false">IF(COUNT(E6:E7,E9,E11:E15)=0,"",SUM(E11:E15))</f>
        <v>685000</v>
      </c>
      <c r="F16" s="21" t="n">
        <f aca="false">IF(COUNT(F6:F7,F9,F11:F15)=0,"",SUM(F11:F15))</f>
        <v>698000</v>
      </c>
      <c r="G16" s="21" t="n">
        <f aca="false">IF(COUNT(G6:G7,G9,G11:G15)=0,"",SUM(G11:G15))</f>
        <v>710000</v>
      </c>
      <c r="H16" s="21" t="n">
        <f aca="false">IF(COUNT(H6:H7,H9,H11:H15)=0,"",SUM(H11:H15))</f>
        <v>738000</v>
      </c>
      <c r="I16" s="21" t="n">
        <f aca="false">IF(COUNT(I6:I7,I9,I11:I15)=0,"",SUM(I11:I15))</f>
        <v>771460.980902153</v>
      </c>
      <c r="J16" s="21" t="n">
        <f aca="false">IF(COUNT(J6:J7,J9,J11:J15)=0,"",SUM(J11:J15))</f>
        <v>805902.810329218</v>
      </c>
      <c r="K16" s="21" t="n">
        <f aca="false">IF(COUNT(K6:K7,K9,K11:K15)=0,"",SUM(K11:K15))</f>
        <v>808005.894639094</v>
      </c>
      <c r="L16" s="21" t="n">
        <f aca="false">IF(COUNT(L6:L7,L9,L11:L15)=0,"",SUM(L11:L15))</f>
        <v>810172.071478267</v>
      </c>
      <c r="M16" s="21" t="n">
        <f aca="false">IF(COUNT(M6:M7,M9,M11:M15)=0,"",SUM(M11:M15))</f>
        <v>844803.233622615</v>
      </c>
      <c r="N16" s="21" t="n">
        <f aca="false">IF(COUNT(N6:N7,N9,N11:N15)=0,"",SUM(N11:N15))</f>
        <v>847101.330631294</v>
      </c>
      <c r="O16" s="21" t="n">
        <f aca="false">SUM(C16:N16)</f>
        <v>9045446.32160264</v>
      </c>
      <c r="P16" s="33" t="n">
        <f aca="false">Budget!O16</f>
        <v>9066145.68500774</v>
      </c>
      <c r="Q16" s="21" t="n">
        <f aca="false">O16-P16</f>
        <v>-20699.3634050991</v>
      </c>
      <c r="R16" s="30" t="n">
        <f aca="false">IF(P16=0,"",Q16/ABS(P16))</f>
        <v>-0.00228314921514318</v>
      </c>
    </row>
    <row r="17" customFormat="false" ht="15" hidden="false" customHeight="false" outlineLevel="0" collapsed="false">
      <c r="B17" s="22" t="s">
        <v>89</v>
      </c>
      <c r="C17" s="21" t="n">
        <f aca="false">IF(COUNT(C6:C7,C9,C11:C15)=0,"",C8-C9-C16)</f>
        <v>470000</v>
      </c>
      <c r="D17" s="21" t="n">
        <f aca="false">IF(COUNT(D6:D7,D9,D11:D15)=0,"",D8-D9-D16)</f>
        <v>511000</v>
      </c>
      <c r="E17" s="21" t="n">
        <f aca="false">IF(COUNT(E6:E7,E9,E11:E15)=0,"",E8-E9-E16)</f>
        <v>531000</v>
      </c>
      <c r="F17" s="21" t="n">
        <f aca="false">IF(COUNT(F6:F7,F9,F11:F15)=0,"",F8-F9-F16)</f>
        <v>568000</v>
      </c>
      <c r="G17" s="21" t="n">
        <f aca="false">IF(COUNT(G6:G7,G9,G11:G15)=0,"",G8-G9-G16)</f>
        <v>583000</v>
      </c>
      <c r="H17" s="21" t="n">
        <f aca="false">IF(COUNT(H6:H7,H9,H11:H15)=0,"",H8-H9-H16)</f>
        <v>611000</v>
      </c>
      <c r="I17" s="21" t="n">
        <f aca="false">IF(COUNT(I6:I7,I9,I11:I15)=0,"",I8-I9-I16)</f>
        <v>609758.637140907</v>
      </c>
      <c r="J17" s="21" t="n">
        <f aca="false">IF(COUNT(J6:J7,J9,J11:J15)=0,"",J8-J9-J16)</f>
        <v>616153.396255135</v>
      </c>
      <c r="K17" s="21" t="n">
        <f aca="false">IF(COUNT(K6:K7,K9,K11:K15)=0,"",K8-K9-K16)</f>
        <v>656111.998142788</v>
      </c>
      <c r="L17" s="21" t="n">
        <f aca="false">IF(COUNT(L6:L7,L9,L11:L15)=0,"",L8-L9-L16)</f>
        <v>697269.358087072</v>
      </c>
      <c r="M17" s="21" t="n">
        <f aca="false">IF(COUNT(M6:M7,M9,M11:M15)=0,"",M8-M9-M16)</f>
        <v>707261.438829684</v>
      </c>
      <c r="N17" s="21" t="n">
        <f aca="false">IF(COUNT(N6:N7,N9,N11:N15)=0,"",N8-N9-N16)</f>
        <v>750925.281994575</v>
      </c>
      <c r="O17" s="21" t="n">
        <f aca="false">SUM(C17:N17)</f>
        <v>7311480.11045016</v>
      </c>
      <c r="P17" s="33" t="n">
        <f aca="false">Budget!O17</f>
        <v>7352768.01514706</v>
      </c>
      <c r="Q17" s="21" t="n">
        <f aca="false">O17-P17</f>
        <v>-41287.9046969004</v>
      </c>
      <c r="R17" s="30" t="n">
        <f aca="false">IF(P17=0,"",Q17/ABS(P17))</f>
        <v>-0.00561528727845694</v>
      </c>
    </row>
    <row r="18" customFormat="false" ht="15" hidden="false" customHeight="false" outlineLevel="0" collapsed="false">
      <c r="B18" s="19" t="s">
        <v>90</v>
      </c>
      <c r="C18" s="20" t="n">
        <f aca="false">IF(1&lt;=$R$2,N(Actuals!C18),Budget!C18)</f>
        <v>30000</v>
      </c>
      <c r="D18" s="20" t="n">
        <f aca="false">IF(2&lt;=$R$2,N(Actuals!D18),Budget!D18)</f>
        <v>30000</v>
      </c>
      <c r="E18" s="20" t="n">
        <f aca="false">IF(3&lt;=$R$2,N(Actuals!E18),Budget!E18)</f>
        <v>30000</v>
      </c>
      <c r="F18" s="20" t="n">
        <f aca="false">IF(4&lt;=$R$2,N(Actuals!F18),Budget!F18)</f>
        <v>30000</v>
      </c>
      <c r="G18" s="20" t="n">
        <f aca="false">IF(5&lt;=$R$2,N(Actuals!G18),Budget!G18)</f>
        <v>30000</v>
      </c>
      <c r="H18" s="20" t="n">
        <f aca="false">IF(6&lt;=$R$2,N(Actuals!H18),Budget!H18)</f>
        <v>30000</v>
      </c>
      <c r="I18" s="20" t="n">
        <f aca="false">IF(7&lt;=$R$2,N(Actuals!I18),Budget!I18)</f>
        <v>30000</v>
      </c>
      <c r="J18" s="20" t="n">
        <f aca="false">IF(8&lt;=$R$2,N(Actuals!J18),Budget!J18)</f>
        <v>30000</v>
      </c>
      <c r="K18" s="20" t="n">
        <f aca="false">IF(9&lt;=$R$2,N(Actuals!K18),Budget!K18)</f>
        <v>30000</v>
      </c>
      <c r="L18" s="20" t="n">
        <f aca="false">IF(10&lt;=$R$2,N(Actuals!L18),Budget!L18)</f>
        <v>30000</v>
      </c>
      <c r="M18" s="20" t="n">
        <f aca="false">IF(11&lt;=$R$2,N(Actuals!M18),Budget!M18)</f>
        <v>30000</v>
      </c>
      <c r="N18" s="20" t="n">
        <f aca="false">IF(12&lt;=$R$2,N(Actuals!N18),Budget!N18)</f>
        <v>30000</v>
      </c>
      <c r="O18" s="21" t="n">
        <f aca="false">SUM(C18:N18)</f>
        <v>360000</v>
      </c>
      <c r="P18" s="32" t="n">
        <f aca="false">Budget!O18</f>
        <v>360000</v>
      </c>
      <c r="Q18" s="20" t="n">
        <f aca="false">O18-P18</f>
        <v>0</v>
      </c>
      <c r="R18" s="28" t="n">
        <f aca="false">IF(P18=0,"",Q18/ABS(P18))</f>
        <v>0</v>
      </c>
    </row>
    <row r="19" customFormat="false" ht="15" hidden="false" customHeight="false" outlineLevel="0" collapsed="false">
      <c r="B19" s="19" t="s">
        <v>91</v>
      </c>
      <c r="C19" s="20" t="n">
        <f aca="false">IF(1&lt;=$R$2,N(Actuals!C19),Budget!C19)</f>
        <v>18000</v>
      </c>
      <c r="D19" s="20" t="n">
        <f aca="false">IF(2&lt;=$R$2,N(Actuals!D19),Budget!D19)</f>
        <v>18000</v>
      </c>
      <c r="E19" s="20" t="n">
        <f aca="false">IF(3&lt;=$R$2,N(Actuals!E19),Budget!E19)</f>
        <v>17500</v>
      </c>
      <c r="F19" s="20" t="n">
        <f aca="false">IF(4&lt;=$R$2,N(Actuals!F19),Budget!F19)</f>
        <v>17500</v>
      </c>
      <c r="G19" s="20" t="n">
        <f aca="false">IF(5&lt;=$R$2,N(Actuals!G19),Budget!G19)</f>
        <v>17000</v>
      </c>
      <c r="H19" s="20" t="n">
        <f aca="false">IF(6&lt;=$R$2,N(Actuals!H19),Budget!H19)</f>
        <v>17000</v>
      </c>
      <c r="I19" s="20" t="n">
        <f aca="false">IF(7&lt;=$R$2,N(Actuals!I19),Budget!I19)</f>
        <v>17000</v>
      </c>
      <c r="J19" s="20" t="n">
        <f aca="false">IF(8&lt;=$R$2,N(Actuals!J19),Budget!J19)</f>
        <v>17000</v>
      </c>
      <c r="K19" s="20" t="n">
        <f aca="false">IF(9&lt;=$R$2,N(Actuals!K19),Budget!K19)</f>
        <v>17000</v>
      </c>
      <c r="L19" s="20" t="n">
        <f aca="false">IF(10&lt;=$R$2,N(Actuals!L19),Budget!L19)</f>
        <v>17000</v>
      </c>
      <c r="M19" s="20" t="n">
        <f aca="false">IF(11&lt;=$R$2,N(Actuals!M19),Budget!M19)</f>
        <v>17000</v>
      </c>
      <c r="N19" s="20" t="n">
        <f aca="false">IF(12&lt;=$R$2,N(Actuals!N19),Budget!N19)</f>
        <v>17000</v>
      </c>
      <c r="O19" s="21" t="n">
        <f aca="false">SUM(C19:N19)</f>
        <v>207000</v>
      </c>
      <c r="P19" s="32" t="n">
        <f aca="false">Budget!O19</f>
        <v>204000</v>
      </c>
      <c r="Q19" s="20" t="n">
        <f aca="false">O19-P19</f>
        <v>3000</v>
      </c>
      <c r="R19" s="28" t="n">
        <f aca="false">IF(P19=0,"",Q19/ABS(P19))</f>
        <v>0.0147058823529412</v>
      </c>
    </row>
    <row r="20" customFormat="false" ht="15" hidden="false" customHeight="false" outlineLevel="0" collapsed="false">
      <c r="B20" s="22" t="s">
        <v>92</v>
      </c>
      <c r="C20" s="21" t="n">
        <f aca="false">IF(COUNT(C6:C7,C9,C11:C15)=0,"",C17-C18-C19)</f>
        <v>422000</v>
      </c>
      <c r="D20" s="21" t="n">
        <f aca="false">IF(COUNT(D6:D7,D9,D11:D15)=0,"",D17-D18-D19)</f>
        <v>463000</v>
      </c>
      <c r="E20" s="21" t="n">
        <f aca="false">IF(COUNT(E6:E7,E9,E11:E15)=0,"",E17-E18-E19)</f>
        <v>483500</v>
      </c>
      <c r="F20" s="21" t="n">
        <f aca="false">IF(COUNT(F6:F7,F9,F11:F15)=0,"",F17-F18-F19)</f>
        <v>520500</v>
      </c>
      <c r="G20" s="21" t="n">
        <f aca="false">IF(COUNT(G6:G7,G9,G11:G15)=0,"",G17-G18-G19)</f>
        <v>536000</v>
      </c>
      <c r="H20" s="21" t="n">
        <f aca="false">IF(COUNT(H6:H7,H9,H11:H15)=0,"",H17-H18-H19)</f>
        <v>564000</v>
      </c>
      <c r="I20" s="21" t="n">
        <f aca="false">IF(COUNT(I6:I7,I9,I11:I15)=0,"",I17-I18-I19)</f>
        <v>562758.637140907</v>
      </c>
      <c r="J20" s="21" t="n">
        <f aca="false">IF(COUNT(J6:J7,J9,J11:J15)=0,"",J17-J18-J19)</f>
        <v>569153.396255135</v>
      </c>
      <c r="K20" s="21" t="n">
        <f aca="false">IF(COUNT(K6:K7,K9,K11:K15)=0,"",K17-K18-K19)</f>
        <v>609111.998142788</v>
      </c>
      <c r="L20" s="21" t="n">
        <f aca="false">IF(COUNT(L6:L7,L9,L11:L15)=0,"",L17-L18-L19)</f>
        <v>650269.358087072</v>
      </c>
      <c r="M20" s="21" t="n">
        <f aca="false">IF(COUNT(M6:M7,M9,M11:M15)=0,"",M17-M18-M19)</f>
        <v>660261.438829684</v>
      </c>
      <c r="N20" s="21" t="n">
        <f aca="false">IF(COUNT(N6:N7,N9,N11:N15)=0,"",N17-N18-N19)</f>
        <v>703925.281994575</v>
      </c>
      <c r="O20" s="21" t="n">
        <f aca="false">SUM(C20:N20)</f>
        <v>6744480.11045016</v>
      </c>
      <c r="P20" s="33" t="n">
        <f aca="false">Budget!O20</f>
        <v>6788768.01514706</v>
      </c>
      <c r="Q20" s="21" t="n">
        <f aca="false">O20-P20</f>
        <v>-44287.9046969004</v>
      </c>
      <c r="R20" s="30" t="n">
        <f aca="false">IF(P20=0,"",Q20/ABS(P20))</f>
        <v>-0.00652370276876238</v>
      </c>
    </row>
    <row r="21" customFormat="false" ht="15" hidden="false" customHeight="false" outlineLevel="0" collapsed="false">
      <c r="B21" s="19" t="s">
        <v>93</v>
      </c>
      <c r="C21" s="20" t="n">
        <f aca="false">IF(1&lt;=$R$2,N(Actuals!C21),Budget!C21)</f>
        <v>105500</v>
      </c>
      <c r="D21" s="20" t="n">
        <f aca="false">IF(2&lt;=$R$2,N(Actuals!D21),Budget!D21)</f>
        <v>115800</v>
      </c>
      <c r="E21" s="20" t="n">
        <f aca="false">IF(3&lt;=$R$2,N(Actuals!E21),Budget!E21)</f>
        <v>120900</v>
      </c>
      <c r="F21" s="20" t="n">
        <f aca="false">IF(4&lt;=$R$2,N(Actuals!F21),Budget!F21)</f>
        <v>130100</v>
      </c>
      <c r="G21" s="20" t="n">
        <f aca="false">IF(5&lt;=$R$2,N(Actuals!G21),Budget!G21)</f>
        <v>134000</v>
      </c>
      <c r="H21" s="20" t="n">
        <f aca="false">IF(6&lt;=$R$2,N(Actuals!H21),Budget!H21)</f>
        <v>141000</v>
      </c>
      <c r="I21" s="20" t="n">
        <f aca="false">IF(7&lt;=$R$2,N(Actuals!I21),Budget!I21)</f>
        <v>140689.659285227</v>
      </c>
      <c r="J21" s="20" t="n">
        <f aca="false">IF(8&lt;=$R$2,N(Actuals!J21),Budget!J21)</f>
        <v>142288.349063784</v>
      </c>
      <c r="K21" s="20" t="n">
        <f aca="false">IF(9&lt;=$R$2,N(Actuals!K21),Budget!K21)</f>
        <v>152277.999535697</v>
      </c>
      <c r="L21" s="20" t="n">
        <f aca="false">IF(10&lt;=$R$2,N(Actuals!L21),Budget!L21)</f>
        <v>162567.339521768</v>
      </c>
      <c r="M21" s="20" t="n">
        <f aca="false">IF(11&lt;=$R$2,N(Actuals!M21),Budget!M21)</f>
        <v>165065.359707421</v>
      </c>
      <c r="N21" s="20" t="n">
        <f aca="false">IF(12&lt;=$R$2,N(Actuals!N21),Budget!N21)</f>
        <v>175981.320498644</v>
      </c>
      <c r="O21" s="21" t="n">
        <f aca="false">SUM(C21:N21)</f>
        <v>1686170.02761254</v>
      </c>
      <c r="P21" s="32" t="n">
        <f aca="false">Budget!O21</f>
        <v>1697192.00378677</v>
      </c>
      <c r="Q21" s="20" t="n">
        <f aca="false">O21-P21</f>
        <v>-11021.9761742251</v>
      </c>
      <c r="R21" s="28" t="n">
        <f aca="false">IF(P21=0,"",Q21/ABS(P21))</f>
        <v>-0.00649424234242969</v>
      </c>
    </row>
    <row r="22" customFormat="false" ht="15" hidden="false" customHeight="false" outlineLevel="0" collapsed="false">
      <c r="B22" s="22" t="s">
        <v>94</v>
      </c>
      <c r="C22" s="21" t="n">
        <f aca="false">IF(COUNT(C6:C7,C9,C11:C15)=0,"",C20-C21)</f>
        <v>316500</v>
      </c>
      <c r="D22" s="21" t="n">
        <f aca="false">IF(COUNT(D6:D7,D9,D11:D15)=0,"",D20-D21)</f>
        <v>347200</v>
      </c>
      <c r="E22" s="21" t="n">
        <f aca="false">IF(COUNT(E6:E7,E9,E11:E15)=0,"",E20-E21)</f>
        <v>362600</v>
      </c>
      <c r="F22" s="21" t="n">
        <f aca="false">IF(COUNT(F6:F7,F9,F11:F15)=0,"",F20-F21)</f>
        <v>390400</v>
      </c>
      <c r="G22" s="21" t="n">
        <f aca="false">IF(COUNT(G6:G7,G9,G11:G15)=0,"",G20-G21)</f>
        <v>402000</v>
      </c>
      <c r="H22" s="21" t="n">
        <f aca="false">IF(COUNT(H6:H7,H9,H11:H15)=0,"",H20-H21)</f>
        <v>423000</v>
      </c>
      <c r="I22" s="21" t="n">
        <f aca="false">IF(COUNT(I6:I7,I9,I11:I15)=0,"",I20-I21)</f>
        <v>422068.977855681</v>
      </c>
      <c r="J22" s="21" t="n">
        <f aca="false">IF(COUNT(J6:J7,J9,J11:J15)=0,"",J20-J21)</f>
        <v>426865.047191351</v>
      </c>
      <c r="K22" s="21" t="n">
        <f aca="false">IF(COUNT(K6:K7,K9,K11:K15)=0,"",K20-K21)</f>
        <v>456833.998607091</v>
      </c>
      <c r="L22" s="21" t="n">
        <f aca="false">IF(COUNT(L6:L7,L9,L11:L15)=0,"",L20-L21)</f>
        <v>487702.018565304</v>
      </c>
      <c r="M22" s="21" t="n">
        <f aca="false">IF(COUNT(M6:M7,M9,M11:M15)=0,"",M20-M21)</f>
        <v>495196.079122263</v>
      </c>
      <c r="N22" s="21" t="n">
        <f aca="false">IF(COUNT(N6:N7,N9,N11:N15)=0,"",N20-N21)</f>
        <v>527943.961495932</v>
      </c>
      <c r="O22" s="21" t="n">
        <f aca="false">SUM(C22:N22)</f>
        <v>5058310.08283762</v>
      </c>
      <c r="P22" s="33" t="n">
        <f aca="false">Budget!O22</f>
        <v>5091576.0113603</v>
      </c>
      <c r="Q22" s="21" t="n">
        <f aca="false">O22-P22</f>
        <v>-33265.9285226744</v>
      </c>
      <c r="R22" s="30" t="n">
        <f aca="false">IF(P22=0,"",Q22/ABS(P22))</f>
        <v>-0.0065335229108731</v>
      </c>
    </row>
  </sheetData>
  <conditionalFormatting sqref="C4:N4">
    <cfRule type="expression" priority="2" aboveAverage="0" equalAverage="0" bottom="0" percent="0" rank="0" text="" dxfId="2">
      <formula>C$4="Actual"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2026-10-26T18:07:18Z</dcterms:created>
  <dc:creator>openpyxl</dc:creator>
  <dc:description/>
  <dc:language>en-US</dc:language>
  <cp:lastModifiedBy/>
  <dcterms:modified xsi:type="dcterms:W3CDTF">2026-10-26T18:07:26Z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