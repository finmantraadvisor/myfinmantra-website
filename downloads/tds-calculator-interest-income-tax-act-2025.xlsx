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ow to use" sheetId="1" state="visible" r:id="rId3"/>
    <sheet name="Quick Calculator" sheetId="2" state="visible" r:id="rId4"/>
    <sheet name="TDS Register" sheetId="3" state="visible" r:id="rId5"/>
    <sheet name="Summary" sheetId="4" state="visible" r:id="rId6"/>
    <sheet name="TDS Rates" sheetId="5" state="visible" r:id="rId7"/>
    <sheet name="Setting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<sst xmlns="http://schemas.openxmlformats.org/spreadsheetml/2006/main" count="334" uniqueCount="262">
  <si>
    <t xml:space="preserve">MyFinMantra — TDS Calculator &amp; Interest (Income-tax Act, 2025)</t>
  </si>
  <si>
    <t xml:space="preserve">Client service format · Clear books. Confident business.</t>
  </si>
  <si>
    <t xml:space="preserve">Purpose</t>
  </si>
  <si>
    <t xml:space="preserve">Section-wise TDS on payments to residents under the Income-tax Act, 2025 (section 393, with the old 1961 Act section alongside), a TDS register that applies thresholds automatically, interest for late deduction and late payment under section 398, late fee under section 427, and a quarterly summary.</t>
  </si>
  <si>
    <t xml:space="preserve">Colour legend</t>
  </si>
  <si>
    <t xml:space="preserve">12,500</t>
  </si>
  <si>
    <t xml:space="preserve">Blue text on yellow = input. Type or paste your client's figures here.</t>
  </si>
  <si>
    <t xml:space="preserve">Formula</t>
  </si>
  <si>
    <t xml:space="preserve">Black text = formula. Don't overwrite; it updates automatically.</t>
  </si>
  <si>
    <t xml:space="preserve">Header</t>
  </si>
  <si>
    <t xml:space="preserve">Section and column headings.</t>
  </si>
  <si>
    <t xml:space="preserve">Steps</t>
  </si>
  <si>
    <t xml:space="preserve">Step 1</t>
  </si>
  <si>
    <t xml:space="preserve">On 'Settings', enter the deductor's name, TAN and the 'as on' date (defaults to today).</t>
  </si>
  <si>
    <t xml:space="preserve">Step 2</t>
  </si>
  <si>
    <t xml:space="preserve">Use 'Quick Calculator' for a single payment: choose the nature of payment, payee type and amount.</t>
  </si>
  <si>
    <t xml:space="preserve">Step 3</t>
  </si>
  <si>
    <t xml:space="preserve">For the month's payments, use 'TDS Register': one row per payment or credit. Thresholds, rate, TDS, due date and interest calculate automatically.</t>
  </si>
  <si>
    <t xml:space="preserve">Step 4</t>
  </si>
  <si>
    <t xml:space="preserve">Enter the date TDS was deducted and the date it was paid to see any interest due.</t>
  </si>
  <si>
    <t xml:space="preserve">Step 5</t>
  </si>
  <si>
    <t xml:space="preserve">On 'Summary', see TDS by section, the challans due and quarterly statement late fees.</t>
  </si>
  <si>
    <t xml:space="preserve">Notes</t>
  </si>
  <si>
    <t xml:space="preserve">Interest (section 398(3)(a)): 1% a month for late deduction (from the date tax was deductible to the date deducted) and 1.5% a month for late payment (from the date deducted to the date paid). Part of a month counts as a full month; months are counted as calendar months, as TRACES does.</t>
  </si>
  <si>
    <t xml:space="preserve">Late fee (section 427): ₹200 a day from the statement due date until filed, capped at the TDS for the quarter. Penalty under section 461 (₹10,000 to ₹1 lakh) is separate.</t>
  </si>
  <si>
    <t xml:space="preserve">No PAN: the higher of 20% or the applicable rate (5% for purchase of goods).</t>
  </si>
  <si>
    <t xml:space="preserve">Aggregate thresholds: once a payee's yearly total crosses the limit, TDS applies to the whole amount, including earlier payments that were below the limit — the register adds them to the crossing payment.</t>
  </si>
  <si>
    <t xml:space="preserve">Salary TDS (section 392) is calculated in the Payroll Calculator template. Payments to non-residents (section 393(2)) are not covered.</t>
  </si>
  <si>
    <t xml:space="preserve">Section references and payment codes are as published for Tax Year 2026-27; verify with the Act and Rules before relying on them.</t>
  </si>
  <si>
    <t xml:space="preserve">Sample figures are filled in so you can see how the format works. Replace them with your own data.</t>
  </si>
  <si>
    <t xml:space="preserve">Free template by MyFinMantra</t>
  </si>
  <si>
    <t xml:space="preserve">Accounting, GST, payroll and Virtual CFO services · www.myfinmantra.com · WhatsApp +91 97118 99555</t>
  </si>
  <si>
    <t xml:space="preserve">General template for guidance only — verify rates and rules for your case. Not professional advice.</t>
  </si>
  <si>
    <t xml:space="preserve">Quick TDS calculator</t>
  </si>
  <si>
    <t xml:space="preserve">One payment at a time</t>
  </si>
  <si>
    <t xml:space="preserve">Nature of payment</t>
  </si>
  <si>
    <t xml:space="preserve">Contractor / sub-contractor payments</t>
  </si>
  <si>
    <t xml:space="preserve">Payee type</t>
  </si>
  <si>
    <t xml:space="preserve">Firm / LLP / others</t>
  </si>
  <si>
    <t xml:space="preserve">PAN available?</t>
  </si>
  <si>
    <t xml:space="preserve">Yes</t>
  </si>
  <si>
    <t xml:space="preserve">Amount of this payment / credit (₹)</t>
  </si>
  <si>
    <t xml:space="preserve">Already paid to this payee this year, same nature (₹)</t>
  </si>
  <si>
    <t xml:space="preserve">Of which, TDS not yet deducted (₹)</t>
  </si>
  <si>
    <t xml:space="preserve">Date of payment or credit</t>
  </si>
  <si>
    <t xml:space="preserve">Result</t>
  </si>
  <si>
    <t xml:space="preserve">Old section (1961 Act)</t>
  </si>
  <si>
    <t xml:space="preserve">New section (Income-tax Act, 2025)</t>
  </si>
  <si>
    <t xml:space="preserve">Payment code</t>
  </si>
  <si>
    <t xml:space="preserve">Threshold</t>
  </si>
  <si>
    <t xml:space="preserve">Amount liable to TDS (₹)</t>
  </si>
  <si>
    <t xml:space="preserve">TDS rate</t>
  </si>
  <si>
    <t xml:space="preserve">TDS to deduct (₹)</t>
  </si>
  <si>
    <t xml:space="preserve">Deposit due by (if deducted on payment date)</t>
  </si>
  <si>
    <t xml:space="preserve">Interest and late fee</t>
  </si>
  <si>
    <t xml:space="preserve">TDS amount (₹)</t>
  </si>
  <si>
    <t xml:space="preserve">Date tax was deductible (payment / credit date)</t>
  </si>
  <si>
    <t xml:space="preserve">Date TDS was actually deducted</t>
  </si>
  <si>
    <t xml:space="preserve">Due date for deposit (month after deduction)</t>
  </si>
  <si>
    <t xml:space="preserve">Date TDS was paid</t>
  </si>
  <si>
    <t xml:space="preserve">Quarterly statement due date</t>
  </si>
  <si>
    <t xml:space="preserve">Date statement filed</t>
  </si>
  <si>
    <t xml:space="preserve">Months — late deduction</t>
  </si>
  <si>
    <t xml:space="preserve">Interest @ 1% a month — late deduction (₹)</t>
  </si>
  <si>
    <t xml:space="preserve">Months — late payment</t>
  </si>
  <si>
    <t xml:space="preserve">Interest @ 1.5% a month — late payment (₹)</t>
  </si>
  <si>
    <t xml:space="preserve">Total interest (₹)</t>
  </si>
  <si>
    <t xml:space="preserve">Days statement filed late</t>
  </si>
  <si>
    <t xml:space="preserve">Late fee u/s 427 (₹200 a day, max TDS) (₹)</t>
  </si>
  <si>
    <t xml:space="preserve">The late fee covers the TDS of the whole quarter's statement — use the quarter's total TDS for an exact figure (see 'Summary').</t>
  </si>
  <si>
    <t xml:space="preserve">TDS register</t>
  </si>
  <si>
    <t xml:space="preserve">Date of payment / credit</t>
  </si>
  <si>
    <t xml:space="preserve">Payee name</t>
  </si>
  <si>
    <t xml:space="preserve">PAN</t>
  </si>
  <si>
    <t xml:space="preserve">Amount (₹)</t>
  </si>
  <si>
    <t xml:space="preserve">New section (2025 Act)</t>
  </si>
  <si>
    <t xml:space="preserve">Old section</t>
  </si>
  <si>
    <t xml:space="preserve">Paid earlier this year (₹)</t>
  </si>
  <si>
    <t xml:space="preserve">Earlier, TDS not deducted (₹)</t>
  </si>
  <si>
    <t xml:space="preserve">Rate</t>
  </si>
  <si>
    <t xml:space="preserve">TDS (₹)</t>
  </si>
  <si>
    <t xml:space="preserve">Deposit due by</t>
  </si>
  <si>
    <t xml:space="preserve">Date TDS deducted</t>
  </si>
  <si>
    <t xml:space="preserve">Date TDS paid</t>
  </si>
  <si>
    <t xml:space="preserve">Challan / BSR ref.</t>
  </si>
  <si>
    <t xml:space="preserve">Interest 1% (₹)</t>
  </si>
  <si>
    <t xml:space="preserve">Interest 1.5% (₹)</t>
  </si>
  <si>
    <t xml:space="preserve">Status</t>
  </si>
  <si>
    <t xml:space="preserve">Key</t>
  </si>
  <si>
    <t xml:space="preserve">Sharma Contractors</t>
  </si>
  <si>
    <t xml:space="preserve">AAAFS1234K</t>
  </si>
  <si>
    <t xml:space="preserve">0510308 / 00045</t>
  </si>
  <si>
    <t xml:space="preserve">Rao &amp; Associates</t>
  </si>
  <si>
    <t xml:space="preserve">AAAFR5678L</t>
  </si>
  <si>
    <t xml:space="preserve">Professional fees, royalty, non-compete fees</t>
  </si>
  <si>
    <t xml:space="preserve">0510308 / 00051</t>
  </si>
  <si>
    <t xml:space="preserve">Mehta Properties</t>
  </si>
  <si>
    <t xml:space="preserve">ABCPM4321Q</t>
  </si>
  <si>
    <t xml:space="preserve">Individual / HUF</t>
  </si>
  <si>
    <t xml:space="preserve">Rent — land, building, furniture</t>
  </si>
  <si>
    <t xml:space="preserve">Quick Couriers</t>
  </si>
  <si>
    <t xml:space="preserve">No</t>
  </si>
  <si>
    <t xml:space="preserve">Commission or brokerage</t>
  </si>
  <si>
    <t xml:space="preserve">Total</t>
  </si>
  <si>
    <t xml:space="preserve">TDS summary</t>
  </si>
  <si>
    <t xml:space="preserve">By section, by month and by quarter</t>
  </si>
  <si>
    <t xml:space="preserve">New section</t>
  </si>
  <si>
    <t xml:space="preserve">Payments</t>
  </si>
  <si>
    <t xml:space="preserve">Amount paid (₹)</t>
  </si>
  <si>
    <t xml:space="preserve">Interest (₹)</t>
  </si>
  <si>
    <t xml:space="preserve">Month-wise challans</t>
  </si>
  <si>
    <t xml:space="preserve">Month (payment / credit)</t>
  </si>
  <si>
    <t xml:space="preserve">Due date</t>
  </si>
  <si>
    <t xml:space="preserve">TDS paid (₹)</t>
  </si>
  <si>
    <t xml:space="preserve">Balance (₹)</t>
  </si>
  <si>
    <t xml:space="preserve">Form 141 payments (rent and work paid by individuals / HUFs) are due within 30 days from the end of the month — see the register.</t>
  </si>
  <si>
    <t xml:space="preserve">Quarterly TDS statements and late fee (section 427)</t>
  </si>
  <si>
    <t xml:space="preserve">Quarter</t>
  </si>
  <si>
    <t xml:space="preserve">TDS in quarter (₹)</t>
  </si>
  <si>
    <t xml:space="preserve">Statement due date</t>
  </si>
  <si>
    <t xml:space="preserve">Date filed</t>
  </si>
  <si>
    <t xml:space="preserve">Days late</t>
  </si>
  <si>
    <t xml:space="preserve">Late fee (₹)</t>
  </si>
  <si>
    <t xml:space="preserve">Q1 Apr–Jun</t>
  </si>
  <si>
    <t xml:space="preserve">Q2 Jul–Sep</t>
  </si>
  <si>
    <t xml:space="preserve">Q3 Oct–Dec</t>
  </si>
  <si>
    <t xml:space="preserve">Q4 Jan–Mar</t>
  </si>
  <si>
    <t xml:space="preserve">If not yet filed, days late are counted to the 'as on' date. Penalty under section 461 (₹10,000 to ₹1 lakh) may apply separately.</t>
  </si>
  <si>
    <t xml:space="preserve">TDS rates — payments to residents</t>
  </si>
  <si>
    <t xml:space="preserve">Income-tax Act, 2025 · Tax Year 2026-27 · blue cells can be updated</t>
  </si>
  <si>
    <t xml:space="preserve">Threshold type</t>
  </si>
  <si>
    <t xml:space="preserve">Single / monthly limit (₹)</t>
  </si>
  <si>
    <t xml:space="preserve">Yearly limit (₹)</t>
  </si>
  <si>
    <t xml:space="preserve">Rate — individual / HUF</t>
  </si>
  <si>
    <t xml:space="preserve">Rate — company</t>
  </si>
  <si>
    <t xml:space="preserve">Rate — firm / others</t>
  </si>
  <si>
    <t xml:space="preserve">194C</t>
  </si>
  <si>
    <t xml:space="preserve">393(1) Table Sl. 6(i)</t>
  </si>
  <si>
    <t xml:space="preserve">1023 / 1024</t>
  </si>
  <si>
    <t xml:space="preserve">SA</t>
  </si>
  <si>
    <t xml:space="preserve">194J(b)</t>
  </si>
  <si>
    <t xml:space="preserve">393(1) Table Sl. 6(iii)</t>
  </si>
  <si>
    <t xml:space="preserve">1027</t>
  </si>
  <si>
    <t xml:space="preserve">AGG</t>
  </si>
  <si>
    <t xml:space="preserve">Fees for technical services, call-centre, film royalty</t>
  </si>
  <si>
    <t xml:space="preserve">194J(a)</t>
  </si>
  <si>
    <t xml:space="preserve">1026</t>
  </si>
  <si>
    <t xml:space="preserve">Director's fees (not salary)</t>
  </si>
  <si>
    <t xml:space="preserve">194J</t>
  </si>
  <si>
    <t xml:space="preserve">1028</t>
  </si>
  <si>
    <t xml:space="preserve">NONE</t>
  </si>
  <si>
    <t xml:space="preserve">194H</t>
  </si>
  <si>
    <t xml:space="preserve">393(1) Table Sl. 1(ii)</t>
  </si>
  <si>
    <t xml:space="preserve">1006</t>
  </si>
  <si>
    <t xml:space="preserve">Insurance commission</t>
  </si>
  <si>
    <t xml:space="preserve">194D</t>
  </si>
  <si>
    <t xml:space="preserve">393(1) Table Sl. 1(i)</t>
  </si>
  <si>
    <t xml:space="preserve">1005</t>
  </si>
  <si>
    <t xml:space="preserve">10% if the payee is a company</t>
  </si>
  <si>
    <t xml:space="preserve">Rent — plant, machinery, equipment</t>
  </si>
  <si>
    <t xml:space="preserve">194-I(a)</t>
  </si>
  <si>
    <t xml:space="preserve">393(1) Table Sl. 2(ii)</t>
  </si>
  <si>
    <t xml:space="preserve">1008</t>
  </si>
  <si>
    <t xml:space="preserve">PER</t>
  </si>
  <si>
    <t xml:space="preserve">Threshold is per month</t>
  </si>
  <si>
    <t xml:space="preserve">194-I(b)</t>
  </si>
  <si>
    <t xml:space="preserve">1009</t>
  </si>
  <si>
    <t xml:space="preserve">Rent paid by individual / HUF (not under audit)</t>
  </si>
  <si>
    <t xml:space="preserve">194-IB</t>
  </si>
  <si>
    <t xml:space="preserve">393(1) Table Sl. 2(i)</t>
  </si>
  <si>
    <t xml:space="preserve">Form 141</t>
  </si>
  <si>
    <t xml:space="preserve">Threshold is per month; deposit via Form 141</t>
  </si>
  <si>
    <t xml:space="preserve">Interest — bank / post office deposits (senior citizen)</t>
  </si>
  <si>
    <t xml:space="preserve">194A</t>
  </si>
  <si>
    <t xml:space="preserve">393(1) Table Sl. 5(ii)</t>
  </si>
  <si>
    <t xml:space="preserve">1020</t>
  </si>
  <si>
    <t xml:space="preserve">Interest — bank / post office deposits (others)</t>
  </si>
  <si>
    <t xml:space="preserve">1021</t>
  </si>
  <si>
    <t xml:space="preserve">Interest — other than banks (loans, deposits)</t>
  </si>
  <si>
    <t xml:space="preserve">393(1) Table Sl. 5(iii)</t>
  </si>
  <si>
    <t xml:space="preserve">1022</t>
  </si>
  <si>
    <t xml:space="preserve">Dividend</t>
  </si>
  <si>
    <t xml:space="preserve">194</t>
  </si>
  <si>
    <t xml:space="preserve">393(1) Table Sl. 7</t>
  </si>
  <si>
    <t xml:space="preserve">1029</t>
  </si>
  <si>
    <t xml:space="preserve">Income from mutual fund units</t>
  </si>
  <si>
    <t xml:space="preserve">194K</t>
  </si>
  <si>
    <t xml:space="preserve">393(1) Table Sl. 4(i)</t>
  </si>
  <si>
    <t xml:space="preserve">1013</t>
  </si>
  <si>
    <t xml:space="preserve">Purchase of goods (buyer turnover &gt; ₹10 crore)</t>
  </si>
  <si>
    <t xml:space="preserve">194Q</t>
  </si>
  <si>
    <t xml:space="preserve">393(1) Table Sl. 8(ii)</t>
  </si>
  <si>
    <t xml:space="preserve">1031</t>
  </si>
  <si>
    <t xml:space="preserve">EXCESS</t>
  </si>
  <si>
    <t xml:space="preserve">Only on purchases above ₹50 lakh from a seller in the year; 5% if no PAN</t>
  </si>
  <si>
    <t xml:space="preserve">Purchase of immovable property (₹50 lakh or more)</t>
  </si>
  <si>
    <t xml:space="preserve">194-IA</t>
  </si>
  <si>
    <t xml:space="preserve">393(1) Table Sl. 3(i)</t>
  </si>
  <si>
    <t xml:space="preserve">1011</t>
  </si>
  <si>
    <t xml:space="preserve">On higher of price and stamp duty value</t>
  </si>
  <si>
    <t xml:space="preserve">Work / professional fees paid by individual / HUF</t>
  </si>
  <si>
    <t xml:space="preserve">194M</t>
  </si>
  <si>
    <t xml:space="preserve">393(1) Table Sl. 6(ii)</t>
  </si>
  <si>
    <t xml:space="preserve">Deposit via Form 141</t>
  </si>
  <si>
    <t xml:space="preserve">E-commerce operator — sales of participants</t>
  </si>
  <si>
    <t xml:space="preserve">194-O</t>
  </si>
  <si>
    <t xml:space="preserve">393(1) Table Sl. 8(v)</t>
  </si>
  <si>
    <t xml:space="preserve">1035</t>
  </si>
  <si>
    <t xml:space="preserve">Individual / HUF sellers with sales up to ₹5 lakh excluded</t>
  </si>
  <si>
    <t xml:space="preserve">Benefit or perquisite of business</t>
  </si>
  <si>
    <t xml:space="preserve">194R</t>
  </si>
  <si>
    <t xml:space="preserve">393(1) Table Sl. 8(iv)</t>
  </si>
  <si>
    <t xml:space="preserve">1033</t>
  </si>
  <si>
    <t xml:space="preserve">Transfer of virtual digital asset</t>
  </si>
  <si>
    <t xml:space="preserve">194S</t>
  </si>
  <si>
    <t xml:space="preserve">393(1) Table Sl. 8(vi)</t>
  </si>
  <si>
    <t xml:space="preserve">1037</t>
  </si>
  <si>
    <t xml:space="preserve">Small-value exemptions apply</t>
  </si>
  <si>
    <t xml:space="preserve">Life insurance payout (income portion)</t>
  </si>
  <si>
    <t xml:space="preserve">194DA</t>
  </si>
  <si>
    <t xml:space="preserve">393(1) Table Sl. 8(i)</t>
  </si>
  <si>
    <t xml:space="preserve">1030</t>
  </si>
  <si>
    <t xml:space="preserve">Lottery, online games, crossword winnings</t>
  </si>
  <si>
    <t xml:space="preserve">194B</t>
  </si>
  <si>
    <t xml:space="preserve">393(3) Table Sl. 1</t>
  </si>
  <si>
    <t xml:space="preserve">1058</t>
  </si>
  <si>
    <t xml:space="preserve">Per transaction</t>
  </si>
  <si>
    <t xml:space="preserve">Commission on sale of lottery tickets</t>
  </si>
  <si>
    <t xml:space="preserve">194G</t>
  </si>
  <si>
    <t xml:space="preserve">393(3) Table Sl. 4</t>
  </si>
  <si>
    <t xml:space="preserve">1063</t>
  </si>
  <si>
    <t xml:space="preserve">Cash withdrawal from bank (above ₹1 crore)</t>
  </si>
  <si>
    <t xml:space="preserve">194N</t>
  </si>
  <si>
    <t xml:space="preserve">393(3) Table Sl. 5</t>
  </si>
  <si>
    <t xml:space="preserve">1065</t>
  </si>
  <si>
    <t xml:space="preserve">Higher limits for co-operative societies</t>
  </si>
  <si>
    <t xml:space="preserve">Partner's salary, commission, interest (by firm)</t>
  </si>
  <si>
    <t xml:space="preserve">194T</t>
  </si>
  <si>
    <t xml:space="preserve">393(3) Table Sl. 7</t>
  </si>
  <si>
    <t xml:space="preserve">1067</t>
  </si>
  <si>
    <t xml:space="preserve">Threshold types: AGG = TDS once the payee's yearly total exceeds the yearly limit (on the whole amount) · SA = single payment above the single limit, or yearly total above the yearly limit</t>
  </si>
  <si>
    <t xml:space="preserve">PER = each payment (or monthly rent) above the limit · EXCESS = only on the amount above the yearly limit · NONE = no threshold</t>
  </si>
  <si>
    <t xml:space="preserve">Sources: section 393 tables and payment codes as published for Tax Year 2026-27. Verify before use.</t>
  </si>
  <si>
    <t xml:space="preserve">Settings</t>
  </si>
  <si>
    <t xml:space="preserve">Deductor name</t>
  </si>
  <si>
    <t xml:space="preserve">Sample Services Pvt Ltd</t>
  </si>
  <si>
    <t xml:space="preserve">TAN</t>
  </si>
  <si>
    <t xml:space="preserve">DELS12345A</t>
  </si>
  <si>
    <t xml:space="preserve">Company</t>
  </si>
  <si>
    <t xml:space="preserve">Tax year start</t>
  </si>
  <si>
    <t xml:space="preserve">Tax year end</t>
  </si>
  <si>
    <t xml:space="preserve">As on date (for interest)</t>
  </si>
  <si>
    <t xml:space="preserve">Defaults to today; type a date to fix it</t>
  </si>
  <si>
    <t xml:space="preserve">Interest — late deduction (per month)</t>
  </si>
  <si>
    <t xml:space="preserve">Section 398(3)(a)(i)</t>
  </si>
  <si>
    <t xml:space="preserve">Interest — late payment (per month)</t>
  </si>
  <si>
    <t xml:space="preserve">Section 398(3)(a)(ii)</t>
  </si>
  <si>
    <t xml:space="preserve">Late fee per day (₹)</t>
  </si>
  <si>
    <t xml:space="preserve">Section 427</t>
  </si>
  <si>
    <t xml:space="preserve">No-PAN rate (minimum)</t>
  </si>
  <si>
    <t xml:space="preserve">Higher of this or the normal rate</t>
  </si>
  <si>
    <t xml:space="preserve">No-PAN rate — purchase of goods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</si>
</sst>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&gt;=10000000]##\,##\,##\,##0;[&gt;=100000]##\,##\,##0;##,##0"/>
    <numFmt numFmtId="166" formatCode="dd\-mmm\-yy"/>
    <numFmt numFmtId="167" formatCode="0.0%"/>
    <numFmt numFmtId="168" formatCode="0"/>
    <numFmt numFmtId="169" formatCode="mmm\-yyyy"/>
    <numFmt numFmtId="170" formatCode="0.0%;\-0.0%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F2E35"/>
      <name val="Arial"/>
      <family val="0"/>
      <charset val="1"/>
    </font>
    <font>
      <i val="true"/>
      <sz val="10"/>
      <color rgb="FF55666A"/>
      <name val="Arial"/>
      <family val="0"/>
      <charset val="1"/>
    </font>
    <font>
      <b val="true"/>
      <sz val="11"/>
      <color rgb="FF0F2E35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B45309"/>
      <name val="Arial"/>
      <family val="0"/>
      <charset val="1"/>
    </font>
    <font>
      <sz val="10"/>
      <color rgb="FF1B4650"/>
      <name val="Arial"/>
      <family val="0"/>
      <charset val="1"/>
    </font>
    <font>
      <i val="true"/>
      <sz val="9"/>
      <color rgb="FF999999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color rgb="FF55666A"/>
      <name val="Arial"/>
      <family val="0"/>
      <charset val="1"/>
    </font>
    <font>
      <b val="true"/>
      <sz val="11"/>
      <color rgb="FF1B4650"/>
      <name val="Arial"/>
      <family val="0"/>
      <charset val="1"/>
    </font>
    <font>
      <sz val="10"/>
      <color rgb="FFBBBBBB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7D6"/>
        <bgColor rgb="FFF4F7F6"/>
      </patternFill>
    </fill>
    <fill>
      <patternFill patternType="solid">
        <fgColor rgb="FF0F2E35"/>
        <bgColor rgb="FF003300"/>
      </patternFill>
    </fill>
    <fill>
      <patternFill patternType="solid">
        <fgColor rgb="FFF4F7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7E0DE"/>
      </left>
      <right style="thin">
        <color rgb="FFD7E0DE"/>
      </right>
      <top style="thin">
        <color rgb="FFD7E0DE"/>
      </top>
      <bottom style="thin">
        <color rgb="FFD7E0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2D7A59"/>
      </font>
    </dxf>
    <dxf>
      <font>
        <name val="Arial"/>
        <charset val="1"/>
        <family val="0"/>
        <b val="1"/>
        <color rgb="FFC0392B"/>
      </font>
    </dxf>
    <dxf>
      <font>
        <name val="Arial"/>
        <charset val="1"/>
        <family val="0"/>
        <color rgb="FFAAAAAA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AAAAAA"/>
      <rgbColor rgb="FFB45309"/>
      <rgbColor rgb="FFFFF7D6"/>
      <rgbColor rgb="FFF4F7F6"/>
      <rgbColor rgb="FF660066"/>
      <rgbColor rgb="FFFF8080"/>
      <rgbColor rgb="FF0066CC"/>
      <rgbColor rgb="FFD7E0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666A"/>
      <rgbColor rgb="FF999999"/>
      <rgbColor rgb="FF0F2E35"/>
      <rgbColor rgb="FF2D7A59"/>
      <rgbColor rgb="FF003300"/>
      <rgbColor rgb="FF333300"/>
      <rgbColor rgb="FFC0392B"/>
      <rgbColor rgb="FF993366"/>
      <rgbColor rgb="FF333399"/>
      <rgbColor rgb="FF1B46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myfinmantra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9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45" hidden="false" customHeight="true" outlineLevel="0" collapsed="false">
      <c r="B5" s="3" t="s">
        <v>2</v>
      </c>
      <c r="C5" s="4" t="s">
        <v>3</v>
      </c>
    </row>
    <row r="7" customFormat="false" ht="15" hidden="false" customHeight="false" outlineLevel="0" collapsed="false">
      <c r="B7" s="3" t="s">
        <v>4</v>
      </c>
    </row>
    <row r="8" customFormat="false" ht="15" hidden="false" customHeight="false" outlineLevel="0" collapsed="false">
      <c r="B8" s="5" t="s">
        <v>5</v>
      </c>
      <c r="C8" s="6" t="s">
        <v>6</v>
      </c>
    </row>
    <row r="9" customFormat="false" ht="15" hidden="false" customHeight="false" outlineLevel="0" collapsed="false">
      <c r="B9" s="7" t="s">
        <v>7</v>
      </c>
      <c r="C9" s="6" t="s">
        <v>8</v>
      </c>
    </row>
    <row r="10" customFormat="false" ht="15" hidden="false" customHeight="false" outlineLevel="0" collapsed="false">
      <c r="B10" s="8" t="s">
        <v>9</v>
      </c>
      <c r="C10" s="6" t="s">
        <v>10</v>
      </c>
    </row>
    <row r="12" customFormat="false" ht="15" hidden="false" customHeight="false" outlineLevel="0" collapsed="false">
      <c r="B12" s="3" t="s">
        <v>11</v>
      </c>
    </row>
    <row r="13" customFormat="false" ht="15.75" hidden="false" customHeight="true" outlineLevel="0" collapsed="false">
      <c r="B13" s="9" t="s">
        <v>12</v>
      </c>
      <c r="C13" s="10" t="s">
        <v>13</v>
      </c>
    </row>
    <row r="14" customFormat="false" ht="30" hidden="false" customHeight="true" outlineLevel="0" collapsed="false">
      <c r="B14" s="9" t="s">
        <v>14</v>
      </c>
      <c r="C14" s="10" t="s">
        <v>15</v>
      </c>
    </row>
    <row r="15" customFormat="false" ht="30" hidden="false" customHeight="true" outlineLevel="0" collapsed="false">
      <c r="B15" s="9" t="s">
        <v>16</v>
      </c>
      <c r="C15" s="10" t="s">
        <v>17</v>
      </c>
    </row>
    <row r="16" customFormat="false" ht="15.75" hidden="false" customHeight="true" outlineLevel="0" collapsed="false">
      <c r="B16" s="9" t="s">
        <v>18</v>
      </c>
      <c r="C16" s="10" t="s">
        <v>19</v>
      </c>
    </row>
    <row r="17" customFormat="false" ht="15.75" hidden="false" customHeight="true" outlineLevel="0" collapsed="false">
      <c r="B17" s="9" t="s">
        <v>20</v>
      </c>
      <c r="C17" s="10" t="s">
        <v>21</v>
      </c>
    </row>
    <row r="19" customFormat="false" ht="15" hidden="false" customHeight="false" outlineLevel="0" collapsed="false">
      <c r="B19" s="3" t="s">
        <v>22</v>
      </c>
    </row>
    <row r="20" customFormat="false" ht="30" hidden="false" customHeight="true" outlineLevel="0" collapsed="false">
      <c r="C20" s="11" t="s">
        <v>23</v>
      </c>
    </row>
    <row r="21" customFormat="false" ht="30" hidden="false" customHeight="true" outlineLevel="0" collapsed="false">
      <c r="C21" s="11" t="s">
        <v>24</v>
      </c>
    </row>
    <row r="22" customFormat="false" ht="15.75" hidden="false" customHeight="true" outlineLevel="0" collapsed="false">
      <c r="C22" s="11" t="s">
        <v>25</v>
      </c>
    </row>
    <row r="23" customFormat="false" ht="30" hidden="false" customHeight="true" outlineLevel="0" collapsed="false">
      <c r="C23" s="11" t="s">
        <v>26</v>
      </c>
    </row>
    <row r="24" customFormat="false" ht="30" hidden="false" customHeight="true" outlineLevel="0" collapsed="false">
      <c r="C24" s="11" t="s">
        <v>27</v>
      </c>
    </row>
    <row r="25" customFormat="false" ht="30" hidden="false" customHeight="true" outlineLevel="0" collapsed="false">
      <c r="C25" s="11" t="s">
        <v>28</v>
      </c>
    </row>
    <row r="27" customFormat="false" ht="15" hidden="false" customHeight="false" outlineLevel="0" collapsed="false">
      <c r="B27" s="12" t="s">
        <v>29</v>
      </c>
    </row>
    <row r="29" customFormat="false" ht="15" hidden="false" customHeight="false" outlineLevel="0" collapsed="false">
      <c r="B29" s="3" t="s">
        <v>30</v>
      </c>
    </row>
    <row r="30" customFormat="false" ht="15" hidden="false" customHeight="false" outlineLevel="0" collapsed="false">
      <c r="B30" s="13" t="s">
        <v>31</v>
      </c>
    </row>
    <row r="31" customFormat="false" ht="15" hidden="false" customHeight="false" outlineLevel="0" collapsed="false">
      <c r="B31" s="14" t="s">
        <v>32</v>
      </c>
    </row>
  </sheetData>
  <hyperlinks>
    <hyperlink ref="B30" r:id="rId1" display="Accounting, GST, payroll and Virtual CFO services · www.myfinmantra.com · WhatsApp +91 97118 99555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3" min="3" style="0" width="46"/>
  </cols>
  <sheetData>
    <row r="2" customFormat="false" ht="19.7" hidden="false" customHeight="false" outlineLevel="0" collapsed="false">
      <c r="B2" s="1" t="s">
        <v>33</v>
      </c>
    </row>
    <row r="3" customFormat="false" ht="15" hidden="false" customHeight="false" outlineLevel="0" collapsed="false">
      <c r="B3" s="2" t="s">
        <v>34</v>
      </c>
    </row>
    <row r="5" customFormat="false" ht="15" hidden="false" customHeight="false" outlineLevel="0" collapsed="false">
      <c r="B5" s="15" t="s">
        <v>35</v>
      </c>
      <c r="C5" s="5" t="s">
        <v>36</v>
      </c>
    </row>
    <row r="6" customFormat="false" ht="15" hidden="false" customHeight="false" outlineLevel="0" collapsed="false">
      <c r="B6" s="15" t="s">
        <v>37</v>
      </c>
      <c r="C6" s="5" t="s">
        <v>38</v>
      </c>
    </row>
    <row r="7" customFormat="false" ht="15" hidden="false" customHeight="false" outlineLevel="0" collapsed="false">
      <c r="B7" s="15" t="s">
        <v>39</v>
      </c>
      <c r="C7" s="5" t="s">
        <v>40</v>
      </c>
    </row>
    <row r="8" customFormat="false" ht="15" hidden="false" customHeight="false" outlineLevel="0" collapsed="false">
      <c r="B8" s="15" t="s">
        <v>41</v>
      </c>
      <c r="C8" s="16" t="n">
        <v>45000</v>
      </c>
    </row>
    <row r="9" customFormat="false" ht="15" hidden="false" customHeight="false" outlineLevel="0" collapsed="false">
      <c r="B9" s="15" t="s">
        <v>42</v>
      </c>
      <c r="C9" s="16" t="n">
        <v>70000</v>
      </c>
    </row>
    <row r="10" customFormat="false" ht="15" hidden="false" customHeight="false" outlineLevel="0" collapsed="false">
      <c r="B10" s="15" t="s">
        <v>43</v>
      </c>
      <c r="C10" s="16" t="n">
        <v>70000</v>
      </c>
    </row>
    <row r="11" customFormat="false" ht="15" hidden="false" customHeight="false" outlineLevel="0" collapsed="false">
      <c r="B11" s="15" t="s">
        <v>44</v>
      </c>
      <c r="C11" s="17" t="n">
        <v>46310</v>
      </c>
    </row>
    <row r="12" customFormat="false" ht="30" hidden="false" customHeight="true" outlineLevel="0" collapsed="false">
      <c r="B12" s="18" t="s">
        <v>45</v>
      </c>
      <c r="C12" s="19"/>
    </row>
    <row r="13" customFormat="false" ht="15" hidden="false" customHeight="false" outlineLevel="0" collapsed="false">
      <c r="B13" s="7" t="s">
        <v>46</v>
      </c>
      <c r="C13" s="20" t="str">
        <f aca="false">INDEX('TDS Rates'!$C$6:$C$40,MATCH($C$5,'TDS Rates'!$B$6:$B$40,0))</f>
        <v>194C</v>
      </c>
    </row>
    <row r="14" customFormat="false" ht="15" hidden="false" customHeight="false" outlineLevel="0" collapsed="false">
      <c r="B14" s="7" t="s">
        <v>47</v>
      </c>
      <c r="C14" s="20" t="str">
        <f aca="false">INDEX('TDS Rates'!$D$6:$D$40,MATCH($C$5,'TDS Rates'!$B$6:$B$40,0))</f>
        <v>393(1) Table Sl. 6(i)</v>
      </c>
    </row>
    <row r="15" customFormat="false" ht="15" hidden="false" customHeight="false" outlineLevel="0" collapsed="false">
      <c r="B15" s="7" t="s">
        <v>48</v>
      </c>
      <c r="C15" s="20" t="str">
        <f aca="false">INDEX('TDS Rates'!$E$6:$E$40,MATCH($C$5,'TDS Rates'!$B$6:$B$40,0))</f>
        <v>1023 / 1024</v>
      </c>
    </row>
    <row r="16" customFormat="false" ht="15" hidden="false" customHeight="false" outlineLevel="0" collapsed="false">
      <c r="B16" s="7" t="s">
        <v>49</v>
      </c>
      <c r="C16" s="20" t="str">
        <f aca="false">IF(INDEX('TDS Rates'!$F$6:$F$40,MATCH($C$5,'TDS Rates'!$B$6:$B$40,0))="NONE","No threshold",IF(INDEX('TDS Rates'!$F$6:$F$40,MATCH($C$5,'TDS Rates'!$B$6:$B$40,0))="PER","Above ₹"&amp;TEXT(INDEX('TDS Rates'!$G$6:$G$40,MATCH($C$5,'TDS Rates'!$B$6:$B$40,0)),"#,##0")&amp;" per payment / month",IF(INDEX('TDS Rates'!$F$6:$F$40,MATCH($C$5,'TDS Rates'!$B$6:$B$40,0))="EXCESS","Only on amount above ₹"&amp;TEXT(INDEX('TDS Rates'!$H$6:$H$40,MATCH($C$5,'TDS Rates'!$B$6:$B$40,0)),"#,##0")&amp;" a year",IF(INDEX('TDS Rates'!$F$6:$F$40,MATCH($C$5,'TDS Rates'!$B$6:$B$40,0))="SA","Above ₹"&amp;TEXT(INDEX('TDS Rates'!$G$6:$G$40,MATCH($C$5,'TDS Rates'!$B$6:$B$40,0)),"#,##0")&amp;" per payment or ₹"&amp;TEXT(INDEX('TDS Rates'!$H$6:$H$40,MATCH($C$5,'TDS Rates'!$B$6:$B$40,0)),"#,##0")&amp;" a year","Above ₹"&amp;TEXT(INDEX('TDS Rates'!$H$6:$H$40,MATCH($C$5,'TDS Rates'!$B$6:$B$40,0)),"#,##0")&amp;" a year"))))</f>
        <v>Above ₹30,000 per payment or ₹100,000 a year</v>
      </c>
    </row>
    <row r="17" customFormat="false" ht="15" hidden="false" customHeight="false" outlineLevel="0" collapsed="false">
      <c r="B17" s="7" t="s">
        <v>50</v>
      </c>
      <c r="C17" s="21" t="n">
        <f aca="false">IF(INDEX('TDS Rates'!$F$6:$F$40,MATCH($C$5,'TDS Rates'!$B$6:$B$40,0))="NONE",$C$8,IF(INDEX('TDS Rates'!$F$6:$F$40,MATCH($C$5,'TDS Rates'!$B$6:$B$40,0))="PER",IF($C$8&gt;INDEX('TDS Rates'!$G$6:$G$40,MATCH($C$5,'TDS Rates'!$B$6:$B$40,0)),$C$8,0),IF(INDEX('TDS Rates'!$F$6:$F$40,MATCH($C$5,'TDS Rates'!$B$6:$B$40,0))="EXCESS",MAX(0,$C$9+$C$8-INDEX('TDS Rates'!$H$6:$H$40,MATCH($C$5,'TDS Rates'!$B$6:$B$40,0)))-MAX(0,$C$9-INDEX('TDS Rates'!$H$6:$H$40,MATCH($C$5,'TDS Rates'!$B$6:$B$40,0))),IF(INDEX('TDS Rates'!$F$6:$F$40,MATCH($C$5,'TDS Rates'!$B$6:$B$40,0))="SA",IF($C$9+$C$8&gt;INDEX('TDS Rates'!$H$6:$H$40,MATCH($C$5,'TDS Rates'!$B$6:$B$40,0)),$C$8+$C$10,IF($C$8&gt;INDEX('TDS Rates'!$G$6:$G$40,MATCH($C$5,'TDS Rates'!$B$6:$B$40,0)),$C$8,0)),IF($C$9+$C$8&gt;INDEX('TDS Rates'!$H$6:$H$40,MATCH($C$5,'TDS Rates'!$B$6:$B$40,0)),$C$8+$C$10,0)))))</f>
        <v>115000</v>
      </c>
    </row>
    <row r="18" customFormat="false" ht="15" hidden="false" customHeight="false" outlineLevel="0" collapsed="false">
      <c r="B18" s="7" t="s">
        <v>51</v>
      </c>
      <c r="C18" s="22" t="n">
        <f aca="false">IF($C$7="No",IF(INDEX('TDS Rates'!$C$6:$C$40,MATCH($C$5,'TDS Rates'!$B$6:$B$40,0))="194Q",Settings!$C$14,MAX(Settings!$C$13,IF($C$6="Individual / HUF",INDEX('TDS Rates'!$I$6:$I$40,MATCH($C$5,'TDS Rates'!$B$6:$B$40,0)),IF($C$6="Company",INDEX('TDS Rates'!$J$6:$J$40,MATCH($C$5,'TDS Rates'!$B$6:$B$40,0)),INDEX('TDS Rates'!$K$6:$K$40,MATCH($C$5,'TDS Rates'!$B$6:$B$40,0)))))),IF($C$6="Individual / HUF",INDEX('TDS Rates'!$I$6:$I$40,MATCH($C$5,'TDS Rates'!$B$6:$B$40,0)),IF($C$6="Company",INDEX('TDS Rates'!$J$6:$J$40,MATCH($C$5,'TDS Rates'!$B$6:$B$40,0)),INDEX('TDS Rates'!$K$6:$K$40,MATCH($C$5,'TDS Rates'!$B$6:$B$40,0)))))</f>
        <v>0.02</v>
      </c>
    </row>
    <row r="19" customFormat="false" ht="15" hidden="false" customHeight="false" outlineLevel="0" collapsed="false">
      <c r="B19" s="15" t="s">
        <v>52</v>
      </c>
      <c r="C19" s="23" t="n">
        <f aca="false">ROUND(C17*C18,0)</f>
        <v>2300</v>
      </c>
    </row>
    <row r="20" customFormat="false" ht="15" hidden="false" customHeight="false" outlineLevel="0" collapsed="false">
      <c r="B20" s="7" t="s">
        <v>53</v>
      </c>
      <c r="C20" s="24" t="n">
        <f aca="false">IF(INDEX('TDS Rates'!$E$6:$E$40,MATCH($C$5,'TDS Rates'!$B$6:$B$40,0))="Form 141",EOMONTH($C$11,0)+30,IF(MONTH($C$11)=3,DATE(YEAR($C$11),4,30),DATE(YEAR($C$11),MONTH($C$11)+1,7)))</f>
        <v>46333</v>
      </c>
    </row>
    <row r="21" customFormat="false" ht="15" hidden="false" customHeight="false" outlineLevel="0" collapsed="false">
      <c r="B21" s="7" t="s">
        <v>22</v>
      </c>
      <c r="C21" s="20" t="str">
        <f aca="false">IF(INDEX('TDS Rates'!$L$6:$L$40,MATCH($C$5,'TDS Rates'!$B$6:$B$40,0))="","",INDEX('TDS Rates'!$L$6:$L$40,MATCH($C$5,'TDS Rates'!$B$6:$B$40,0)))</f>
        <v/>
      </c>
    </row>
    <row r="24" customFormat="false" ht="15" hidden="false" customHeight="false" outlineLevel="0" collapsed="false">
      <c r="B24" s="3" t="s">
        <v>54</v>
      </c>
    </row>
    <row r="25" customFormat="false" ht="15" hidden="false" customHeight="false" outlineLevel="0" collapsed="false">
      <c r="B25" s="7" t="s">
        <v>55</v>
      </c>
      <c r="C25" s="25" t="n">
        <f aca="false">C19</f>
        <v>2300</v>
      </c>
    </row>
    <row r="26" customFormat="false" ht="15" hidden="false" customHeight="false" outlineLevel="0" collapsed="false">
      <c r="B26" s="7" t="s">
        <v>56</v>
      </c>
      <c r="C26" s="26" t="n">
        <f aca="false">$C$11</f>
        <v>46310</v>
      </c>
    </row>
    <row r="27" customFormat="false" ht="15" hidden="false" customHeight="false" outlineLevel="0" collapsed="false">
      <c r="B27" s="7" t="s">
        <v>57</v>
      </c>
      <c r="C27" s="17" t="n">
        <v>46329</v>
      </c>
    </row>
    <row r="28" customFormat="false" ht="15" hidden="false" customHeight="false" outlineLevel="0" collapsed="false">
      <c r="B28" s="7" t="s">
        <v>58</v>
      </c>
      <c r="C28" s="27" t="n">
        <f aca="false">IF(INDEX('TDS Rates'!$E$6:$E$40,MATCH($C$5,'TDS Rates'!$B$6:$B$40,0))="Form 141",EOMONTH(C27,0)+30,IF(MONTH(C27)=3,DATE(YEAR(C27),4,30),DATE(YEAR(C27),MONTH(C27)+1,7)))</f>
        <v>46363</v>
      </c>
    </row>
    <row r="29" customFormat="false" ht="15" hidden="false" customHeight="false" outlineLevel="0" collapsed="false">
      <c r="B29" s="7" t="s">
        <v>59</v>
      </c>
      <c r="C29" s="17" t="n">
        <v>46366</v>
      </c>
    </row>
    <row r="30" customFormat="false" ht="15" hidden="false" customHeight="false" outlineLevel="0" collapsed="false">
      <c r="B30" s="7" t="s">
        <v>60</v>
      </c>
      <c r="C30" s="17" t="n">
        <v>46418</v>
      </c>
    </row>
    <row r="31" customFormat="false" ht="15" hidden="false" customHeight="false" outlineLevel="0" collapsed="false">
      <c r="B31" s="7" t="s">
        <v>61</v>
      </c>
      <c r="C31" s="17" t="n">
        <v>46427</v>
      </c>
    </row>
    <row r="33" customFormat="false" ht="30" hidden="false" customHeight="true" outlineLevel="0" collapsed="false">
      <c r="B33" s="18" t="s">
        <v>45</v>
      </c>
      <c r="C33" s="19"/>
    </row>
    <row r="34" customFormat="false" ht="15" hidden="false" customHeight="false" outlineLevel="0" collapsed="false">
      <c r="B34" s="7" t="s">
        <v>62</v>
      </c>
      <c r="C34" s="28" t="n">
        <f aca="false">IF(C27&lt;=C26,0,((YEAR(C27)-YEAR(C26))*12+MONTH(C27)-MONTH(C26)+1))</f>
        <v>2</v>
      </c>
    </row>
    <row r="35" customFormat="false" ht="15" hidden="false" customHeight="false" outlineLevel="0" collapsed="false">
      <c r="B35" s="7" t="s">
        <v>63</v>
      </c>
      <c r="C35" s="29" t="n">
        <f aca="false">ROUND(C25*Settings!$C$10*C34,0)</f>
        <v>46</v>
      </c>
    </row>
    <row r="36" customFormat="false" ht="15" hidden="false" customHeight="false" outlineLevel="0" collapsed="false">
      <c r="B36" s="7" t="s">
        <v>64</v>
      </c>
      <c r="C36" s="28" t="n">
        <f aca="false">IF(C29&lt;=C28,0,((YEAR(C29)-YEAR(C27))*12+MONTH(C29)-MONTH(C27)+1))</f>
        <v>2</v>
      </c>
    </row>
    <row r="37" customFormat="false" ht="15" hidden="false" customHeight="false" outlineLevel="0" collapsed="false">
      <c r="B37" s="7" t="s">
        <v>65</v>
      </c>
      <c r="C37" s="29" t="n">
        <f aca="false">ROUND(C25*Settings!$C$11*C36,0)</f>
        <v>69</v>
      </c>
    </row>
    <row r="38" customFormat="false" ht="15" hidden="false" customHeight="false" outlineLevel="0" collapsed="false">
      <c r="B38" s="15" t="s">
        <v>66</v>
      </c>
      <c r="C38" s="30" t="n">
        <f aca="false">C35+C37</f>
        <v>115</v>
      </c>
    </row>
    <row r="39" customFormat="false" ht="15" hidden="false" customHeight="false" outlineLevel="0" collapsed="false">
      <c r="B39" s="7" t="s">
        <v>67</v>
      </c>
      <c r="C39" s="28" t="n">
        <f aca="false">MAX(0,C31-C30)</f>
        <v>9</v>
      </c>
    </row>
    <row r="40" customFormat="false" ht="15" hidden="false" customHeight="false" outlineLevel="0" collapsed="false">
      <c r="B40" s="15" t="s">
        <v>68</v>
      </c>
      <c r="C40" s="30" t="n">
        <f aca="false">MIN(C39*Settings!$C$12,C25)</f>
        <v>1800</v>
      </c>
    </row>
    <row r="42" customFormat="false" ht="15" hidden="false" customHeight="false" outlineLevel="0" collapsed="false">
      <c r="B42" s="31" t="s">
        <v>69</v>
      </c>
    </row>
  </sheetData>
  <dataValidations count="3">
    <dataValidation allowBlank="true" errorStyle="stop" operator="between" showDropDown="false" showErrorMessage="false" showInputMessage="false" sqref="C5" type="list">
      <formula1>'TDS Rates'!$B$6:$B$40</formula1>
      <formula2>0</formula2>
    </dataValidation>
    <dataValidation allowBlank="true" errorStyle="stop" operator="between" showDropDown="false" showErrorMessage="false" showInputMessage="false" sqref="C6" type="list">
      <formula1>Settings!$L$5:$L$7</formula1>
      <formula2>0</formula2>
    </dataValidation>
    <dataValidation allowBlank="true" errorStyle="stop" operator="between" showDropDown="false" showErrorMessage="false" showInputMessage="false" sqref="C7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AA3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8"/>
    <col collapsed="false" customWidth="true" hidden="false" outlineLevel="0" max="7" min="7" style="0" width="40"/>
    <col collapsed="false" customWidth="true" hidden="false" outlineLevel="0" max="8" min="8" style="0" width="12"/>
    <col collapsed="false" customWidth="true" hidden="false" outlineLevel="0" max="9" min="9" style="0" width="18"/>
    <col collapsed="false" customWidth="true" hidden="false" outlineLevel="0" max="11" min="10" style="0" width="9"/>
    <col collapsed="false" customWidth="true" hidden="false" outlineLevel="0" max="14" min="12" style="0" width="12"/>
    <col collapsed="false" customWidth="true" hidden="false" outlineLevel="0" max="15" min="15" style="0" width="7"/>
    <col collapsed="false" customWidth="true" hidden="false" outlineLevel="0" max="16" min="16" style="0" width="10"/>
    <col collapsed="false" customWidth="true" hidden="false" outlineLevel="0" max="19" min="17" style="0" width="11"/>
    <col collapsed="false" customWidth="true" hidden="false" outlineLevel="0" max="20" min="20" style="0" width="14"/>
    <col collapsed="false" customWidth="true" hidden="false" outlineLevel="0" max="21" min="21" style="0" width="8"/>
    <col collapsed="false" customWidth="true" hidden="false" outlineLevel="0" max="22" min="22" style="0" width="10"/>
    <col collapsed="false" customWidth="true" hidden="false" outlineLevel="0" max="23" min="23" style="0" width="8"/>
    <col collapsed="false" customWidth="true" hidden="false" outlineLevel="0" max="25" min="24" style="0" width="10"/>
    <col collapsed="false" customWidth="true" hidden="false" outlineLevel="0" max="26" min="26" style="0" width="16"/>
    <col collapsed="false" customWidth="true" hidden="true" outlineLevel="0" max="27" min="27" style="0" width="4"/>
  </cols>
  <sheetData>
    <row r="2" customFormat="false" ht="19.7" hidden="false" customHeight="false" outlineLevel="0" collapsed="false">
      <c r="B2" s="1" t="s">
        <v>70</v>
      </c>
    </row>
    <row r="3" customFormat="false" ht="15" hidden="false" customHeight="false" outlineLevel="0" collapsed="false">
      <c r="B3" s="32" t="str">
        <f aca="false">Settings!$C$5&amp;"  ·  TAN "&amp;Settings!$C$6&amp;"  ·  as on "&amp;TEXT(Settings!$C$9,"dd-mmm-yyyy")</f>
        <v>Sample Services Pvt Ltd  ·  TAN DELS12345A  ·  as on 27-Oct-2026</v>
      </c>
    </row>
    <row r="5" customFormat="false" ht="43.5" hidden="false" customHeight="true" outlineLevel="0" collapsed="false">
      <c r="B5" s="18" t="s">
        <v>71</v>
      </c>
      <c r="C5" s="19" t="s">
        <v>72</v>
      </c>
      <c r="D5" s="19" t="s">
        <v>73</v>
      </c>
      <c r="E5" s="19" t="s">
        <v>37</v>
      </c>
      <c r="F5" s="19" t="s">
        <v>39</v>
      </c>
      <c r="G5" s="19" t="s">
        <v>35</v>
      </c>
      <c r="H5" s="19" t="s">
        <v>74</v>
      </c>
      <c r="I5" s="19" t="s">
        <v>75</v>
      </c>
      <c r="J5" s="19" t="s">
        <v>76</v>
      </c>
      <c r="K5" s="19" t="s">
        <v>48</v>
      </c>
      <c r="L5" s="19" t="s">
        <v>77</v>
      </c>
      <c r="M5" s="19" t="s">
        <v>78</v>
      </c>
      <c r="N5" s="19" t="s">
        <v>50</v>
      </c>
      <c r="O5" s="19" t="s">
        <v>79</v>
      </c>
      <c r="P5" s="19" t="s">
        <v>80</v>
      </c>
      <c r="Q5" s="19" t="s">
        <v>81</v>
      </c>
      <c r="R5" s="19" t="s">
        <v>82</v>
      </c>
      <c r="S5" s="19" t="s">
        <v>83</v>
      </c>
      <c r="T5" s="19" t="s">
        <v>84</v>
      </c>
      <c r="U5" s="19" t="s">
        <v>62</v>
      </c>
      <c r="V5" s="19" t="s">
        <v>85</v>
      </c>
      <c r="W5" s="19" t="s">
        <v>64</v>
      </c>
      <c r="X5" s="19" t="s">
        <v>86</v>
      </c>
      <c r="Y5" s="19" t="s">
        <v>66</v>
      </c>
      <c r="Z5" s="19" t="s">
        <v>87</v>
      </c>
      <c r="AA5" s="19" t="s">
        <v>88</v>
      </c>
    </row>
    <row r="6" customFormat="false" ht="15" hidden="false" customHeight="false" outlineLevel="0" collapsed="false">
      <c r="B6" s="17" t="n">
        <v>46183</v>
      </c>
      <c r="C6" s="5" t="s">
        <v>89</v>
      </c>
      <c r="D6" s="5" t="s">
        <v>90</v>
      </c>
      <c r="E6" s="5" t="s">
        <v>38</v>
      </c>
      <c r="F6" s="5" t="s">
        <v>40</v>
      </c>
      <c r="G6" s="5" t="s">
        <v>36</v>
      </c>
      <c r="H6" s="16" t="n">
        <v>25000</v>
      </c>
      <c r="I6" s="7" t="str">
        <f aca="false">IF(OR(G6="",H6=""),"",IFERROR(INDEX('TDS Rates'!$D$6:$D$40,MATCH(G6,'TDS Rates'!$B$6:$B$40,0)),"Check nature"))</f>
        <v>393(1) Table Sl. 6(i)</v>
      </c>
      <c r="J6" s="7" t="str">
        <f aca="false">IF(OR(G6="",H6=""),"",IFERROR(INDEX('TDS Rates'!$C$6:$C$40,MATCH(G6,'TDS Rates'!$B$6:$B$40,0)),""))</f>
        <v>194C</v>
      </c>
      <c r="K6" s="7" t="str">
        <f aca="false">IF(OR(G6="",H6=""),"",IFERROR(INDEX('TDS Rates'!$E$6:$E$40,MATCH(G6,'TDS Rates'!$B$6:$B$40,0)),""))</f>
        <v>1023 / 1024</v>
      </c>
      <c r="L6" s="29" t="n">
        <f aca="false">IF(OR(G6="",H6=""),"",0)</f>
        <v>0</v>
      </c>
      <c r="M6" s="29" t="n">
        <f aca="false">IF(OR(G6="",H6=""),"",0)</f>
        <v>0</v>
      </c>
      <c r="N6" s="29" t="n">
        <f aca="false">IF(OR(G6="",H6=""),"",IFERROR(IF(INDEX('TDS Rates'!$F$6:$F$40,MATCH(G6,'TDS Rates'!$B$6:$B$40,0))="NONE",H6,IF(INDEX('TDS Rates'!$F$6:$F$40,MATCH(G6,'TDS Rates'!$B$6:$B$40,0))="PER",IF(H6&gt;INDEX('TDS Rates'!$G$6:$G$40,MATCH(G6,'TDS Rates'!$B$6:$B$40,0)),H6,0),IF(INDEX('TDS Rates'!$F$6:$F$40,MATCH(G6,'TDS Rates'!$B$6:$B$40,0))="EXCESS",MAX(0,L6+H6-INDEX('TDS Rates'!$H$6:$H$40,MATCH(G6,'TDS Rates'!$B$6:$B$40,0)))-MAX(0,L6-INDEX('TDS Rates'!$H$6:$H$40,MATCH(G6,'TDS Rates'!$B$6:$B$40,0))),IF(INDEX('TDS Rates'!$F$6:$F$40,MATCH(G6,'TDS Rates'!$B$6:$B$40,0))="SA",IF(L6+H6&gt;INDEX('TDS Rates'!$H$6:$H$40,MATCH(G6,'TDS Rates'!$B$6:$B$40,0)),H6+M6,IF(H6&gt;INDEX('TDS Rates'!$G$6:$G$40,MATCH(G6,'TDS Rates'!$B$6:$B$40,0)),H6,0)),IF(L6+H6&gt;INDEX('TDS Rates'!$H$6:$H$40,MATCH(G6,'TDS Rates'!$B$6:$B$40,0)),H6+M6,0))))),0))</f>
        <v>0</v>
      </c>
      <c r="O6" s="33" t="n">
        <f aca="false">IF(OR(G6="",H6=""),"",IFERROR(IF(F6="No",IF(INDEX('TDS Rates'!$C$6:$C$40,MATCH(G6,'TDS Rates'!$B$6:$B$40,0))="194Q",Settings!$C$14,MAX(Settings!$C$13,IF(E6="Individual / HUF",INDEX('TDS Rates'!$I$6:$I$40,MATCH(G6,'TDS Rates'!$B$6:$B$40,0)),IF(E6="Company",INDEX('TDS Rates'!$J$6:$J$40,MATCH(G6,'TDS Rates'!$B$6:$B$40,0)),INDEX('TDS Rates'!$K$6:$K$40,MATCH(G6,'TDS Rates'!$B$6:$B$40,0)))))),IF(E6="Individual / HUF",INDEX('TDS Rates'!$I$6:$I$40,MATCH(G6,'TDS Rates'!$B$6:$B$40,0)),IF(E6="Company",INDEX('TDS Rates'!$J$6:$J$40,MATCH(G6,'TDS Rates'!$B$6:$B$40,0)),INDEX('TDS Rates'!$K$6:$K$40,MATCH(G6,'TDS Rates'!$B$6:$B$40,0))))),0))</f>
        <v>0.02</v>
      </c>
      <c r="P6" s="34" t="n">
        <f aca="false">IF(OR(G6="",H6=""),"",ROUND(N6*O6,0))</f>
        <v>0</v>
      </c>
      <c r="Q6" s="27" t="n">
        <f aca="false">IF(OR(G6="",H6=""),"",IFERROR(IF(INDEX('TDS Rates'!$E$6:$E$40,MATCH(G6,'TDS Rates'!$B$6:$B$40,0))="Form 141",EOMONTH(IF(R6="",B6,R6),0)+30,IF(MONTH(IF(R6="",B6,R6))=3,DATE(YEAR(IF(R6="",B6,R6)),4,30),DATE(YEAR(IF(R6="",B6,R6)),MONTH(IF(R6="",B6,R6))+1,7))),""))</f>
        <v>46210</v>
      </c>
      <c r="R6" s="17"/>
      <c r="S6" s="17"/>
      <c r="T6" s="5"/>
      <c r="U6" s="28" t="n">
        <f aca="false">IF(OR(G6="",H6=""),"",IF(P6=0,0,IF(IF(R6="",Settings!$C$9,R6)&lt;=B6,0,((YEAR(IF(R6="",Settings!$C$9,R6))-YEAR(B6))*12+MONTH(IF(R6="",Settings!$C$9,R6))-MONTH(B6)+1))))</f>
        <v>0</v>
      </c>
      <c r="V6" s="29" t="n">
        <f aca="false">IF(OR(G6="",H6=""),"",ROUND(P6*Settings!$C$10*U6,0))</f>
        <v>0</v>
      </c>
      <c r="W6" s="28" t="n">
        <f aca="false">IF(OR(G6="",H6=""),"",IF(OR(P6=0,R6=""),0,IF(IF(S6="",Settings!$C$9,S6)&lt;=Q6,0,((YEAR(IF(S6="",Settings!$C$9,S6))-YEAR(R6))*12+MONTH(IF(S6="",Settings!$C$9,S6))-MONTH(R6)+1))))</f>
        <v>0</v>
      </c>
      <c r="X6" s="29" t="n">
        <f aca="false">IF(OR(G6="",H6=""),"",ROUND(P6*Settings!$C$11*W6,0))</f>
        <v>0</v>
      </c>
      <c r="Y6" s="29" t="n">
        <f aca="false">IF(OR(G6="",H6=""),"",V6+X6)</f>
        <v>0</v>
      </c>
      <c r="Z6" s="7" t="str">
        <f aca="false">IF(OR(G6="",H6=""),"",IF(P6=0,"Below threshold",IF(R6="","Not yet deducted",IF(S6="",IF(Settings!$C$9&gt;Q6,"Overdue — pay now","Deducted, due "&amp;TEXT(Q6,"dd-mmm")),IF(S6&lt;=Q6,IF(N(U6)&gt;0,"Deducted late, paid on time","Paid on time"),"Paid late")))))</f>
        <v>Below threshold</v>
      </c>
      <c r="AA6" s="35" t="str">
        <f aca="false">IF(OR(G6="",H6=""),"",IF(D6&lt;&gt;"",UPPER(TRIM(D6)),UPPER(TRIM(C6))))</f>
        <v>AAAFS1234K</v>
      </c>
    </row>
    <row r="7" customFormat="false" ht="15" hidden="false" customHeight="false" outlineLevel="0" collapsed="false">
      <c r="B7" s="17" t="n">
        <v>46215</v>
      </c>
      <c r="C7" s="5" t="s">
        <v>89</v>
      </c>
      <c r="D7" s="5" t="s">
        <v>90</v>
      </c>
      <c r="E7" s="5" t="s">
        <v>38</v>
      </c>
      <c r="F7" s="5" t="s">
        <v>40</v>
      </c>
      <c r="G7" s="5" t="s">
        <v>36</v>
      </c>
      <c r="H7" s="16" t="n">
        <v>28000</v>
      </c>
      <c r="I7" s="7" t="str">
        <f aca="false">IF(OR(G7="",H7=""),"",IFERROR(INDEX('TDS Rates'!$D$6:$D$40,MATCH(G7,'TDS Rates'!$B$6:$B$40,0)),"Check nature"))</f>
        <v>393(1) Table Sl. 6(i)</v>
      </c>
      <c r="J7" s="7" t="str">
        <f aca="false">IF(OR(G7="",H7=""),"",IFERROR(INDEX('TDS Rates'!$C$6:$C$40,MATCH(G7,'TDS Rates'!$B$6:$B$40,0)),""))</f>
        <v>194C</v>
      </c>
      <c r="K7" s="7" t="str">
        <f aca="false">IF(OR(G7="",H7=""),"",IFERROR(INDEX('TDS Rates'!$E$6:$E$40,MATCH(G7,'TDS Rates'!$B$6:$B$40,0)),""))</f>
        <v>1023 / 1024</v>
      </c>
      <c r="L7" s="29" t="n">
        <f aca="false">IF(OR(G7="",H7=""),"",SUMIFS(H$6:H6,AA$6:AA6,AA7,G$6:G6,G7))</f>
        <v>25000</v>
      </c>
      <c r="M7" s="29" t="n">
        <f aca="false">IF(OR(G7="",H7=""),"",SUMIFS(H$6:H6,AA$6:AA6,AA7,G$6:G6,G7,N$6:N6,0))</f>
        <v>25000</v>
      </c>
      <c r="N7" s="29" t="n">
        <f aca="false">IF(OR(G7="",H7=""),"",IFERROR(IF(INDEX('TDS Rates'!$F$6:$F$40,MATCH(G7,'TDS Rates'!$B$6:$B$40,0))="NONE",H7,IF(INDEX('TDS Rates'!$F$6:$F$40,MATCH(G7,'TDS Rates'!$B$6:$B$40,0))="PER",IF(H7&gt;INDEX('TDS Rates'!$G$6:$G$40,MATCH(G7,'TDS Rates'!$B$6:$B$40,0)),H7,0),IF(INDEX('TDS Rates'!$F$6:$F$40,MATCH(G7,'TDS Rates'!$B$6:$B$40,0))="EXCESS",MAX(0,L7+H7-INDEX('TDS Rates'!$H$6:$H$40,MATCH(G7,'TDS Rates'!$B$6:$B$40,0)))-MAX(0,L7-INDEX('TDS Rates'!$H$6:$H$40,MATCH(G7,'TDS Rates'!$B$6:$B$40,0))),IF(INDEX('TDS Rates'!$F$6:$F$40,MATCH(G7,'TDS Rates'!$B$6:$B$40,0))="SA",IF(L7+H7&gt;INDEX('TDS Rates'!$H$6:$H$40,MATCH(G7,'TDS Rates'!$B$6:$B$40,0)),H7+M7,IF(H7&gt;INDEX('TDS Rates'!$G$6:$G$40,MATCH(G7,'TDS Rates'!$B$6:$B$40,0)),H7,0)),IF(L7+H7&gt;INDEX('TDS Rates'!$H$6:$H$40,MATCH(G7,'TDS Rates'!$B$6:$B$40,0)),H7+M7,0))))),0))</f>
        <v>0</v>
      </c>
      <c r="O7" s="33" t="n">
        <f aca="false">IF(OR(G7="",H7=""),"",IFERROR(IF(F7="No",IF(INDEX('TDS Rates'!$C$6:$C$40,MATCH(G7,'TDS Rates'!$B$6:$B$40,0))="194Q",Settings!$C$14,MAX(Settings!$C$13,IF(E7="Individual / HUF",INDEX('TDS Rates'!$I$6:$I$40,MATCH(G7,'TDS Rates'!$B$6:$B$40,0)),IF(E7="Company",INDEX('TDS Rates'!$J$6:$J$40,MATCH(G7,'TDS Rates'!$B$6:$B$40,0)),INDEX('TDS Rates'!$K$6:$K$40,MATCH(G7,'TDS Rates'!$B$6:$B$40,0)))))),IF(E7="Individual / HUF",INDEX('TDS Rates'!$I$6:$I$40,MATCH(G7,'TDS Rates'!$B$6:$B$40,0)),IF(E7="Company",INDEX('TDS Rates'!$J$6:$J$40,MATCH(G7,'TDS Rates'!$B$6:$B$40,0)),INDEX('TDS Rates'!$K$6:$K$40,MATCH(G7,'TDS Rates'!$B$6:$B$40,0))))),0))</f>
        <v>0.02</v>
      </c>
      <c r="P7" s="34" t="n">
        <f aca="false">IF(OR(G7="",H7=""),"",ROUND(N7*O7,0))</f>
        <v>0</v>
      </c>
      <c r="Q7" s="27" t="n">
        <f aca="false">IF(OR(G7="",H7=""),"",IFERROR(IF(INDEX('TDS Rates'!$E$6:$E$40,MATCH(G7,'TDS Rates'!$B$6:$B$40,0))="Form 141",EOMONTH(IF(R7="",B7,R7),0)+30,IF(MONTH(IF(R7="",B7,R7))=3,DATE(YEAR(IF(R7="",B7,R7)),4,30),DATE(YEAR(IF(R7="",B7,R7)),MONTH(IF(R7="",B7,R7))+1,7))),""))</f>
        <v>46241</v>
      </c>
      <c r="R7" s="17"/>
      <c r="S7" s="17"/>
      <c r="T7" s="5"/>
      <c r="U7" s="28" t="n">
        <f aca="false">IF(OR(G7="",H7=""),"",IF(P7=0,0,IF(IF(R7="",Settings!$C$9,R7)&lt;=B7,0,((YEAR(IF(R7="",Settings!$C$9,R7))-YEAR(B7))*12+MONTH(IF(R7="",Settings!$C$9,R7))-MONTH(B7)+1))))</f>
        <v>0</v>
      </c>
      <c r="V7" s="29" t="n">
        <f aca="false">IF(OR(G7="",H7=""),"",ROUND(P7*Settings!$C$10*U7,0))</f>
        <v>0</v>
      </c>
      <c r="W7" s="28" t="n">
        <f aca="false">IF(OR(G7="",H7=""),"",IF(OR(P7=0,R7=""),0,IF(IF(S7="",Settings!$C$9,S7)&lt;=Q7,0,((YEAR(IF(S7="",Settings!$C$9,S7))-YEAR(R7))*12+MONTH(IF(S7="",Settings!$C$9,S7))-MONTH(R7)+1))))</f>
        <v>0</v>
      </c>
      <c r="X7" s="29" t="n">
        <f aca="false">IF(OR(G7="",H7=""),"",ROUND(P7*Settings!$C$11*W7,0))</f>
        <v>0</v>
      </c>
      <c r="Y7" s="29" t="n">
        <f aca="false">IF(OR(G7="",H7=""),"",V7+X7)</f>
        <v>0</v>
      </c>
      <c r="Z7" s="7" t="str">
        <f aca="false">IF(OR(G7="",H7=""),"",IF(P7=0,"Below threshold",IF(R7="","Not yet deducted",IF(S7="",IF(Settings!$C$9&gt;Q7,"Overdue — pay now","Deducted, due "&amp;TEXT(Q7,"dd-mmm")),IF(S7&lt;=Q7,IF(N(U7)&gt;0,"Deducted late, paid on time","Paid on time"),"Paid late")))))</f>
        <v>Below threshold</v>
      </c>
      <c r="AA7" s="35" t="str">
        <f aca="false">IF(OR(G7="",H7=""),"",IF(D7&lt;&gt;"",UPPER(TRIM(D7)),UPPER(TRIM(C7))))</f>
        <v>AAAFS1234K</v>
      </c>
    </row>
    <row r="8" customFormat="false" ht="15" hidden="false" customHeight="false" outlineLevel="0" collapsed="false">
      <c r="B8" s="17" t="n">
        <v>46280</v>
      </c>
      <c r="C8" s="5" t="s">
        <v>89</v>
      </c>
      <c r="D8" s="5" t="s">
        <v>90</v>
      </c>
      <c r="E8" s="5" t="s">
        <v>38</v>
      </c>
      <c r="F8" s="5" t="s">
        <v>40</v>
      </c>
      <c r="G8" s="5" t="s">
        <v>36</v>
      </c>
      <c r="H8" s="16" t="n">
        <v>60000</v>
      </c>
      <c r="I8" s="7" t="str">
        <f aca="false">IF(OR(G8="",H8=""),"",IFERROR(INDEX('TDS Rates'!$D$6:$D$40,MATCH(G8,'TDS Rates'!$B$6:$B$40,0)),"Check nature"))</f>
        <v>393(1) Table Sl. 6(i)</v>
      </c>
      <c r="J8" s="7" t="str">
        <f aca="false">IF(OR(G8="",H8=""),"",IFERROR(INDEX('TDS Rates'!$C$6:$C$40,MATCH(G8,'TDS Rates'!$B$6:$B$40,0)),""))</f>
        <v>194C</v>
      </c>
      <c r="K8" s="7" t="str">
        <f aca="false">IF(OR(G8="",H8=""),"",IFERROR(INDEX('TDS Rates'!$E$6:$E$40,MATCH(G8,'TDS Rates'!$B$6:$B$40,0)),""))</f>
        <v>1023 / 1024</v>
      </c>
      <c r="L8" s="29" t="n">
        <f aca="false">IF(OR(G8="",H8=""),"",SUMIFS(H$6:H7,AA$6:AA7,AA8,G$6:G7,G8))</f>
        <v>53000</v>
      </c>
      <c r="M8" s="29" t="n">
        <f aca="false">IF(OR(G8="",H8=""),"",SUMIFS(H$6:H7,AA$6:AA7,AA8,G$6:G7,G8,N$6:N7,0))</f>
        <v>53000</v>
      </c>
      <c r="N8" s="29" t="n">
        <f aca="false">IF(OR(G8="",H8=""),"",IFERROR(IF(INDEX('TDS Rates'!$F$6:$F$40,MATCH(G8,'TDS Rates'!$B$6:$B$40,0))="NONE",H8,IF(INDEX('TDS Rates'!$F$6:$F$40,MATCH(G8,'TDS Rates'!$B$6:$B$40,0))="PER",IF(H8&gt;INDEX('TDS Rates'!$G$6:$G$40,MATCH(G8,'TDS Rates'!$B$6:$B$40,0)),H8,0),IF(INDEX('TDS Rates'!$F$6:$F$40,MATCH(G8,'TDS Rates'!$B$6:$B$40,0))="EXCESS",MAX(0,L8+H8-INDEX('TDS Rates'!$H$6:$H$40,MATCH(G8,'TDS Rates'!$B$6:$B$40,0)))-MAX(0,L8-INDEX('TDS Rates'!$H$6:$H$40,MATCH(G8,'TDS Rates'!$B$6:$B$40,0))),IF(INDEX('TDS Rates'!$F$6:$F$40,MATCH(G8,'TDS Rates'!$B$6:$B$40,0))="SA",IF(L8+H8&gt;INDEX('TDS Rates'!$H$6:$H$40,MATCH(G8,'TDS Rates'!$B$6:$B$40,0)),H8+M8,IF(H8&gt;INDEX('TDS Rates'!$G$6:$G$40,MATCH(G8,'TDS Rates'!$B$6:$B$40,0)),H8,0)),IF(L8+H8&gt;INDEX('TDS Rates'!$H$6:$H$40,MATCH(G8,'TDS Rates'!$B$6:$B$40,0)),H8+M8,0))))),0))</f>
        <v>113000</v>
      </c>
      <c r="O8" s="33" t="n">
        <f aca="false">IF(OR(G8="",H8=""),"",IFERROR(IF(F8="No",IF(INDEX('TDS Rates'!$C$6:$C$40,MATCH(G8,'TDS Rates'!$B$6:$B$40,0))="194Q",Settings!$C$14,MAX(Settings!$C$13,IF(E8="Individual / HUF",INDEX('TDS Rates'!$I$6:$I$40,MATCH(G8,'TDS Rates'!$B$6:$B$40,0)),IF(E8="Company",INDEX('TDS Rates'!$J$6:$J$40,MATCH(G8,'TDS Rates'!$B$6:$B$40,0)),INDEX('TDS Rates'!$K$6:$K$40,MATCH(G8,'TDS Rates'!$B$6:$B$40,0)))))),IF(E8="Individual / HUF",INDEX('TDS Rates'!$I$6:$I$40,MATCH(G8,'TDS Rates'!$B$6:$B$40,0)),IF(E8="Company",INDEX('TDS Rates'!$J$6:$J$40,MATCH(G8,'TDS Rates'!$B$6:$B$40,0)),INDEX('TDS Rates'!$K$6:$K$40,MATCH(G8,'TDS Rates'!$B$6:$B$40,0))))),0))</f>
        <v>0.02</v>
      </c>
      <c r="P8" s="34" t="n">
        <f aca="false">IF(OR(G8="",H8=""),"",ROUND(N8*O8,0))</f>
        <v>2260</v>
      </c>
      <c r="Q8" s="27" t="n">
        <f aca="false">IF(OR(G8="",H8=""),"",IFERROR(IF(INDEX('TDS Rates'!$E$6:$E$40,MATCH(G8,'TDS Rates'!$B$6:$B$40,0))="Form 141",EOMONTH(IF(R8="",B8,R8),0)+30,IF(MONTH(IF(R8="",B8,R8))=3,DATE(YEAR(IF(R8="",B8,R8)),4,30),DATE(YEAR(IF(R8="",B8,R8)),MONTH(IF(R8="",B8,R8))+1,7))),""))</f>
        <v>46302</v>
      </c>
      <c r="R8" s="17" t="n">
        <v>46280</v>
      </c>
      <c r="S8" s="17" t="n">
        <v>46302</v>
      </c>
      <c r="T8" s="5" t="s">
        <v>91</v>
      </c>
      <c r="U8" s="28" t="n">
        <f aca="false">IF(OR(G8="",H8=""),"",IF(P8=0,0,IF(IF(R8="",Settings!$C$9,R8)&lt;=B8,0,((YEAR(IF(R8="",Settings!$C$9,R8))-YEAR(B8))*12+MONTH(IF(R8="",Settings!$C$9,R8))-MONTH(B8)+1))))</f>
        <v>0</v>
      </c>
      <c r="V8" s="29" t="n">
        <f aca="false">IF(OR(G8="",H8=""),"",ROUND(P8*Settings!$C$10*U8,0))</f>
        <v>0</v>
      </c>
      <c r="W8" s="28" t="n">
        <f aca="false">IF(OR(G8="",H8=""),"",IF(OR(P8=0,R8=""),0,IF(IF(S8="",Settings!$C$9,S8)&lt;=Q8,0,((YEAR(IF(S8="",Settings!$C$9,S8))-YEAR(R8))*12+MONTH(IF(S8="",Settings!$C$9,S8))-MONTH(R8)+1))))</f>
        <v>0</v>
      </c>
      <c r="X8" s="29" t="n">
        <f aca="false">IF(OR(G8="",H8=""),"",ROUND(P8*Settings!$C$11*W8,0))</f>
        <v>0</v>
      </c>
      <c r="Y8" s="29" t="n">
        <f aca="false">IF(OR(G8="",H8=""),"",V8+X8)</f>
        <v>0</v>
      </c>
      <c r="Z8" s="7" t="str">
        <f aca="false">IF(OR(G8="",H8=""),"",IF(P8=0,"Below threshold",IF(R8="","Not yet deducted",IF(S8="",IF(Settings!$C$9&gt;Q8,"Overdue — pay now","Deducted, due "&amp;TEXT(Q8,"dd-mmm")),IF(S8&lt;=Q8,IF(N(U8)&gt;0,"Deducted late, paid on time","Paid on time"),"Paid late")))))</f>
        <v>Paid on time</v>
      </c>
      <c r="AA8" s="35" t="str">
        <f aca="false">IF(OR(G8="",H8=""),"",IF(D8&lt;&gt;"",UPPER(TRIM(D8)),UPPER(TRIM(C8))))</f>
        <v>AAAFS1234K</v>
      </c>
    </row>
    <row r="9" customFormat="false" ht="15" hidden="false" customHeight="false" outlineLevel="0" collapsed="false">
      <c r="B9" s="17" t="n">
        <v>46295</v>
      </c>
      <c r="C9" s="5" t="s">
        <v>92</v>
      </c>
      <c r="D9" s="5" t="s">
        <v>93</v>
      </c>
      <c r="E9" s="5" t="s">
        <v>38</v>
      </c>
      <c r="F9" s="5" t="s">
        <v>40</v>
      </c>
      <c r="G9" s="5" t="s">
        <v>94</v>
      </c>
      <c r="H9" s="16" t="n">
        <v>75000</v>
      </c>
      <c r="I9" s="7" t="str">
        <f aca="false">IF(OR(G9="",H9=""),"",IFERROR(INDEX('TDS Rates'!$D$6:$D$40,MATCH(G9,'TDS Rates'!$B$6:$B$40,0)),"Check nature"))</f>
        <v>393(1) Table Sl. 6(iii)</v>
      </c>
      <c r="J9" s="7" t="str">
        <f aca="false">IF(OR(G9="",H9=""),"",IFERROR(INDEX('TDS Rates'!$C$6:$C$40,MATCH(G9,'TDS Rates'!$B$6:$B$40,0)),""))</f>
        <v>194J(b)</v>
      </c>
      <c r="K9" s="7" t="str">
        <f aca="false">IF(OR(G9="",H9=""),"",IFERROR(INDEX('TDS Rates'!$E$6:$E$40,MATCH(G9,'TDS Rates'!$B$6:$B$40,0)),""))</f>
        <v>1027</v>
      </c>
      <c r="L9" s="29" t="n">
        <f aca="false">IF(OR(G9="",H9=""),"",SUMIFS(H$6:H8,AA$6:AA8,AA9,G$6:G8,G9))</f>
        <v>0</v>
      </c>
      <c r="M9" s="29" t="n">
        <f aca="false">IF(OR(G9="",H9=""),"",SUMIFS(H$6:H8,AA$6:AA8,AA9,G$6:G8,G9,N$6:N8,0))</f>
        <v>0</v>
      </c>
      <c r="N9" s="29" t="n">
        <f aca="false">IF(OR(G9="",H9=""),"",IFERROR(IF(INDEX('TDS Rates'!$F$6:$F$40,MATCH(G9,'TDS Rates'!$B$6:$B$40,0))="NONE",H9,IF(INDEX('TDS Rates'!$F$6:$F$40,MATCH(G9,'TDS Rates'!$B$6:$B$40,0))="PER",IF(H9&gt;INDEX('TDS Rates'!$G$6:$G$40,MATCH(G9,'TDS Rates'!$B$6:$B$40,0)),H9,0),IF(INDEX('TDS Rates'!$F$6:$F$40,MATCH(G9,'TDS Rates'!$B$6:$B$40,0))="EXCESS",MAX(0,L9+H9-INDEX('TDS Rates'!$H$6:$H$40,MATCH(G9,'TDS Rates'!$B$6:$B$40,0)))-MAX(0,L9-INDEX('TDS Rates'!$H$6:$H$40,MATCH(G9,'TDS Rates'!$B$6:$B$40,0))),IF(INDEX('TDS Rates'!$F$6:$F$40,MATCH(G9,'TDS Rates'!$B$6:$B$40,0))="SA",IF(L9+H9&gt;INDEX('TDS Rates'!$H$6:$H$40,MATCH(G9,'TDS Rates'!$B$6:$B$40,0)),H9+M9,IF(H9&gt;INDEX('TDS Rates'!$G$6:$G$40,MATCH(G9,'TDS Rates'!$B$6:$B$40,0)),H9,0)),IF(L9+H9&gt;INDEX('TDS Rates'!$H$6:$H$40,MATCH(G9,'TDS Rates'!$B$6:$B$40,0)),H9+M9,0))))),0))</f>
        <v>75000</v>
      </c>
      <c r="O9" s="33" t="n">
        <f aca="false">IF(OR(G9="",H9=""),"",IFERROR(IF(F9="No",IF(INDEX('TDS Rates'!$C$6:$C$40,MATCH(G9,'TDS Rates'!$B$6:$B$40,0))="194Q",Settings!$C$14,MAX(Settings!$C$13,IF(E9="Individual / HUF",INDEX('TDS Rates'!$I$6:$I$40,MATCH(G9,'TDS Rates'!$B$6:$B$40,0)),IF(E9="Company",INDEX('TDS Rates'!$J$6:$J$40,MATCH(G9,'TDS Rates'!$B$6:$B$40,0)),INDEX('TDS Rates'!$K$6:$K$40,MATCH(G9,'TDS Rates'!$B$6:$B$40,0)))))),IF(E9="Individual / HUF",INDEX('TDS Rates'!$I$6:$I$40,MATCH(G9,'TDS Rates'!$B$6:$B$40,0)),IF(E9="Company",INDEX('TDS Rates'!$J$6:$J$40,MATCH(G9,'TDS Rates'!$B$6:$B$40,0)),INDEX('TDS Rates'!$K$6:$K$40,MATCH(G9,'TDS Rates'!$B$6:$B$40,0))))),0))</f>
        <v>0.1</v>
      </c>
      <c r="P9" s="34" t="n">
        <f aca="false">IF(OR(G9="",H9=""),"",ROUND(N9*O9,0))</f>
        <v>7500</v>
      </c>
      <c r="Q9" s="27" t="n">
        <f aca="false">IF(OR(G9="",H9=""),"",IFERROR(IF(INDEX('TDS Rates'!$E$6:$E$40,MATCH(G9,'TDS Rates'!$B$6:$B$40,0))="Form 141",EOMONTH(IF(R9="",B9,R9),0)+30,IF(MONTH(IF(R9="",B9,R9))=3,DATE(YEAR(IF(R9="",B9,R9)),4,30),DATE(YEAR(IF(R9="",B9,R9)),MONTH(IF(R9="",B9,R9))+1,7))),""))</f>
        <v>46333</v>
      </c>
      <c r="R9" s="17" t="n">
        <v>46315</v>
      </c>
      <c r="S9" s="17" t="n">
        <v>46331</v>
      </c>
      <c r="T9" s="5" t="s">
        <v>95</v>
      </c>
      <c r="U9" s="28" t="n">
        <f aca="false">IF(OR(G9="",H9=""),"",IF(P9=0,0,IF(IF(R9="",Settings!$C$9,R9)&lt;=B9,0,((YEAR(IF(R9="",Settings!$C$9,R9))-YEAR(B9))*12+MONTH(IF(R9="",Settings!$C$9,R9))-MONTH(B9)+1))))</f>
        <v>2</v>
      </c>
      <c r="V9" s="29" t="n">
        <f aca="false">IF(OR(G9="",H9=""),"",ROUND(P9*Settings!$C$10*U9,0))</f>
        <v>150</v>
      </c>
      <c r="W9" s="28" t="n">
        <f aca="false">IF(OR(G9="",H9=""),"",IF(OR(P9=0,R9=""),0,IF(IF(S9="",Settings!$C$9,S9)&lt;=Q9,0,((YEAR(IF(S9="",Settings!$C$9,S9))-YEAR(R9))*12+MONTH(IF(S9="",Settings!$C$9,S9))-MONTH(R9)+1))))</f>
        <v>0</v>
      </c>
      <c r="X9" s="29" t="n">
        <f aca="false">IF(OR(G9="",H9=""),"",ROUND(P9*Settings!$C$11*W9,0))</f>
        <v>0</v>
      </c>
      <c r="Y9" s="29" t="n">
        <f aca="false">IF(OR(G9="",H9=""),"",V9+X9)</f>
        <v>150</v>
      </c>
      <c r="Z9" s="7" t="str">
        <f aca="false">IF(OR(G9="",H9=""),"",IF(P9=0,"Below threshold",IF(R9="","Not yet deducted",IF(S9="",IF(Settings!$C$9&gt;Q9,"Overdue — pay now","Deducted, due "&amp;TEXT(Q9,"dd-mmm")),IF(S9&lt;=Q9,IF(N(U9)&gt;0,"Deducted late, paid on time","Paid on time"),"Paid late")))))</f>
        <v>Deducted late, paid on time</v>
      </c>
      <c r="AA9" s="35" t="str">
        <f aca="false">IF(OR(G9="",H9=""),"",IF(D9&lt;&gt;"",UPPER(TRIM(D9)),UPPER(TRIM(C9))))</f>
        <v>AAAFR5678L</v>
      </c>
    </row>
    <row r="10" customFormat="false" ht="15" hidden="false" customHeight="false" outlineLevel="0" collapsed="false">
      <c r="B10" s="17" t="n">
        <v>46296</v>
      </c>
      <c r="C10" s="5" t="s">
        <v>96</v>
      </c>
      <c r="D10" s="5" t="s">
        <v>97</v>
      </c>
      <c r="E10" s="5" t="s">
        <v>98</v>
      </c>
      <c r="F10" s="5" t="s">
        <v>40</v>
      </c>
      <c r="G10" s="5" t="s">
        <v>99</v>
      </c>
      <c r="H10" s="16" t="n">
        <v>90000</v>
      </c>
      <c r="I10" s="7" t="str">
        <f aca="false">IF(OR(G10="",H10=""),"",IFERROR(INDEX('TDS Rates'!$D$6:$D$40,MATCH(G10,'TDS Rates'!$B$6:$B$40,0)),"Check nature"))</f>
        <v>393(1) Table Sl. 2(ii)</v>
      </c>
      <c r="J10" s="7" t="str">
        <f aca="false">IF(OR(G10="",H10=""),"",IFERROR(INDEX('TDS Rates'!$C$6:$C$40,MATCH(G10,'TDS Rates'!$B$6:$B$40,0)),""))</f>
        <v>194-I(b)</v>
      </c>
      <c r="K10" s="7" t="str">
        <f aca="false">IF(OR(G10="",H10=""),"",IFERROR(INDEX('TDS Rates'!$E$6:$E$40,MATCH(G10,'TDS Rates'!$B$6:$B$40,0)),""))</f>
        <v>1009</v>
      </c>
      <c r="L10" s="29" t="n">
        <f aca="false">IF(OR(G10="",H10=""),"",SUMIFS(H$6:H9,AA$6:AA9,AA10,G$6:G9,G10))</f>
        <v>0</v>
      </c>
      <c r="M10" s="29" t="n">
        <f aca="false">IF(OR(G10="",H10=""),"",SUMIFS(H$6:H9,AA$6:AA9,AA10,G$6:G9,G10,N$6:N9,0))</f>
        <v>0</v>
      </c>
      <c r="N10" s="29" t="n">
        <f aca="false">IF(OR(G10="",H10=""),"",IFERROR(IF(INDEX('TDS Rates'!$F$6:$F$40,MATCH(G10,'TDS Rates'!$B$6:$B$40,0))="NONE",H10,IF(INDEX('TDS Rates'!$F$6:$F$40,MATCH(G10,'TDS Rates'!$B$6:$B$40,0))="PER",IF(H10&gt;INDEX('TDS Rates'!$G$6:$G$40,MATCH(G10,'TDS Rates'!$B$6:$B$40,0)),H10,0),IF(INDEX('TDS Rates'!$F$6:$F$40,MATCH(G10,'TDS Rates'!$B$6:$B$40,0))="EXCESS",MAX(0,L10+H10-INDEX('TDS Rates'!$H$6:$H$40,MATCH(G10,'TDS Rates'!$B$6:$B$40,0)))-MAX(0,L10-INDEX('TDS Rates'!$H$6:$H$40,MATCH(G10,'TDS Rates'!$B$6:$B$40,0))),IF(INDEX('TDS Rates'!$F$6:$F$40,MATCH(G10,'TDS Rates'!$B$6:$B$40,0))="SA",IF(L10+H10&gt;INDEX('TDS Rates'!$H$6:$H$40,MATCH(G10,'TDS Rates'!$B$6:$B$40,0)),H10+M10,IF(H10&gt;INDEX('TDS Rates'!$G$6:$G$40,MATCH(G10,'TDS Rates'!$B$6:$B$40,0)),H10,0)),IF(L10+H10&gt;INDEX('TDS Rates'!$H$6:$H$40,MATCH(G10,'TDS Rates'!$B$6:$B$40,0)),H10+M10,0))))),0))</f>
        <v>90000</v>
      </c>
      <c r="O10" s="33" t="n">
        <f aca="false">IF(OR(G10="",H10=""),"",IFERROR(IF(F10="No",IF(INDEX('TDS Rates'!$C$6:$C$40,MATCH(G10,'TDS Rates'!$B$6:$B$40,0))="194Q",Settings!$C$14,MAX(Settings!$C$13,IF(E10="Individual / HUF",INDEX('TDS Rates'!$I$6:$I$40,MATCH(G10,'TDS Rates'!$B$6:$B$40,0)),IF(E10="Company",INDEX('TDS Rates'!$J$6:$J$40,MATCH(G10,'TDS Rates'!$B$6:$B$40,0)),INDEX('TDS Rates'!$K$6:$K$40,MATCH(G10,'TDS Rates'!$B$6:$B$40,0)))))),IF(E10="Individual / HUF",INDEX('TDS Rates'!$I$6:$I$40,MATCH(G10,'TDS Rates'!$B$6:$B$40,0)),IF(E10="Company",INDEX('TDS Rates'!$J$6:$J$40,MATCH(G10,'TDS Rates'!$B$6:$B$40,0)),INDEX('TDS Rates'!$K$6:$K$40,MATCH(G10,'TDS Rates'!$B$6:$B$40,0))))),0))</f>
        <v>0.1</v>
      </c>
      <c r="P10" s="34" t="n">
        <f aca="false">IF(OR(G10="",H10=""),"",ROUND(N10*O10,0))</f>
        <v>9000</v>
      </c>
      <c r="Q10" s="27" t="n">
        <f aca="false">IF(OR(G10="",H10=""),"",IFERROR(IF(INDEX('TDS Rates'!$E$6:$E$40,MATCH(G10,'TDS Rates'!$B$6:$B$40,0))="Form 141",EOMONTH(IF(R10="",B10,R10),0)+30,IF(MONTH(IF(R10="",B10,R10))=3,DATE(YEAR(IF(R10="",B10,R10)),4,30),DATE(YEAR(IF(R10="",B10,R10)),MONTH(IF(R10="",B10,R10))+1,7))),""))</f>
        <v>46333</v>
      </c>
      <c r="R10" s="17" t="n">
        <v>46296</v>
      </c>
      <c r="S10" s="17"/>
      <c r="T10" s="5"/>
      <c r="U10" s="28" t="n">
        <f aca="false">IF(OR(G10="",H10=""),"",IF(P10=0,0,IF(IF(R10="",Settings!$C$9,R10)&lt;=B10,0,((YEAR(IF(R10="",Settings!$C$9,R10))-YEAR(B10))*12+MONTH(IF(R10="",Settings!$C$9,R10))-MONTH(B10)+1))))</f>
        <v>0</v>
      </c>
      <c r="V10" s="29" t="n">
        <f aca="false">IF(OR(G10="",H10=""),"",ROUND(P10*Settings!$C$10*U10,0))</f>
        <v>0</v>
      </c>
      <c r="W10" s="28" t="n">
        <f aca="false">IF(OR(G10="",H10=""),"",IF(OR(P10=0,R10=""),0,IF(IF(S10="",Settings!$C$9,S10)&lt;=Q10,0,((YEAR(IF(S10="",Settings!$C$9,S10))-YEAR(R10))*12+MONTH(IF(S10="",Settings!$C$9,S10))-MONTH(R10)+1))))</f>
        <v>0</v>
      </c>
      <c r="X10" s="29" t="n">
        <f aca="false">IF(OR(G10="",H10=""),"",ROUND(P10*Settings!$C$11*W10,0))</f>
        <v>0</v>
      </c>
      <c r="Y10" s="29" t="n">
        <f aca="false">IF(OR(G10="",H10=""),"",V10+X10)</f>
        <v>0</v>
      </c>
      <c r="Z10" s="7" t="str">
        <f aca="false">IF(OR(G10="",H10=""),"",IF(P10=0,"Below threshold",IF(R10="","Not yet deducted",IF(S10="",IF(Settings!$C$9&gt;Q10,"Overdue — pay now","Deducted, due "&amp;TEXT(Q10,"dd-mmm")),IF(S10&lt;=Q10,IF(N(U10)&gt;0,"Deducted late, paid on time","Paid on time"),"Paid late")))))</f>
        <v>Deducted, due 07-Nov</v>
      </c>
      <c r="AA10" s="35" t="str">
        <f aca="false">IF(OR(G10="",H10=""),"",IF(D10&lt;&gt;"",UPPER(TRIM(D10)),UPPER(TRIM(C10))))</f>
        <v>ABCPM4321Q</v>
      </c>
    </row>
    <row r="11" customFormat="false" ht="15" hidden="false" customHeight="false" outlineLevel="0" collapsed="false">
      <c r="B11" s="17" t="n">
        <v>46300</v>
      </c>
      <c r="C11" s="5" t="s">
        <v>100</v>
      </c>
      <c r="D11" s="5"/>
      <c r="E11" s="5" t="s">
        <v>98</v>
      </c>
      <c r="F11" s="5" t="s">
        <v>101</v>
      </c>
      <c r="G11" s="5" t="s">
        <v>102</v>
      </c>
      <c r="H11" s="16" t="n">
        <v>25000</v>
      </c>
      <c r="I11" s="7" t="str">
        <f aca="false">IF(OR(G11="",H11=""),"",IFERROR(INDEX('TDS Rates'!$D$6:$D$40,MATCH(G11,'TDS Rates'!$B$6:$B$40,0)),"Check nature"))</f>
        <v>393(1) Table Sl. 1(ii)</v>
      </c>
      <c r="J11" s="7" t="str">
        <f aca="false">IF(OR(G11="",H11=""),"",IFERROR(INDEX('TDS Rates'!$C$6:$C$40,MATCH(G11,'TDS Rates'!$B$6:$B$40,0)),""))</f>
        <v>194H</v>
      </c>
      <c r="K11" s="7" t="str">
        <f aca="false">IF(OR(G11="",H11=""),"",IFERROR(INDEX('TDS Rates'!$E$6:$E$40,MATCH(G11,'TDS Rates'!$B$6:$B$40,0)),""))</f>
        <v>1006</v>
      </c>
      <c r="L11" s="29" t="n">
        <f aca="false">IF(OR(G11="",H11=""),"",SUMIFS(H$6:H10,AA$6:AA10,AA11,G$6:G10,G11))</f>
        <v>0</v>
      </c>
      <c r="M11" s="29" t="n">
        <f aca="false">IF(OR(G11="",H11=""),"",SUMIFS(H$6:H10,AA$6:AA10,AA11,G$6:G10,G11,N$6:N10,0))</f>
        <v>0</v>
      </c>
      <c r="N11" s="29" t="n">
        <f aca="false">IF(OR(G11="",H11=""),"",IFERROR(IF(INDEX('TDS Rates'!$F$6:$F$40,MATCH(G11,'TDS Rates'!$B$6:$B$40,0))="NONE",H11,IF(INDEX('TDS Rates'!$F$6:$F$40,MATCH(G11,'TDS Rates'!$B$6:$B$40,0))="PER",IF(H11&gt;INDEX('TDS Rates'!$G$6:$G$40,MATCH(G11,'TDS Rates'!$B$6:$B$40,0)),H11,0),IF(INDEX('TDS Rates'!$F$6:$F$40,MATCH(G11,'TDS Rates'!$B$6:$B$40,0))="EXCESS",MAX(0,L11+H11-INDEX('TDS Rates'!$H$6:$H$40,MATCH(G11,'TDS Rates'!$B$6:$B$40,0)))-MAX(0,L11-INDEX('TDS Rates'!$H$6:$H$40,MATCH(G11,'TDS Rates'!$B$6:$B$40,0))),IF(INDEX('TDS Rates'!$F$6:$F$40,MATCH(G11,'TDS Rates'!$B$6:$B$40,0))="SA",IF(L11+H11&gt;INDEX('TDS Rates'!$H$6:$H$40,MATCH(G11,'TDS Rates'!$B$6:$B$40,0)),H11+M11,IF(H11&gt;INDEX('TDS Rates'!$G$6:$G$40,MATCH(G11,'TDS Rates'!$B$6:$B$40,0)),H11,0)),IF(L11+H11&gt;INDEX('TDS Rates'!$H$6:$H$40,MATCH(G11,'TDS Rates'!$B$6:$B$40,0)),H11+M11,0))))),0))</f>
        <v>25000</v>
      </c>
      <c r="O11" s="33" t="n">
        <f aca="false">IF(OR(G11="",H11=""),"",IFERROR(IF(F11="No",IF(INDEX('TDS Rates'!$C$6:$C$40,MATCH(G11,'TDS Rates'!$B$6:$B$40,0))="194Q",Settings!$C$14,MAX(Settings!$C$13,IF(E11="Individual / HUF",INDEX('TDS Rates'!$I$6:$I$40,MATCH(G11,'TDS Rates'!$B$6:$B$40,0)),IF(E11="Company",INDEX('TDS Rates'!$J$6:$J$40,MATCH(G11,'TDS Rates'!$B$6:$B$40,0)),INDEX('TDS Rates'!$K$6:$K$40,MATCH(G11,'TDS Rates'!$B$6:$B$40,0)))))),IF(E11="Individual / HUF",INDEX('TDS Rates'!$I$6:$I$40,MATCH(G11,'TDS Rates'!$B$6:$B$40,0)),IF(E11="Company",INDEX('TDS Rates'!$J$6:$J$40,MATCH(G11,'TDS Rates'!$B$6:$B$40,0)),INDEX('TDS Rates'!$K$6:$K$40,MATCH(G11,'TDS Rates'!$B$6:$B$40,0))))),0))</f>
        <v>0.2</v>
      </c>
      <c r="P11" s="34" t="n">
        <f aca="false">IF(OR(G11="",H11=""),"",ROUND(N11*O11,0))</f>
        <v>5000</v>
      </c>
      <c r="Q11" s="27" t="n">
        <f aca="false">IF(OR(G11="",H11=""),"",IFERROR(IF(INDEX('TDS Rates'!$E$6:$E$40,MATCH(G11,'TDS Rates'!$B$6:$B$40,0))="Form 141",EOMONTH(IF(R11="",B11,R11),0)+30,IF(MONTH(IF(R11="",B11,R11))=3,DATE(YEAR(IF(R11="",B11,R11)),4,30),DATE(YEAR(IF(R11="",B11,R11)),MONTH(IF(R11="",B11,R11))+1,7))),""))</f>
        <v>46333</v>
      </c>
      <c r="R11" s="17" t="n">
        <v>46300</v>
      </c>
      <c r="S11" s="17"/>
      <c r="T11" s="5"/>
      <c r="U11" s="28" t="n">
        <f aca="false">IF(OR(G11="",H11=""),"",IF(P11=0,0,IF(IF(R11="",Settings!$C$9,R11)&lt;=B11,0,((YEAR(IF(R11="",Settings!$C$9,R11))-YEAR(B11))*12+MONTH(IF(R11="",Settings!$C$9,R11))-MONTH(B11)+1))))</f>
        <v>0</v>
      </c>
      <c r="V11" s="29" t="n">
        <f aca="false">IF(OR(G11="",H11=""),"",ROUND(P11*Settings!$C$10*U11,0))</f>
        <v>0</v>
      </c>
      <c r="W11" s="28" t="n">
        <f aca="false">IF(OR(G11="",H11=""),"",IF(OR(P11=0,R11=""),0,IF(IF(S11="",Settings!$C$9,S11)&lt;=Q11,0,((YEAR(IF(S11="",Settings!$C$9,S11))-YEAR(R11))*12+MONTH(IF(S11="",Settings!$C$9,S11))-MONTH(R11)+1))))</f>
        <v>0</v>
      </c>
      <c r="X11" s="29" t="n">
        <f aca="false">IF(OR(G11="",H11=""),"",ROUND(P11*Settings!$C$11*W11,0))</f>
        <v>0</v>
      </c>
      <c r="Y11" s="29" t="n">
        <f aca="false">IF(OR(G11="",H11=""),"",V11+X11)</f>
        <v>0</v>
      </c>
      <c r="Z11" s="7" t="str">
        <f aca="false">IF(OR(G11="",H11=""),"",IF(P11=0,"Below threshold",IF(R11="","Not yet deducted",IF(S11="",IF(Settings!$C$9&gt;Q11,"Overdue — pay now","Deducted, due "&amp;TEXT(Q11,"dd-mmm")),IF(S11&lt;=Q11,IF(N(U11)&gt;0,"Deducted late, paid on time","Paid on time"),"Paid late")))))</f>
        <v>Deducted, due 07-Nov</v>
      </c>
      <c r="AA11" s="35" t="str">
        <f aca="false">IF(OR(G11="",H11=""),"",IF(D11&lt;&gt;"",UPPER(TRIM(D11)),UPPER(TRIM(C11))))</f>
        <v>QUICK COURIERS</v>
      </c>
    </row>
    <row r="12" customFormat="false" ht="15" hidden="false" customHeight="false" outlineLevel="0" collapsed="false">
      <c r="B12" s="17"/>
      <c r="C12" s="5"/>
      <c r="D12" s="5"/>
      <c r="E12" s="5"/>
      <c r="F12" s="5"/>
      <c r="G12" s="5"/>
      <c r="H12" s="16"/>
      <c r="I12" s="7" t="str">
        <f aca="false">IF(OR(G12="",H12=""),"",IFERROR(INDEX('TDS Rates'!$D$6:$D$40,MATCH(G12,'TDS Rates'!$B$6:$B$40,0)),"Check nature"))</f>
        <v/>
      </c>
      <c r="J12" s="7" t="str">
        <f aca="false">IF(OR(G12="",H12=""),"",IFERROR(INDEX('TDS Rates'!$C$6:$C$40,MATCH(G12,'TDS Rates'!$B$6:$B$40,0)),""))</f>
        <v/>
      </c>
      <c r="K12" s="7" t="str">
        <f aca="false">IF(OR(G12="",H12=""),"",IFERROR(INDEX('TDS Rates'!$E$6:$E$40,MATCH(G12,'TDS Rates'!$B$6:$B$40,0)),""))</f>
        <v/>
      </c>
      <c r="L12" s="29" t="str">
        <f aca="false">IF(OR(G12="",H12=""),"",SUMIFS(H$6:H11,AA$6:AA11,AA12,G$6:G11,G12))</f>
        <v/>
      </c>
      <c r="M12" s="29" t="str">
        <f aca="false">IF(OR(G12="",H12=""),"",SUMIFS(H$6:H11,AA$6:AA11,AA12,G$6:G11,G12,N$6:N11,0))</f>
        <v/>
      </c>
      <c r="N12" s="29" t="str">
        <f aca="false">IF(OR(G12="",H12=""),"",IFERROR(IF(INDEX('TDS Rates'!$F$6:$F$40,MATCH(G12,'TDS Rates'!$B$6:$B$40,0))="NONE",H12,IF(INDEX('TDS Rates'!$F$6:$F$40,MATCH(G12,'TDS Rates'!$B$6:$B$40,0))="PER",IF(H12&gt;INDEX('TDS Rates'!$G$6:$G$40,MATCH(G12,'TDS Rates'!$B$6:$B$40,0)),H12,0),IF(INDEX('TDS Rates'!$F$6:$F$40,MATCH(G12,'TDS Rates'!$B$6:$B$40,0))="EXCESS",MAX(0,L12+H12-INDEX('TDS Rates'!$H$6:$H$40,MATCH(G12,'TDS Rates'!$B$6:$B$40,0)))-MAX(0,L12-INDEX('TDS Rates'!$H$6:$H$40,MATCH(G12,'TDS Rates'!$B$6:$B$40,0))),IF(INDEX('TDS Rates'!$F$6:$F$40,MATCH(G12,'TDS Rates'!$B$6:$B$40,0))="SA",IF(L12+H12&gt;INDEX('TDS Rates'!$H$6:$H$40,MATCH(G12,'TDS Rates'!$B$6:$B$40,0)),H12+M12,IF(H12&gt;INDEX('TDS Rates'!$G$6:$G$40,MATCH(G12,'TDS Rates'!$B$6:$B$40,0)),H12,0)),IF(L12+H12&gt;INDEX('TDS Rates'!$H$6:$H$40,MATCH(G12,'TDS Rates'!$B$6:$B$40,0)),H12+M12,0))))),0))</f>
        <v/>
      </c>
      <c r="O12" s="33" t="str">
        <f aca="false">IF(OR(G12="",H12=""),"",IFERROR(IF(F12="No",IF(INDEX('TDS Rates'!$C$6:$C$40,MATCH(G12,'TDS Rates'!$B$6:$B$40,0))="194Q",Settings!$C$14,MAX(Settings!$C$13,IF(E12="Individual / HUF",INDEX('TDS Rates'!$I$6:$I$40,MATCH(G12,'TDS Rates'!$B$6:$B$40,0)),IF(E12="Company",INDEX('TDS Rates'!$J$6:$J$40,MATCH(G12,'TDS Rates'!$B$6:$B$40,0)),INDEX('TDS Rates'!$K$6:$K$40,MATCH(G12,'TDS Rates'!$B$6:$B$40,0)))))),IF(E12="Individual / HUF",INDEX('TDS Rates'!$I$6:$I$40,MATCH(G12,'TDS Rates'!$B$6:$B$40,0)),IF(E12="Company",INDEX('TDS Rates'!$J$6:$J$40,MATCH(G12,'TDS Rates'!$B$6:$B$40,0)),INDEX('TDS Rates'!$K$6:$K$40,MATCH(G12,'TDS Rates'!$B$6:$B$40,0))))),0))</f>
        <v/>
      </c>
      <c r="P12" s="34" t="str">
        <f aca="false">IF(OR(G12="",H12=""),"",ROUND(N12*O12,0))</f>
        <v/>
      </c>
      <c r="Q12" s="27" t="str">
        <f aca="false">IF(OR(G12="",H12=""),"",IFERROR(IF(INDEX('TDS Rates'!$E$6:$E$40,MATCH(G12,'TDS Rates'!$B$6:$B$40,0))="Form 141",EOMONTH(IF(R12="",B12,R12),0)+30,IF(MONTH(IF(R12="",B12,R12))=3,DATE(YEAR(IF(R12="",B12,R12)),4,30),DATE(YEAR(IF(R12="",B12,R12)),MONTH(IF(R12="",B12,R12))+1,7))),""))</f>
        <v/>
      </c>
      <c r="R12" s="17"/>
      <c r="S12" s="17"/>
      <c r="T12" s="5"/>
      <c r="U12" s="28" t="str">
        <f aca="false">IF(OR(G12="",H12=""),"",IF(P12=0,0,IF(IF(R12="",Settings!$C$9,R12)&lt;=B12,0,((YEAR(IF(R12="",Settings!$C$9,R12))-YEAR(B12))*12+MONTH(IF(R12="",Settings!$C$9,R12))-MONTH(B12)+1))))</f>
        <v/>
      </c>
      <c r="V12" s="29" t="str">
        <f aca="false">IF(OR(G12="",H12=""),"",ROUND(P12*Settings!$C$10*U12,0))</f>
        <v/>
      </c>
      <c r="W12" s="28" t="str">
        <f aca="false">IF(OR(G12="",H12=""),"",IF(OR(P12=0,R12=""),0,IF(IF(S12="",Settings!$C$9,S12)&lt;=Q12,0,((YEAR(IF(S12="",Settings!$C$9,S12))-YEAR(R12))*12+MONTH(IF(S12="",Settings!$C$9,S12))-MONTH(R12)+1))))</f>
        <v/>
      </c>
      <c r="X12" s="29" t="str">
        <f aca="false">IF(OR(G12="",H12=""),"",ROUND(P12*Settings!$C$11*W12,0))</f>
        <v/>
      </c>
      <c r="Y12" s="29" t="str">
        <f aca="false">IF(OR(G12="",H12=""),"",V12+X12)</f>
        <v/>
      </c>
      <c r="Z12" s="7" t="str">
        <f aca="false">IF(OR(G12="",H12=""),"",IF(P12=0,"Below threshold",IF(R12="","Not yet deducted",IF(S12="",IF(Settings!$C$9&gt;Q12,"Overdue — pay now","Deducted, due "&amp;TEXT(Q12,"dd-mmm")),IF(S12&lt;=Q12,IF(N(U12)&gt;0,"Deducted late, paid on time","Paid on time"),"Paid late")))))</f>
        <v/>
      </c>
      <c r="AA12" s="35" t="str">
        <f aca="false">IF(OR(G12="",H12=""),"",IF(D12&lt;&gt;"",UPPER(TRIM(D12)),UPPER(TRIM(C12))))</f>
        <v/>
      </c>
    </row>
    <row r="13" customFormat="false" ht="15" hidden="false" customHeight="false" outlineLevel="0" collapsed="false">
      <c r="B13" s="17"/>
      <c r="C13" s="5"/>
      <c r="D13" s="5"/>
      <c r="E13" s="5"/>
      <c r="F13" s="5"/>
      <c r="G13" s="5"/>
      <c r="H13" s="16"/>
      <c r="I13" s="7" t="str">
        <f aca="false">IF(OR(G13="",H13=""),"",IFERROR(INDEX('TDS Rates'!$D$6:$D$40,MATCH(G13,'TDS Rates'!$B$6:$B$40,0)),"Check nature"))</f>
        <v/>
      </c>
      <c r="J13" s="7" t="str">
        <f aca="false">IF(OR(G13="",H13=""),"",IFERROR(INDEX('TDS Rates'!$C$6:$C$40,MATCH(G13,'TDS Rates'!$B$6:$B$40,0)),""))</f>
        <v/>
      </c>
      <c r="K13" s="7" t="str">
        <f aca="false">IF(OR(G13="",H13=""),"",IFERROR(INDEX('TDS Rates'!$E$6:$E$40,MATCH(G13,'TDS Rates'!$B$6:$B$40,0)),""))</f>
        <v/>
      </c>
      <c r="L13" s="29" t="str">
        <f aca="false">IF(OR(G13="",H13=""),"",SUMIFS(H$6:H12,AA$6:AA12,AA13,G$6:G12,G13))</f>
        <v/>
      </c>
      <c r="M13" s="29" t="str">
        <f aca="false">IF(OR(G13="",H13=""),"",SUMIFS(H$6:H12,AA$6:AA12,AA13,G$6:G12,G13,N$6:N12,0))</f>
        <v/>
      </c>
      <c r="N13" s="29" t="str">
        <f aca="false">IF(OR(G13="",H13=""),"",IFERROR(IF(INDEX('TDS Rates'!$F$6:$F$40,MATCH(G13,'TDS Rates'!$B$6:$B$40,0))="NONE",H13,IF(INDEX('TDS Rates'!$F$6:$F$40,MATCH(G13,'TDS Rates'!$B$6:$B$40,0))="PER",IF(H13&gt;INDEX('TDS Rates'!$G$6:$G$40,MATCH(G13,'TDS Rates'!$B$6:$B$40,0)),H13,0),IF(INDEX('TDS Rates'!$F$6:$F$40,MATCH(G13,'TDS Rates'!$B$6:$B$40,0))="EXCESS",MAX(0,L13+H13-INDEX('TDS Rates'!$H$6:$H$40,MATCH(G13,'TDS Rates'!$B$6:$B$40,0)))-MAX(0,L13-INDEX('TDS Rates'!$H$6:$H$40,MATCH(G13,'TDS Rates'!$B$6:$B$40,0))),IF(INDEX('TDS Rates'!$F$6:$F$40,MATCH(G13,'TDS Rates'!$B$6:$B$40,0))="SA",IF(L13+H13&gt;INDEX('TDS Rates'!$H$6:$H$40,MATCH(G13,'TDS Rates'!$B$6:$B$40,0)),H13+M13,IF(H13&gt;INDEX('TDS Rates'!$G$6:$G$40,MATCH(G13,'TDS Rates'!$B$6:$B$40,0)),H13,0)),IF(L13+H13&gt;INDEX('TDS Rates'!$H$6:$H$40,MATCH(G13,'TDS Rates'!$B$6:$B$40,0)),H13+M13,0))))),0))</f>
        <v/>
      </c>
      <c r="O13" s="33" t="str">
        <f aca="false">IF(OR(G13="",H13=""),"",IFERROR(IF(F13="No",IF(INDEX('TDS Rates'!$C$6:$C$40,MATCH(G13,'TDS Rates'!$B$6:$B$40,0))="194Q",Settings!$C$14,MAX(Settings!$C$13,IF(E13="Individual / HUF",INDEX('TDS Rates'!$I$6:$I$40,MATCH(G13,'TDS Rates'!$B$6:$B$40,0)),IF(E13="Company",INDEX('TDS Rates'!$J$6:$J$40,MATCH(G13,'TDS Rates'!$B$6:$B$40,0)),INDEX('TDS Rates'!$K$6:$K$40,MATCH(G13,'TDS Rates'!$B$6:$B$40,0)))))),IF(E13="Individual / HUF",INDEX('TDS Rates'!$I$6:$I$40,MATCH(G13,'TDS Rates'!$B$6:$B$40,0)),IF(E13="Company",INDEX('TDS Rates'!$J$6:$J$40,MATCH(G13,'TDS Rates'!$B$6:$B$40,0)),INDEX('TDS Rates'!$K$6:$K$40,MATCH(G13,'TDS Rates'!$B$6:$B$40,0))))),0))</f>
        <v/>
      </c>
      <c r="P13" s="34" t="str">
        <f aca="false">IF(OR(G13="",H13=""),"",ROUND(N13*O13,0))</f>
        <v/>
      </c>
      <c r="Q13" s="27" t="str">
        <f aca="false">IF(OR(G13="",H13=""),"",IFERROR(IF(INDEX('TDS Rates'!$E$6:$E$40,MATCH(G13,'TDS Rates'!$B$6:$B$40,0))="Form 141",EOMONTH(IF(R13="",B13,R13),0)+30,IF(MONTH(IF(R13="",B13,R13))=3,DATE(YEAR(IF(R13="",B13,R13)),4,30),DATE(YEAR(IF(R13="",B13,R13)),MONTH(IF(R13="",B13,R13))+1,7))),""))</f>
        <v/>
      </c>
      <c r="R13" s="17"/>
      <c r="S13" s="17"/>
      <c r="T13" s="5"/>
      <c r="U13" s="28" t="str">
        <f aca="false">IF(OR(G13="",H13=""),"",IF(P13=0,0,IF(IF(R13="",Settings!$C$9,R13)&lt;=B13,0,((YEAR(IF(R13="",Settings!$C$9,R13))-YEAR(B13))*12+MONTH(IF(R13="",Settings!$C$9,R13))-MONTH(B13)+1))))</f>
        <v/>
      </c>
      <c r="V13" s="29" t="str">
        <f aca="false">IF(OR(G13="",H13=""),"",ROUND(P13*Settings!$C$10*U13,0))</f>
        <v/>
      </c>
      <c r="W13" s="28" t="str">
        <f aca="false">IF(OR(G13="",H13=""),"",IF(OR(P13=0,R13=""),0,IF(IF(S13="",Settings!$C$9,S13)&lt;=Q13,0,((YEAR(IF(S13="",Settings!$C$9,S13))-YEAR(R13))*12+MONTH(IF(S13="",Settings!$C$9,S13))-MONTH(R13)+1))))</f>
        <v/>
      </c>
      <c r="X13" s="29" t="str">
        <f aca="false">IF(OR(G13="",H13=""),"",ROUND(P13*Settings!$C$11*W13,0))</f>
        <v/>
      </c>
      <c r="Y13" s="29" t="str">
        <f aca="false">IF(OR(G13="",H13=""),"",V13+X13)</f>
        <v/>
      </c>
      <c r="Z13" s="7" t="str">
        <f aca="false">IF(OR(G13="",H13=""),"",IF(P13=0,"Below threshold",IF(R13="","Not yet deducted",IF(S13="",IF(Settings!$C$9&gt;Q13,"Overdue — pay now","Deducted, due "&amp;TEXT(Q13,"dd-mmm")),IF(S13&lt;=Q13,IF(N(U13)&gt;0,"Deducted late, paid on time","Paid on time"),"Paid late")))))</f>
        <v/>
      </c>
      <c r="AA13" s="35" t="str">
        <f aca="false">IF(OR(G13="",H13=""),"",IF(D13&lt;&gt;"",UPPER(TRIM(D13)),UPPER(TRIM(C13))))</f>
        <v/>
      </c>
    </row>
    <row r="14" customFormat="false" ht="15" hidden="false" customHeight="false" outlineLevel="0" collapsed="false">
      <c r="B14" s="17"/>
      <c r="C14" s="5"/>
      <c r="D14" s="5"/>
      <c r="E14" s="5"/>
      <c r="F14" s="5"/>
      <c r="G14" s="5"/>
      <c r="H14" s="16"/>
      <c r="I14" s="7" t="str">
        <f aca="false">IF(OR(G14="",H14=""),"",IFERROR(INDEX('TDS Rates'!$D$6:$D$40,MATCH(G14,'TDS Rates'!$B$6:$B$40,0)),"Check nature"))</f>
        <v/>
      </c>
      <c r="J14" s="7" t="str">
        <f aca="false">IF(OR(G14="",H14=""),"",IFERROR(INDEX('TDS Rates'!$C$6:$C$40,MATCH(G14,'TDS Rates'!$B$6:$B$40,0)),""))</f>
        <v/>
      </c>
      <c r="K14" s="7" t="str">
        <f aca="false">IF(OR(G14="",H14=""),"",IFERROR(INDEX('TDS Rates'!$E$6:$E$40,MATCH(G14,'TDS Rates'!$B$6:$B$40,0)),""))</f>
        <v/>
      </c>
      <c r="L14" s="29" t="str">
        <f aca="false">IF(OR(G14="",H14=""),"",SUMIFS(H$6:H13,AA$6:AA13,AA14,G$6:G13,G14))</f>
        <v/>
      </c>
      <c r="M14" s="29" t="str">
        <f aca="false">IF(OR(G14="",H14=""),"",SUMIFS(H$6:H13,AA$6:AA13,AA14,G$6:G13,G14,N$6:N13,0))</f>
        <v/>
      </c>
      <c r="N14" s="29" t="str">
        <f aca="false">IF(OR(G14="",H14=""),"",IFERROR(IF(INDEX('TDS Rates'!$F$6:$F$40,MATCH(G14,'TDS Rates'!$B$6:$B$40,0))="NONE",H14,IF(INDEX('TDS Rates'!$F$6:$F$40,MATCH(G14,'TDS Rates'!$B$6:$B$40,0))="PER",IF(H14&gt;INDEX('TDS Rates'!$G$6:$G$40,MATCH(G14,'TDS Rates'!$B$6:$B$40,0)),H14,0),IF(INDEX('TDS Rates'!$F$6:$F$40,MATCH(G14,'TDS Rates'!$B$6:$B$40,0))="EXCESS",MAX(0,L14+H14-INDEX('TDS Rates'!$H$6:$H$40,MATCH(G14,'TDS Rates'!$B$6:$B$40,0)))-MAX(0,L14-INDEX('TDS Rates'!$H$6:$H$40,MATCH(G14,'TDS Rates'!$B$6:$B$40,0))),IF(INDEX('TDS Rates'!$F$6:$F$40,MATCH(G14,'TDS Rates'!$B$6:$B$40,0))="SA",IF(L14+H14&gt;INDEX('TDS Rates'!$H$6:$H$40,MATCH(G14,'TDS Rates'!$B$6:$B$40,0)),H14+M14,IF(H14&gt;INDEX('TDS Rates'!$G$6:$G$40,MATCH(G14,'TDS Rates'!$B$6:$B$40,0)),H14,0)),IF(L14+H14&gt;INDEX('TDS Rates'!$H$6:$H$40,MATCH(G14,'TDS Rates'!$B$6:$B$40,0)),H14+M14,0))))),0))</f>
        <v/>
      </c>
      <c r="O14" s="33" t="str">
        <f aca="false">IF(OR(G14="",H14=""),"",IFERROR(IF(F14="No",IF(INDEX('TDS Rates'!$C$6:$C$40,MATCH(G14,'TDS Rates'!$B$6:$B$40,0))="194Q",Settings!$C$14,MAX(Settings!$C$13,IF(E14="Individual / HUF",INDEX('TDS Rates'!$I$6:$I$40,MATCH(G14,'TDS Rates'!$B$6:$B$40,0)),IF(E14="Company",INDEX('TDS Rates'!$J$6:$J$40,MATCH(G14,'TDS Rates'!$B$6:$B$40,0)),INDEX('TDS Rates'!$K$6:$K$40,MATCH(G14,'TDS Rates'!$B$6:$B$40,0)))))),IF(E14="Individual / HUF",INDEX('TDS Rates'!$I$6:$I$40,MATCH(G14,'TDS Rates'!$B$6:$B$40,0)),IF(E14="Company",INDEX('TDS Rates'!$J$6:$J$40,MATCH(G14,'TDS Rates'!$B$6:$B$40,0)),INDEX('TDS Rates'!$K$6:$K$40,MATCH(G14,'TDS Rates'!$B$6:$B$40,0))))),0))</f>
        <v/>
      </c>
      <c r="P14" s="34" t="str">
        <f aca="false">IF(OR(G14="",H14=""),"",ROUND(N14*O14,0))</f>
        <v/>
      </c>
      <c r="Q14" s="27" t="str">
        <f aca="false">IF(OR(G14="",H14=""),"",IFERROR(IF(INDEX('TDS Rates'!$E$6:$E$40,MATCH(G14,'TDS Rates'!$B$6:$B$40,0))="Form 141",EOMONTH(IF(R14="",B14,R14),0)+30,IF(MONTH(IF(R14="",B14,R14))=3,DATE(YEAR(IF(R14="",B14,R14)),4,30),DATE(YEAR(IF(R14="",B14,R14)),MONTH(IF(R14="",B14,R14))+1,7))),""))</f>
        <v/>
      </c>
      <c r="R14" s="17"/>
      <c r="S14" s="17"/>
      <c r="T14" s="5"/>
      <c r="U14" s="28" t="str">
        <f aca="false">IF(OR(G14="",H14=""),"",IF(P14=0,0,IF(IF(R14="",Settings!$C$9,R14)&lt;=B14,0,((YEAR(IF(R14="",Settings!$C$9,R14))-YEAR(B14))*12+MONTH(IF(R14="",Settings!$C$9,R14))-MONTH(B14)+1))))</f>
        <v/>
      </c>
      <c r="V14" s="29" t="str">
        <f aca="false">IF(OR(G14="",H14=""),"",ROUND(P14*Settings!$C$10*U14,0))</f>
        <v/>
      </c>
      <c r="W14" s="28" t="str">
        <f aca="false">IF(OR(G14="",H14=""),"",IF(OR(P14=0,R14=""),0,IF(IF(S14="",Settings!$C$9,S14)&lt;=Q14,0,((YEAR(IF(S14="",Settings!$C$9,S14))-YEAR(R14))*12+MONTH(IF(S14="",Settings!$C$9,S14))-MONTH(R14)+1))))</f>
        <v/>
      </c>
      <c r="X14" s="29" t="str">
        <f aca="false">IF(OR(G14="",H14=""),"",ROUND(P14*Settings!$C$11*W14,0))</f>
        <v/>
      </c>
      <c r="Y14" s="29" t="str">
        <f aca="false">IF(OR(G14="",H14=""),"",V14+X14)</f>
        <v/>
      </c>
      <c r="Z14" s="7" t="str">
        <f aca="false">IF(OR(G14="",H14=""),"",IF(P14=0,"Below threshold",IF(R14="","Not yet deducted",IF(S14="",IF(Settings!$C$9&gt;Q14,"Overdue — pay now","Deducted, due "&amp;TEXT(Q14,"dd-mmm")),IF(S14&lt;=Q14,IF(N(U14)&gt;0,"Deducted late, paid on time","Paid on time"),"Paid late")))))</f>
        <v/>
      </c>
      <c r="AA14" s="35" t="str">
        <f aca="false">IF(OR(G14="",H14=""),"",IF(D14&lt;&gt;"",UPPER(TRIM(D14)),UPPER(TRIM(C14))))</f>
        <v/>
      </c>
    </row>
    <row r="15" customFormat="false" ht="15" hidden="false" customHeight="false" outlineLevel="0" collapsed="false">
      <c r="B15" s="17"/>
      <c r="C15" s="5"/>
      <c r="D15" s="5"/>
      <c r="E15" s="5"/>
      <c r="F15" s="5"/>
      <c r="G15" s="5"/>
      <c r="H15" s="16"/>
      <c r="I15" s="7" t="str">
        <f aca="false">IF(OR(G15="",H15=""),"",IFERROR(INDEX('TDS Rates'!$D$6:$D$40,MATCH(G15,'TDS Rates'!$B$6:$B$40,0)),"Check nature"))</f>
        <v/>
      </c>
      <c r="J15" s="7" t="str">
        <f aca="false">IF(OR(G15="",H15=""),"",IFERROR(INDEX('TDS Rates'!$C$6:$C$40,MATCH(G15,'TDS Rates'!$B$6:$B$40,0)),""))</f>
        <v/>
      </c>
      <c r="K15" s="7" t="str">
        <f aca="false">IF(OR(G15="",H15=""),"",IFERROR(INDEX('TDS Rates'!$E$6:$E$40,MATCH(G15,'TDS Rates'!$B$6:$B$40,0)),""))</f>
        <v/>
      </c>
      <c r="L15" s="29" t="str">
        <f aca="false">IF(OR(G15="",H15=""),"",SUMIFS(H$6:H14,AA$6:AA14,AA15,G$6:G14,G15))</f>
        <v/>
      </c>
      <c r="M15" s="29" t="str">
        <f aca="false">IF(OR(G15="",H15=""),"",SUMIFS(H$6:H14,AA$6:AA14,AA15,G$6:G14,G15,N$6:N14,0))</f>
        <v/>
      </c>
      <c r="N15" s="29" t="str">
        <f aca="false">IF(OR(G15="",H15=""),"",IFERROR(IF(INDEX('TDS Rates'!$F$6:$F$40,MATCH(G15,'TDS Rates'!$B$6:$B$40,0))="NONE",H15,IF(INDEX('TDS Rates'!$F$6:$F$40,MATCH(G15,'TDS Rates'!$B$6:$B$40,0))="PER",IF(H15&gt;INDEX('TDS Rates'!$G$6:$G$40,MATCH(G15,'TDS Rates'!$B$6:$B$40,0)),H15,0),IF(INDEX('TDS Rates'!$F$6:$F$40,MATCH(G15,'TDS Rates'!$B$6:$B$40,0))="EXCESS",MAX(0,L15+H15-INDEX('TDS Rates'!$H$6:$H$40,MATCH(G15,'TDS Rates'!$B$6:$B$40,0)))-MAX(0,L15-INDEX('TDS Rates'!$H$6:$H$40,MATCH(G15,'TDS Rates'!$B$6:$B$40,0))),IF(INDEX('TDS Rates'!$F$6:$F$40,MATCH(G15,'TDS Rates'!$B$6:$B$40,0))="SA",IF(L15+H15&gt;INDEX('TDS Rates'!$H$6:$H$40,MATCH(G15,'TDS Rates'!$B$6:$B$40,0)),H15+M15,IF(H15&gt;INDEX('TDS Rates'!$G$6:$G$40,MATCH(G15,'TDS Rates'!$B$6:$B$40,0)),H15,0)),IF(L15+H15&gt;INDEX('TDS Rates'!$H$6:$H$40,MATCH(G15,'TDS Rates'!$B$6:$B$40,0)),H15+M15,0))))),0))</f>
        <v/>
      </c>
      <c r="O15" s="33" t="str">
        <f aca="false">IF(OR(G15="",H15=""),"",IFERROR(IF(F15="No",IF(INDEX('TDS Rates'!$C$6:$C$40,MATCH(G15,'TDS Rates'!$B$6:$B$40,0))="194Q",Settings!$C$14,MAX(Settings!$C$13,IF(E15="Individual / HUF",INDEX('TDS Rates'!$I$6:$I$40,MATCH(G15,'TDS Rates'!$B$6:$B$40,0)),IF(E15="Company",INDEX('TDS Rates'!$J$6:$J$40,MATCH(G15,'TDS Rates'!$B$6:$B$40,0)),INDEX('TDS Rates'!$K$6:$K$40,MATCH(G15,'TDS Rates'!$B$6:$B$40,0)))))),IF(E15="Individual / HUF",INDEX('TDS Rates'!$I$6:$I$40,MATCH(G15,'TDS Rates'!$B$6:$B$40,0)),IF(E15="Company",INDEX('TDS Rates'!$J$6:$J$40,MATCH(G15,'TDS Rates'!$B$6:$B$40,0)),INDEX('TDS Rates'!$K$6:$K$40,MATCH(G15,'TDS Rates'!$B$6:$B$40,0))))),0))</f>
        <v/>
      </c>
      <c r="P15" s="34" t="str">
        <f aca="false">IF(OR(G15="",H15=""),"",ROUND(N15*O15,0))</f>
        <v/>
      </c>
      <c r="Q15" s="27" t="str">
        <f aca="false">IF(OR(G15="",H15=""),"",IFERROR(IF(INDEX('TDS Rates'!$E$6:$E$40,MATCH(G15,'TDS Rates'!$B$6:$B$40,0))="Form 141",EOMONTH(IF(R15="",B15,R15),0)+30,IF(MONTH(IF(R15="",B15,R15))=3,DATE(YEAR(IF(R15="",B15,R15)),4,30),DATE(YEAR(IF(R15="",B15,R15)),MONTH(IF(R15="",B15,R15))+1,7))),""))</f>
        <v/>
      </c>
      <c r="R15" s="17"/>
      <c r="S15" s="17"/>
      <c r="T15" s="5"/>
      <c r="U15" s="28" t="str">
        <f aca="false">IF(OR(G15="",H15=""),"",IF(P15=0,0,IF(IF(R15="",Settings!$C$9,R15)&lt;=B15,0,((YEAR(IF(R15="",Settings!$C$9,R15))-YEAR(B15))*12+MONTH(IF(R15="",Settings!$C$9,R15))-MONTH(B15)+1))))</f>
        <v/>
      </c>
      <c r="V15" s="29" t="str">
        <f aca="false">IF(OR(G15="",H15=""),"",ROUND(P15*Settings!$C$10*U15,0))</f>
        <v/>
      </c>
      <c r="W15" s="28" t="str">
        <f aca="false">IF(OR(G15="",H15=""),"",IF(OR(P15=0,R15=""),0,IF(IF(S15="",Settings!$C$9,S15)&lt;=Q15,0,((YEAR(IF(S15="",Settings!$C$9,S15))-YEAR(R15))*12+MONTH(IF(S15="",Settings!$C$9,S15))-MONTH(R15)+1))))</f>
        <v/>
      </c>
      <c r="X15" s="29" t="str">
        <f aca="false">IF(OR(G15="",H15=""),"",ROUND(P15*Settings!$C$11*W15,0))</f>
        <v/>
      </c>
      <c r="Y15" s="29" t="str">
        <f aca="false">IF(OR(G15="",H15=""),"",V15+X15)</f>
        <v/>
      </c>
      <c r="Z15" s="7" t="str">
        <f aca="false">IF(OR(G15="",H15=""),"",IF(P15=0,"Below threshold",IF(R15="","Not yet deducted",IF(S15="",IF(Settings!$C$9&gt;Q15,"Overdue — pay now","Deducted, due "&amp;TEXT(Q15,"dd-mmm")),IF(S15&lt;=Q15,IF(N(U15)&gt;0,"Deducted late, paid on time","Paid on time"),"Paid late")))))</f>
        <v/>
      </c>
      <c r="AA15" s="35" t="str">
        <f aca="false">IF(OR(G15="",H15=""),"",IF(D15&lt;&gt;"",UPPER(TRIM(D15)),UPPER(TRIM(C15))))</f>
        <v/>
      </c>
    </row>
    <row r="16" customFormat="false" ht="15" hidden="false" customHeight="false" outlineLevel="0" collapsed="false">
      <c r="B16" s="17"/>
      <c r="C16" s="5"/>
      <c r="D16" s="5"/>
      <c r="E16" s="5"/>
      <c r="F16" s="5"/>
      <c r="G16" s="5"/>
      <c r="H16" s="16"/>
      <c r="I16" s="7" t="str">
        <f aca="false">IF(OR(G16="",H16=""),"",IFERROR(INDEX('TDS Rates'!$D$6:$D$40,MATCH(G16,'TDS Rates'!$B$6:$B$40,0)),"Check nature"))</f>
        <v/>
      </c>
      <c r="J16" s="7" t="str">
        <f aca="false">IF(OR(G16="",H16=""),"",IFERROR(INDEX('TDS Rates'!$C$6:$C$40,MATCH(G16,'TDS Rates'!$B$6:$B$40,0)),""))</f>
        <v/>
      </c>
      <c r="K16" s="7" t="str">
        <f aca="false">IF(OR(G16="",H16=""),"",IFERROR(INDEX('TDS Rates'!$E$6:$E$40,MATCH(G16,'TDS Rates'!$B$6:$B$40,0)),""))</f>
        <v/>
      </c>
      <c r="L16" s="29" t="str">
        <f aca="false">IF(OR(G16="",H16=""),"",SUMIFS(H$6:H15,AA$6:AA15,AA16,G$6:G15,G16))</f>
        <v/>
      </c>
      <c r="M16" s="29" t="str">
        <f aca="false">IF(OR(G16="",H16=""),"",SUMIFS(H$6:H15,AA$6:AA15,AA16,G$6:G15,G16,N$6:N15,0))</f>
        <v/>
      </c>
      <c r="N16" s="29" t="str">
        <f aca="false">IF(OR(G16="",H16=""),"",IFERROR(IF(INDEX('TDS Rates'!$F$6:$F$40,MATCH(G16,'TDS Rates'!$B$6:$B$40,0))="NONE",H16,IF(INDEX('TDS Rates'!$F$6:$F$40,MATCH(G16,'TDS Rates'!$B$6:$B$40,0))="PER",IF(H16&gt;INDEX('TDS Rates'!$G$6:$G$40,MATCH(G16,'TDS Rates'!$B$6:$B$40,0)),H16,0),IF(INDEX('TDS Rates'!$F$6:$F$40,MATCH(G16,'TDS Rates'!$B$6:$B$40,0))="EXCESS",MAX(0,L16+H16-INDEX('TDS Rates'!$H$6:$H$40,MATCH(G16,'TDS Rates'!$B$6:$B$40,0)))-MAX(0,L16-INDEX('TDS Rates'!$H$6:$H$40,MATCH(G16,'TDS Rates'!$B$6:$B$40,0))),IF(INDEX('TDS Rates'!$F$6:$F$40,MATCH(G16,'TDS Rates'!$B$6:$B$40,0))="SA",IF(L16+H16&gt;INDEX('TDS Rates'!$H$6:$H$40,MATCH(G16,'TDS Rates'!$B$6:$B$40,0)),H16+M16,IF(H16&gt;INDEX('TDS Rates'!$G$6:$G$40,MATCH(G16,'TDS Rates'!$B$6:$B$40,0)),H16,0)),IF(L16+H16&gt;INDEX('TDS Rates'!$H$6:$H$40,MATCH(G16,'TDS Rates'!$B$6:$B$40,0)),H16+M16,0))))),0))</f>
        <v/>
      </c>
      <c r="O16" s="33" t="str">
        <f aca="false">IF(OR(G16="",H16=""),"",IFERROR(IF(F16="No",IF(INDEX('TDS Rates'!$C$6:$C$40,MATCH(G16,'TDS Rates'!$B$6:$B$40,0))="194Q",Settings!$C$14,MAX(Settings!$C$13,IF(E16="Individual / HUF",INDEX('TDS Rates'!$I$6:$I$40,MATCH(G16,'TDS Rates'!$B$6:$B$40,0)),IF(E16="Company",INDEX('TDS Rates'!$J$6:$J$40,MATCH(G16,'TDS Rates'!$B$6:$B$40,0)),INDEX('TDS Rates'!$K$6:$K$40,MATCH(G16,'TDS Rates'!$B$6:$B$40,0)))))),IF(E16="Individual / HUF",INDEX('TDS Rates'!$I$6:$I$40,MATCH(G16,'TDS Rates'!$B$6:$B$40,0)),IF(E16="Company",INDEX('TDS Rates'!$J$6:$J$40,MATCH(G16,'TDS Rates'!$B$6:$B$40,0)),INDEX('TDS Rates'!$K$6:$K$40,MATCH(G16,'TDS Rates'!$B$6:$B$40,0))))),0))</f>
        <v/>
      </c>
      <c r="P16" s="34" t="str">
        <f aca="false">IF(OR(G16="",H16=""),"",ROUND(N16*O16,0))</f>
        <v/>
      </c>
      <c r="Q16" s="27" t="str">
        <f aca="false">IF(OR(G16="",H16=""),"",IFERROR(IF(INDEX('TDS Rates'!$E$6:$E$40,MATCH(G16,'TDS Rates'!$B$6:$B$40,0))="Form 141",EOMONTH(IF(R16="",B16,R16),0)+30,IF(MONTH(IF(R16="",B16,R16))=3,DATE(YEAR(IF(R16="",B16,R16)),4,30),DATE(YEAR(IF(R16="",B16,R16)),MONTH(IF(R16="",B16,R16))+1,7))),""))</f>
        <v/>
      </c>
      <c r="R16" s="17"/>
      <c r="S16" s="17"/>
      <c r="T16" s="5"/>
      <c r="U16" s="28" t="str">
        <f aca="false">IF(OR(G16="",H16=""),"",IF(P16=0,0,IF(IF(R16="",Settings!$C$9,R16)&lt;=B16,0,((YEAR(IF(R16="",Settings!$C$9,R16))-YEAR(B16))*12+MONTH(IF(R16="",Settings!$C$9,R16))-MONTH(B16)+1))))</f>
        <v/>
      </c>
      <c r="V16" s="29" t="str">
        <f aca="false">IF(OR(G16="",H16=""),"",ROUND(P16*Settings!$C$10*U16,0))</f>
        <v/>
      </c>
      <c r="W16" s="28" t="str">
        <f aca="false">IF(OR(G16="",H16=""),"",IF(OR(P16=0,R16=""),0,IF(IF(S16="",Settings!$C$9,S16)&lt;=Q16,0,((YEAR(IF(S16="",Settings!$C$9,S16))-YEAR(R16))*12+MONTH(IF(S16="",Settings!$C$9,S16))-MONTH(R16)+1))))</f>
        <v/>
      </c>
      <c r="X16" s="29" t="str">
        <f aca="false">IF(OR(G16="",H16=""),"",ROUND(P16*Settings!$C$11*W16,0))</f>
        <v/>
      </c>
      <c r="Y16" s="29" t="str">
        <f aca="false">IF(OR(G16="",H16=""),"",V16+X16)</f>
        <v/>
      </c>
      <c r="Z16" s="7" t="str">
        <f aca="false">IF(OR(G16="",H16=""),"",IF(P16=0,"Below threshold",IF(R16="","Not yet deducted",IF(S16="",IF(Settings!$C$9&gt;Q16,"Overdue — pay now","Deducted, due "&amp;TEXT(Q16,"dd-mmm")),IF(S16&lt;=Q16,IF(N(U16)&gt;0,"Deducted late, paid on time","Paid on time"),"Paid late")))))</f>
        <v/>
      </c>
      <c r="AA16" s="35" t="str">
        <f aca="false">IF(OR(G16="",H16=""),"",IF(D16&lt;&gt;"",UPPER(TRIM(D16)),UPPER(TRIM(C16))))</f>
        <v/>
      </c>
    </row>
    <row r="17" customFormat="false" ht="15" hidden="false" customHeight="false" outlineLevel="0" collapsed="false">
      <c r="B17" s="17"/>
      <c r="C17" s="5"/>
      <c r="D17" s="5"/>
      <c r="E17" s="5"/>
      <c r="F17" s="5"/>
      <c r="G17" s="5"/>
      <c r="H17" s="16"/>
      <c r="I17" s="7" t="str">
        <f aca="false">IF(OR(G17="",H17=""),"",IFERROR(INDEX('TDS Rates'!$D$6:$D$40,MATCH(G17,'TDS Rates'!$B$6:$B$40,0)),"Check nature"))</f>
        <v/>
      </c>
      <c r="J17" s="7" t="str">
        <f aca="false">IF(OR(G17="",H17=""),"",IFERROR(INDEX('TDS Rates'!$C$6:$C$40,MATCH(G17,'TDS Rates'!$B$6:$B$40,0)),""))</f>
        <v/>
      </c>
      <c r="K17" s="7" t="str">
        <f aca="false">IF(OR(G17="",H17=""),"",IFERROR(INDEX('TDS Rates'!$E$6:$E$40,MATCH(G17,'TDS Rates'!$B$6:$B$40,0)),""))</f>
        <v/>
      </c>
      <c r="L17" s="29" t="str">
        <f aca="false">IF(OR(G17="",H17=""),"",SUMIFS(H$6:H16,AA$6:AA16,AA17,G$6:G16,G17))</f>
        <v/>
      </c>
      <c r="M17" s="29" t="str">
        <f aca="false">IF(OR(G17="",H17=""),"",SUMIFS(H$6:H16,AA$6:AA16,AA17,G$6:G16,G17,N$6:N16,0))</f>
        <v/>
      </c>
      <c r="N17" s="29" t="str">
        <f aca="false">IF(OR(G17="",H17=""),"",IFERROR(IF(INDEX('TDS Rates'!$F$6:$F$40,MATCH(G17,'TDS Rates'!$B$6:$B$40,0))="NONE",H17,IF(INDEX('TDS Rates'!$F$6:$F$40,MATCH(G17,'TDS Rates'!$B$6:$B$40,0))="PER",IF(H17&gt;INDEX('TDS Rates'!$G$6:$G$40,MATCH(G17,'TDS Rates'!$B$6:$B$40,0)),H17,0),IF(INDEX('TDS Rates'!$F$6:$F$40,MATCH(G17,'TDS Rates'!$B$6:$B$40,0))="EXCESS",MAX(0,L17+H17-INDEX('TDS Rates'!$H$6:$H$40,MATCH(G17,'TDS Rates'!$B$6:$B$40,0)))-MAX(0,L17-INDEX('TDS Rates'!$H$6:$H$40,MATCH(G17,'TDS Rates'!$B$6:$B$40,0))),IF(INDEX('TDS Rates'!$F$6:$F$40,MATCH(G17,'TDS Rates'!$B$6:$B$40,0))="SA",IF(L17+H17&gt;INDEX('TDS Rates'!$H$6:$H$40,MATCH(G17,'TDS Rates'!$B$6:$B$40,0)),H17+M17,IF(H17&gt;INDEX('TDS Rates'!$G$6:$G$40,MATCH(G17,'TDS Rates'!$B$6:$B$40,0)),H17,0)),IF(L17+H17&gt;INDEX('TDS Rates'!$H$6:$H$40,MATCH(G17,'TDS Rates'!$B$6:$B$40,0)),H17+M17,0))))),0))</f>
        <v/>
      </c>
      <c r="O17" s="33" t="str">
        <f aca="false">IF(OR(G17="",H17=""),"",IFERROR(IF(F17="No",IF(INDEX('TDS Rates'!$C$6:$C$40,MATCH(G17,'TDS Rates'!$B$6:$B$40,0))="194Q",Settings!$C$14,MAX(Settings!$C$13,IF(E17="Individual / HUF",INDEX('TDS Rates'!$I$6:$I$40,MATCH(G17,'TDS Rates'!$B$6:$B$40,0)),IF(E17="Company",INDEX('TDS Rates'!$J$6:$J$40,MATCH(G17,'TDS Rates'!$B$6:$B$40,0)),INDEX('TDS Rates'!$K$6:$K$40,MATCH(G17,'TDS Rates'!$B$6:$B$40,0)))))),IF(E17="Individual / HUF",INDEX('TDS Rates'!$I$6:$I$40,MATCH(G17,'TDS Rates'!$B$6:$B$40,0)),IF(E17="Company",INDEX('TDS Rates'!$J$6:$J$40,MATCH(G17,'TDS Rates'!$B$6:$B$40,0)),INDEX('TDS Rates'!$K$6:$K$40,MATCH(G17,'TDS Rates'!$B$6:$B$40,0))))),0))</f>
        <v/>
      </c>
      <c r="P17" s="34" t="str">
        <f aca="false">IF(OR(G17="",H17=""),"",ROUND(N17*O17,0))</f>
        <v/>
      </c>
      <c r="Q17" s="27" t="str">
        <f aca="false">IF(OR(G17="",H17=""),"",IFERROR(IF(INDEX('TDS Rates'!$E$6:$E$40,MATCH(G17,'TDS Rates'!$B$6:$B$40,0))="Form 141",EOMONTH(IF(R17="",B17,R17),0)+30,IF(MONTH(IF(R17="",B17,R17))=3,DATE(YEAR(IF(R17="",B17,R17)),4,30),DATE(YEAR(IF(R17="",B17,R17)),MONTH(IF(R17="",B17,R17))+1,7))),""))</f>
        <v/>
      </c>
      <c r="R17" s="17"/>
      <c r="S17" s="17"/>
      <c r="T17" s="5"/>
      <c r="U17" s="28" t="str">
        <f aca="false">IF(OR(G17="",H17=""),"",IF(P17=0,0,IF(IF(R17="",Settings!$C$9,R17)&lt;=B17,0,((YEAR(IF(R17="",Settings!$C$9,R17))-YEAR(B17))*12+MONTH(IF(R17="",Settings!$C$9,R17))-MONTH(B17)+1))))</f>
        <v/>
      </c>
      <c r="V17" s="29" t="str">
        <f aca="false">IF(OR(G17="",H17=""),"",ROUND(P17*Settings!$C$10*U17,0))</f>
        <v/>
      </c>
      <c r="W17" s="28" t="str">
        <f aca="false">IF(OR(G17="",H17=""),"",IF(OR(P17=0,R17=""),0,IF(IF(S17="",Settings!$C$9,S17)&lt;=Q17,0,((YEAR(IF(S17="",Settings!$C$9,S17))-YEAR(R17))*12+MONTH(IF(S17="",Settings!$C$9,S17))-MONTH(R17)+1))))</f>
        <v/>
      </c>
      <c r="X17" s="29" t="str">
        <f aca="false">IF(OR(G17="",H17=""),"",ROUND(P17*Settings!$C$11*W17,0))</f>
        <v/>
      </c>
      <c r="Y17" s="29" t="str">
        <f aca="false">IF(OR(G17="",H17=""),"",V17+X17)</f>
        <v/>
      </c>
      <c r="Z17" s="7" t="str">
        <f aca="false">IF(OR(G17="",H17=""),"",IF(P17=0,"Below threshold",IF(R17="","Not yet deducted",IF(S17="",IF(Settings!$C$9&gt;Q17,"Overdue — pay now","Deducted, due "&amp;TEXT(Q17,"dd-mmm")),IF(S17&lt;=Q17,IF(N(U17)&gt;0,"Deducted late, paid on time","Paid on time"),"Paid late")))))</f>
        <v/>
      </c>
      <c r="AA17" s="35" t="str">
        <f aca="false">IF(OR(G17="",H17=""),"",IF(D17&lt;&gt;"",UPPER(TRIM(D17)),UPPER(TRIM(C17))))</f>
        <v/>
      </c>
    </row>
    <row r="18" customFormat="false" ht="15" hidden="false" customHeight="false" outlineLevel="0" collapsed="false">
      <c r="B18" s="17"/>
      <c r="C18" s="5"/>
      <c r="D18" s="5"/>
      <c r="E18" s="5"/>
      <c r="F18" s="5"/>
      <c r="G18" s="5"/>
      <c r="H18" s="16"/>
      <c r="I18" s="7" t="str">
        <f aca="false">IF(OR(G18="",H18=""),"",IFERROR(INDEX('TDS Rates'!$D$6:$D$40,MATCH(G18,'TDS Rates'!$B$6:$B$40,0)),"Check nature"))</f>
        <v/>
      </c>
      <c r="J18" s="7" t="str">
        <f aca="false">IF(OR(G18="",H18=""),"",IFERROR(INDEX('TDS Rates'!$C$6:$C$40,MATCH(G18,'TDS Rates'!$B$6:$B$40,0)),""))</f>
        <v/>
      </c>
      <c r="K18" s="7" t="str">
        <f aca="false">IF(OR(G18="",H18=""),"",IFERROR(INDEX('TDS Rates'!$E$6:$E$40,MATCH(G18,'TDS Rates'!$B$6:$B$40,0)),""))</f>
        <v/>
      </c>
      <c r="L18" s="29" t="str">
        <f aca="false">IF(OR(G18="",H18=""),"",SUMIFS(H$6:H17,AA$6:AA17,AA18,G$6:G17,G18))</f>
        <v/>
      </c>
      <c r="M18" s="29" t="str">
        <f aca="false">IF(OR(G18="",H18=""),"",SUMIFS(H$6:H17,AA$6:AA17,AA18,G$6:G17,G18,N$6:N17,0))</f>
        <v/>
      </c>
      <c r="N18" s="29" t="str">
        <f aca="false">IF(OR(G18="",H18=""),"",IFERROR(IF(INDEX('TDS Rates'!$F$6:$F$40,MATCH(G18,'TDS Rates'!$B$6:$B$40,0))="NONE",H18,IF(INDEX('TDS Rates'!$F$6:$F$40,MATCH(G18,'TDS Rates'!$B$6:$B$40,0))="PER",IF(H18&gt;INDEX('TDS Rates'!$G$6:$G$40,MATCH(G18,'TDS Rates'!$B$6:$B$40,0)),H18,0),IF(INDEX('TDS Rates'!$F$6:$F$40,MATCH(G18,'TDS Rates'!$B$6:$B$40,0))="EXCESS",MAX(0,L18+H18-INDEX('TDS Rates'!$H$6:$H$40,MATCH(G18,'TDS Rates'!$B$6:$B$40,0)))-MAX(0,L18-INDEX('TDS Rates'!$H$6:$H$40,MATCH(G18,'TDS Rates'!$B$6:$B$40,0))),IF(INDEX('TDS Rates'!$F$6:$F$40,MATCH(G18,'TDS Rates'!$B$6:$B$40,0))="SA",IF(L18+H18&gt;INDEX('TDS Rates'!$H$6:$H$40,MATCH(G18,'TDS Rates'!$B$6:$B$40,0)),H18+M18,IF(H18&gt;INDEX('TDS Rates'!$G$6:$G$40,MATCH(G18,'TDS Rates'!$B$6:$B$40,0)),H18,0)),IF(L18+H18&gt;INDEX('TDS Rates'!$H$6:$H$40,MATCH(G18,'TDS Rates'!$B$6:$B$40,0)),H18+M18,0))))),0))</f>
        <v/>
      </c>
      <c r="O18" s="33" t="str">
        <f aca="false">IF(OR(G18="",H18=""),"",IFERROR(IF(F18="No",IF(INDEX('TDS Rates'!$C$6:$C$40,MATCH(G18,'TDS Rates'!$B$6:$B$40,0))="194Q",Settings!$C$14,MAX(Settings!$C$13,IF(E18="Individual / HUF",INDEX('TDS Rates'!$I$6:$I$40,MATCH(G18,'TDS Rates'!$B$6:$B$40,0)),IF(E18="Company",INDEX('TDS Rates'!$J$6:$J$40,MATCH(G18,'TDS Rates'!$B$6:$B$40,0)),INDEX('TDS Rates'!$K$6:$K$40,MATCH(G18,'TDS Rates'!$B$6:$B$40,0)))))),IF(E18="Individual / HUF",INDEX('TDS Rates'!$I$6:$I$40,MATCH(G18,'TDS Rates'!$B$6:$B$40,0)),IF(E18="Company",INDEX('TDS Rates'!$J$6:$J$40,MATCH(G18,'TDS Rates'!$B$6:$B$40,0)),INDEX('TDS Rates'!$K$6:$K$40,MATCH(G18,'TDS Rates'!$B$6:$B$40,0))))),0))</f>
        <v/>
      </c>
      <c r="P18" s="34" t="str">
        <f aca="false">IF(OR(G18="",H18=""),"",ROUND(N18*O18,0))</f>
        <v/>
      </c>
      <c r="Q18" s="27" t="str">
        <f aca="false">IF(OR(G18="",H18=""),"",IFERROR(IF(INDEX('TDS Rates'!$E$6:$E$40,MATCH(G18,'TDS Rates'!$B$6:$B$40,0))="Form 141",EOMONTH(IF(R18="",B18,R18),0)+30,IF(MONTH(IF(R18="",B18,R18))=3,DATE(YEAR(IF(R18="",B18,R18)),4,30),DATE(YEAR(IF(R18="",B18,R18)),MONTH(IF(R18="",B18,R18))+1,7))),""))</f>
        <v/>
      </c>
      <c r="R18" s="17"/>
      <c r="S18" s="17"/>
      <c r="T18" s="5"/>
      <c r="U18" s="28" t="str">
        <f aca="false">IF(OR(G18="",H18=""),"",IF(P18=0,0,IF(IF(R18="",Settings!$C$9,R18)&lt;=B18,0,((YEAR(IF(R18="",Settings!$C$9,R18))-YEAR(B18))*12+MONTH(IF(R18="",Settings!$C$9,R18))-MONTH(B18)+1))))</f>
        <v/>
      </c>
      <c r="V18" s="29" t="str">
        <f aca="false">IF(OR(G18="",H18=""),"",ROUND(P18*Settings!$C$10*U18,0))</f>
        <v/>
      </c>
      <c r="W18" s="28" t="str">
        <f aca="false">IF(OR(G18="",H18=""),"",IF(OR(P18=0,R18=""),0,IF(IF(S18="",Settings!$C$9,S18)&lt;=Q18,0,((YEAR(IF(S18="",Settings!$C$9,S18))-YEAR(R18))*12+MONTH(IF(S18="",Settings!$C$9,S18))-MONTH(R18)+1))))</f>
        <v/>
      </c>
      <c r="X18" s="29" t="str">
        <f aca="false">IF(OR(G18="",H18=""),"",ROUND(P18*Settings!$C$11*W18,0))</f>
        <v/>
      </c>
      <c r="Y18" s="29" t="str">
        <f aca="false">IF(OR(G18="",H18=""),"",V18+X18)</f>
        <v/>
      </c>
      <c r="Z18" s="7" t="str">
        <f aca="false">IF(OR(G18="",H18=""),"",IF(P18=0,"Below threshold",IF(R18="","Not yet deducted",IF(S18="",IF(Settings!$C$9&gt;Q18,"Overdue — pay now","Deducted, due "&amp;TEXT(Q18,"dd-mmm")),IF(S18&lt;=Q18,IF(N(U18)&gt;0,"Deducted late, paid on time","Paid on time"),"Paid late")))))</f>
        <v/>
      </c>
      <c r="AA18" s="35" t="str">
        <f aca="false">IF(OR(G18="",H18=""),"",IF(D18&lt;&gt;"",UPPER(TRIM(D18)),UPPER(TRIM(C18))))</f>
        <v/>
      </c>
    </row>
    <row r="19" customFormat="false" ht="15" hidden="false" customHeight="false" outlineLevel="0" collapsed="false">
      <c r="B19" s="17"/>
      <c r="C19" s="5"/>
      <c r="D19" s="5"/>
      <c r="E19" s="5"/>
      <c r="F19" s="5"/>
      <c r="G19" s="5"/>
      <c r="H19" s="16"/>
      <c r="I19" s="7" t="str">
        <f aca="false">IF(OR(G19="",H19=""),"",IFERROR(INDEX('TDS Rates'!$D$6:$D$40,MATCH(G19,'TDS Rates'!$B$6:$B$40,0)),"Check nature"))</f>
        <v/>
      </c>
      <c r="J19" s="7" t="str">
        <f aca="false">IF(OR(G19="",H19=""),"",IFERROR(INDEX('TDS Rates'!$C$6:$C$40,MATCH(G19,'TDS Rates'!$B$6:$B$40,0)),""))</f>
        <v/>
      </c>
      <c r="K19" s="7" t="str">
        <f aca="false">IF(OR(G19="",H19=""),"",IFERROR(INDEX('TDS Rates'!$E$6:$E$40,MATCH(G19,'TDS Rates'!$B$6:$B$40,0)),""))</f>
        <v/>
      </c>
      <c r="L19" s="29" t="str">
        <f aca="false">IF(OR(G19="",H19=""),"",SUMIFS(H$6:H18,AA$6:AA18,AA19,G$6:G18,G19))</f>
        <v/>
      </c>
      <c r="M19" s="29" t="str">
        <f aca="false">IF(OR(G19="",H19=""),"",SUMIFS(H$6:H18,AA$6:AA18,AA19,G$6:G18,G19,N$6:N18,0))</f>
        <v/>
      </c>
      <c r="N19" s="29" t="str">
        <f aca="false">IF(OR(G19="",H19=""),"",IFERROR(IF(INDEX('TDS Rates'!$F$6:$F$40,MATCH(G19,'TDS Rates'!$B$6:$B$40,0))="NONE",H19,IF(INDEX('TDS Rates'!$F$6:$F$40,MATCH(G19,'TDS Rates'!$B$6:$B$40,0))="PER",IF(H19&gt;INDEX('TDS Rates'!$G$6:$G$40,MATCH(G19,'TDS Rates'!$B$6:$B$40,0)),H19,0),IF(INDEX('TDS Rates'!$F$6:$F$40,MATCH(G19,'TDS Rates'!$B$6:$B$40,0))="EXCESS",MAX(0,L19+H19-INDEX('TDS Rates'!$H$6:$H$40,MATCH(G19,'TDS Rates'!$B$6:$B$40,0)))-MAX(0,L19-INDEX('TDS Rates'!$H$6:$H$40,MATCH(G19,'TDS Rates'!$B$6:$B$40,0))),IF(INDEX('TDS Rates'!$F$6:$F$40,MATCH(G19,'TDS Rates'!$B$6:$B$40,0))="SA",IF(L19+H19&gt;INDEX('TDS Rates'!$H$6:$H$40,MATCH(G19,'TDS Rates'!$B$6:$B$40,0)),H19+M19,IF(H19&gt;INDEX('TDS Rates'!$G$6:$G$40,MATCH(G19,'TDS Rates'!$B$6:$B$40,0)),H19,0)),IF(L19+H19&gt;INDEX('TDS Rates'!$H$6:$H$40,MATCH(G19,'TDS Rates'!$B$6:$B$40,0)),H19+M19,0))))),0))</f>
        <v/>
      </c>
      <c r="O19" s="33" t="str">
        <f aca="false">IF(OR(G19="",H19=""),"",IFERROR(IF(F19="No",IF(INDEX('TDS Rates'!$C$6:$C$40,MATCH(G19,'TDS Rates'!$B$6:$B$40,0))="194Q",Settings!$C$14,MAX(Settings!$C$13,IF(E19="Individual / HUF",INDEX('TDS Rates'!$I$6:$I$40,MATCH(G19,'TDS Rates'!$B$6:$B$40,0)),IF(E19="Company",INDEX('TDS Rates'!$J$6:$J$40,MATCH(G19,'TDS Rates'!$B$6:$B$40,0)),INDEX('TDS Rates'!$K$6:$K$40,MATCH(G19,'TDS Rates'!$B$6:$B$40,0)))))),IF(E19="Individual / HUF",INDEX('TDS Rates'!$I$6:$I$40,MATCH(G19,'TDS Rates'!$B$6:$B$40,0)),IF(E19="Company",INDEX('TDS Rates'!$J$6:$J$40,MATCH(G19,'TDS Rates'!$B$6:$B$40,0)),INDEX('TDS Rates'!$K$6:$K$40,MATCH(G19,'TDS Rates'!$B$6:$B$40,0))))),0))</f>
        <v/>
      </c>
      <c r="P19" s="34" t="str">
        <f aca="false">IF(OR(G19="",H19=""),"",ROUND(N19*O19,0))</f>
        <v/>
      </c>
      <c r="Q19" s="27" t="str">
        <f aca="false">IF(OR(G19="",H19=""),"",IFERROR(IF(INDEX('TDS Rates'!$E$6:$E$40,MATCH(G19,'TDS Rates'!$B$6:$B$40,0))="Form 141",EOMONTH(IF(R19="",B19,R19),0)+30,IF(MONTH(IF(R19="",B19,R19))=3,DATE(YEAR(IF(R19="",B19,R19)),4,30),DATE(YEAR(IF(R19="",B19,R19)),MONTH(IF(R19="",B19,R19))+1,7))),""))</f>
        <v/>
      </c>
      <c r="R19" s="17"/>
      <c r="S19" s="17"/>
      <c r="T19" s="5"/>
      <c r="U19" s="28" t="str">
        <f aca="false">IF(OR(G19="",H19=""),"",IF(P19=0,0,IF(IF(R19="",Settings!$C$9,R19)&lt;=B19,0,((YEAR(IF(R19="",Settings!$C$9,R19))-YEAR(B19))*12+MONTH(IF(R19="",Settings!$C$9,R19))-MONTH(B19)+1))))</f>
        <v/>
      </c>
      <c r="V19" s="29" t="str">
        <f aca="false">IF(OR(G19="",H19=""),"",ROUND(P19*Settings!$C$10*U19,0))</f>
        <v/>
      </c>
      <c r="W19" s="28" t="str">
        <f aca="false">IF(OR(G19="",H19=""),"",IF(OR(P19=0,R19=""),0,IF(IF(S19="",Settings!$C$9,S19)&lt;=Q19,0,((YEAR(IF(S19="",Settings!$C$9,S19))-YEAR(R19))*12+MONTH(IF(S19="",Settings!$C$9,S19))-MONTH(R19)+1))))</f>
        <v/>
      </c>
      <c r="X19" s="29" t="str">
        <f aca="false">IF(OR(G19="",H19=""),"",ROUND(P19*Settings!$C$11*W19,0))</f>
        <v/>
      </c>
      <c r="Y19" s="29" t="str">
        <f aca="false">IF(OR(G19="",H19=""),"",V19+X19)</f>
        <v/>
      </c>
      <c r="Z19" s="7" t="str">
        <f aca="false">IF(OR(G19="",H19=""),"",IF(P19=0,"Below threshold",IF(R19="","Not yet deducted",IF(S19="",IF(Settings!$C$9&gt;Q19,"Overdue — pay now","Deducted, due "&amp;TEXT(Q19,"dd-mmm")),IF(S19&lt;=Q19,IF(N(U19)&gt;0,"Deducted late, paid on time","Paid on time"),"Paid late")))))</f>
        <v/>
      </c>
      <c r="AA19" s="35" t="str">
        <f aca="false">IF(OR(G19="",H19=""),"",IF(D19&lt;&gt;"",UPPER(TRIM(D19)),UPPER(TRIM(C19))))</f>
        <v/>
      </c>
    </row>
    <row r="20" customFormat="false" ht="15" hidden="false" customHeight="false" outlineLevel="0" collapsed="false">
      <c r="B20" s="17"/>
      <c r="C20" s="5"/>
      <c r="D20" s="5"/>
      <c r="E20" s="5"/>
      <c r="F20" s="5"/>
      <c r="G20" s="5"/>
      <c r="H20" s="16"/>
      <c r="I20" s="7" t="str">
        <f aca="false">IF(OR(G20="",H20=""),"",IFERROR(INDEX('TDS Rates'!$D$6:$D$40,MATCH(G20,'TDS Rates'!$B$6:$B$40,0)),"Check nature"))</f>
        <v/>
      </c>
      <c r="J20" s="7" t="str">
        <f aca="false">IF(OR(G20="",H20=""),"",IFERROR(INDEX('TDS Rates'!$C$6:$C$40,MATCH(G20,'TDS Rates'!$B$6:$B$40,0)),""))</f>
        <v/>
      </c>
      <c r="K20" s="7" t="str">
        <f aca="false">IF(OR(G20="",H20=""),"",IFERROR(INDEX('TDS Rates'!$E$6:$E$40,MATCH(G20,'TDS Rates'!$B$6:$B$40,0)),""))</f>
        <v/>
      </c>
      <c r="L20" s="29" t="str">
        <f aca="false">IF(OR(G20="",H20=""),"",SUMIFS(H$6:H19,AA$6:AA19,AA20,G$6:G19,G20))</f>
        <v/>
      </c>
      <c r="M20" s="29" t="str">
        <f aca="false">IF(OR(G20="",H20=""),"",SUMIFS(H$6:H19,AA$6:AA19,AA20,G$6:G19,G20,N$6:N19,0))</f>
        <v/>
      </c>
      <c r="N20" s="29" t="str">
        <f aca="false">IF(OR(G20="",H20=""),"",IFERROR(IF(INDEX('TDS Rates'!$F$6:$F$40,MATCH(G20,'TDS Rates'!$B$6:$B$40,0))="NONE",H20,IF(INDEX('TDS Rates'!$F$6:$F$40,MATCH(G20,'TDS Rates'!$B$6:$B$40,0))="PER",IF(H20&gt;INDEX('TDS Rates'!$G$6:$G$40,MATCH(G20,'TDS Rates'!$B$6:$B$40,0)),H20,0),IF(INDEX('TDS Rates'!$F$6:$F$40,MATCH(G20,'TDS Rates'!$B$6:$B$40,0))="EXCESS",MAX(0,L20+H20-INDEX('TDS Rates'!$H$6:$H$40,MATCH(G20,'TDS Rates'!$B$6:$B$40,0)))-MAX(0,L20-INDEX('TDS Rates'!$H$6:$H$40,MATCH(G20,'TDS Rates'!$B$6:$B$40,0))),IF(INDEX('TDS Rates'!$F$6:$F$40,MATCH(G20,'TDS Rates'!$B$6:$B$40,0))="SA",IF(L20+H20&gt;INDEX('TDS Rates'!$H$6:$H$40,MATCH(G20,'TDS Rates'!$B$6:$B$40,0)),H20+M20,IF(H20&gt;INDEX('TDS Rates'!$G$6:$G$40,MATCH(G20,'TDS Rates'!$B$6:$B$40,0)),H20,0)),IF(L20+H20&gt;INDEX('TDS Rates'!$H$6:$H$40,MATCH(G20,'TDS Rates'!$B$6:$B$40,0)),H20+M20,0))))),0))</f>
        <v/>
      </c>
      <c r="O20" s="33" t="str">
        <f aca="false">IF(OR(G20="",H20=""),"",IFERROR(IF(F20="No",IF(INDEX('TDS Rates'!$C$6:$C$40,MATCH(G20,'TDS Rates'!$B$6:$B$40,0))="194Q",Settings!$C$14,MAX(Settings!$C$13,IF(E20="Individual / HUF",INDEX('TDS Rates'!$I$6:$I$40,MATCH(G20,'TDS Rates'!$B$6:$B$40,0)),IF(E20="Company",INDEX('TDS Rates'!$J$6:$J$40,MATCH(G20,'TDS Rates'!$B$6:$B$40,0)),INDEX('TDS Rates'!$K$6:$K$40,MATCH(G20,'TDS Rates'!$B$6:$B$40,0)))))),IF(E20="Individual / HUF",INDEX('TDS Rates'!$I$6:$I$40,MATCH(G20,'TDS Rates'!$B$6:$B$40,0)),IF(E20="Company",INDEX('TDS Rates'!$J$6:$J$40,MATCH(G20,'TDS Rates'!$B$6:$B$40,0)),INDEX('TDS Rates'!$K$6:$K$40,MATCH(G20,'TDS Rates'!$B$6:$B$40,0))))),0))</f>
        <v/>
      </c>
      <c r="P20" s="34" t="str">
        <f aca="false">IF(OR(G20="",H20=""),"",ROUND(N20*O20,0))</f>
        <v/>
      </c>
      <c r="Q20" s="27" t="str">
        <f aca="false">IF(OR(G20="",H20=""),"",IFERROR(IF(INDEX('TDS Rates'!$E$6:$E$40,MATCH(G20,'TDS Rates'!$B$6:$B$40,0))="Form 141",EOMONTH(IF(R20="",B20,R20),0)+30,IF(MONTH(IF(R20="",B20,R20))=3,DATE(YEAR(IF(R20="",B20,R20)),4,30),DATE(YEAR(IF(R20="",B20,R20)),MONTH(IF(R20="",B20,R20))+1,7))),""))</f>
        <v/>
      </c>
      <c r="R20" s="17"/>
      <c r="S20" s="17"/>
      <c r="T20" s="5"/>
      <c r="U20" s="28" t="str">
        <f aca="false">IF(OR(G20="",H20=""),"",IF(P20=0,0,IF(IF(R20="",Settings!$C$9,R20)&lt;=B20,0,((YEAR(IF(R20="",Settings!$C$9,R20))-YEAR(B20))*12+MONTH(IF(R20="",Settings!$C$9,R20))-MONTH(B20)+1))))</f>
        <v/>
      </c>
      <c r="V20" s="29" t="str">
        <f aca="false">IF(OR(G20="",H20=""),"",ROUND(P20*Settings!$C$10*U20,0))</f>
        <v/>
      </c>
      <c r="W20" s="28" t="str">
        <f aca="false">IF(OR(G20="",H20=""),"",IF(OR(P20=0,R20=""),0,IF(IF(S20="",Settings!$C$9,S20)&lt;=Q20,0,((YEAR(IF(S20="",Settings!$C$9,S20))-YEAR(R20))*12+MONTH(IF(S20="",Settings!$C$9,S20))-MONTH(R20)+1))))</f>
        <v/>
      </c>
      <c r="X20" s="29" t="str">
        <f aca="false">IF(OR(G20="",H20=""),"",ROUND(P20*Settings!$C$11*W20,0))</f>
        <v/>
      </c>
      <c r="Y20" s="29" t="str">
        <f aca="false">IF(OR(G20="",H20=""),"",V20+X20)</f>
        <v/>
      </c>
      <c r="Z20" s="7" t="str">
        <f aca="false">IF(OR(G20="",H20=""),"",IF(P20=0,"Below threshold",IF(R20="","Not yet deducted",IF(S20="",IF(Settings!$C$9&gt;Q20,"Overdue — pay now","Deducted, due "&amp;TEXT(Q20,"dd-mmm")),IF(S20&lt;=Q20,IF(N(U20)&gt;0,"Deducted late, paid on time","Paid on time"),"Paid late")))))</f>
        <v/>
      </c>
      <c r="AA20" s="35" t="str">
        <f aca="false">IF(OR(G20="",H20=""),"",IF(D20&lt;&gt;"",UPPER(TRIM(D20)),UPPER(TRIM(C20))))</f>
        <v/>
      </c>
    </row>
    <row r="21" customFormat="false" ht="15" hidden="false" customHeight="false" outlineLevel="0" collapsed="false">
      <c r="B21" s="17"/>
      <c r="C21" s="5"/>
      <c r="D21" s="5"/>
      <c r="E21" s="5"/>
      <c r="F21" s="5"/>
      <c r="G21" s="5"/>
      <c r="H21" s="16"/>
      <c r="I21" s="7" t="str">
        <f aca="false">IF(OR(G21="",H21=""),"",IFERROR(INDEX('TDS Rates'!$D$6:$D$40,MATCH(G21,'TDS Rates'!$B$6:$B$40,0)),"Check nature"))</f>
        <v/>
      </c>
      <c r="J21" s="7" t="str">
        <f aca="false">IF(OR(G21="",H21=""),"",IFERROR(INDEX('TDS Rates'!$C$6:$C$40,MATCH(G21,'TDS Rates'!$B$6:$B$40,0)),""))</f>
        <v/>
      </c>
      <c r="K21" s="7" t="str">
        <f aca="false">IF(OR(G21="",H21=""),"",IFERROR(INDEX('TDS Rates'!$E$6:$E$40,MATCH(G21,'TDS Rates'!$B$6:$B$40,0)),""))</f>
        <v/>
      </c>
      <c r="L21" s="29" t="str">
        <f aca="false">IF(OR(G21="",H21=""),"",SUMIFS(H$6:H20,AA$6:AA20,AA21,G$6:G20,G21))</f>
        <v/>
      </c>
      <c r="M21" s="29" t="str">
        <f aca="false">IF(OR(G21="",H21=""),"",SUMIFS(H$6:H20,AA$6:AA20,AA21,G$6:G20,G21,N$6:N20,0))</f>
        <v/>
      </c>
      <c r="N21" s="29" t="str">
        <f aca="false">IF(OR(G21="",H21=""),"",IFERROR(IF(INDEX('TDS Rates'!$F$6:$F$40,MATCH(G21,'TDS Rates'!$B$6:$B$40,0))="NONE",H21,IF(INDEX('TDS Rates'!$F$6:$F$40,MATCH(G21,'TDS Rates'!$B$6:$B$40,0))="PER",IF(H21&gt;INDEX('TDS Rates'!$G$6:$G$40,MATCH(G21,'TDS Rates'!$B$6:$B$40,0)),H21,0),IF(INDEX('TDS Rates'!$F$6:$F$40,MATCH(G21,'TDS Rates'!$B$6:$B$40,0))="EXCESS",MAX(0,L21+H21-INDEX('TDS Rates'!$H$6:$H$40,MATCH(G21,'TDS Rates'!$B$6:$B$40,0)))-MAX(0,L21-INDEX('TDS Rates'!$H$6:$H$40,MATCH(G21,'TDS Rates'!$B$6:$B$40,0))),IF(INDEX('TDS Rates'!$F$6:$F$40,MATCH(G21,'TDS Rates'!$B$6:$B$40,0))="SA",IF(L21+H21&gt;INDEX('TDS Rates'!$H$6:$H$40,MATCH(G21,'TDS Rates'!$B$6:$B$40,0)),H21+M21,IF(H21&gt;INDEX('TDS Rates'!$G$6:$G$40,MATCH(G21,'TDS Rates'!$B$6:$B$40,0)),H21,0)),IF(L21+H21&gt;INDEX('TDS Rates'!$H$6:$H$40,MATCH(G21,'TDS Rates'!$B$6:$B$40,0)),H21+M21,0))))),0))</f>
        <v/>
      </c>
      <c r="O21" s="33" t="str">
        <f aca="false">IF(OR(G21="",H21=""),"",IFERROR(IF(F21="No",IF(INDEX('TDS Rates'!$C$6:$C$40,MATCH(G21,'TDS Rates'!$B$6:$B$40,0))="194Q",Settings!$C$14,MAX(Settings!$C$13,IF(E21="Individual / HUF",INDEX('TDS Rates'!$I$6:$I$40,MATCH(G21,'TDS Rates'!$B$6:$B$40,0)),IF(E21="Company",INDEX('TDS Rates'!$J$6:$J$40,MATCH(G21,'TDS Rates'!$B$6:$B$40,0)),INDEX('TDS Rates'!$K$6:$K$40,MATCH(G21,'TDS Rates'!$B$6:$B$40,0)))))),IF(E21="Individual / HUF",INDEX('TDS Rates'!$I$6:$I$40,MATCH(G21,'TDS Rates'!$B$6:$B$40,0)),IF(E21="Company",INDEX('TDS Rates'!$J$6:$J$40,MATCH(G21,'TDS Rates'!$B$6:$B$40,0)),INDEX('TDS Rates'!$K$6:$K$40,MATCH(G21,'TDS Rates'!$B$6:$B$40,0))))),0))</f>
        <v/>
      </c>
      <c r="P21" s="34" t="str">
        <f aca="false">IF(OR(G21="",H21=""),"",ROUND(N21*O21,0))</f>
        <v/>
      </c>
      <c r="Q21" s="27" t="str">
        <f aca="false">IF(OR(G21="",H21=""),"",IFERROR(IF(INDEX('TDS Rates'!$E$6:$E$40,MATCH(G21,'TDS Rates'!$B$6:$B$40,0))="Form 141",EOMONTH(IF(R21="",B21,R21),0)+30,IF(MONTH(IF(R21="",B21,R21))=3,DATE(YEAR(IF(R21="",B21,R21)),4,30),DATE(YEAR(IF(R21="",B21,R21)),MONTH(IF(R21="",B21,R21))+1,7))),""))</f>
        <v/>
      </c>
      <c r="R21" s="17"/>
      <c r="S21" s="17"/>
      <c r="T21" s="5"/>
      <c r="U21" s="28" t="str">
        <f aca="false">IF(OR(G21="",H21=""),"",IF(P21=0,0,IF(IF(R21="",Settings!$C$9,R21)&lt;=B21,0,((YEAR(IF(R21="",Settings!$C$9,R21))-YEAR(B21))*12+MONTH(IF(R21="",Settings!$C$9,R21))-MONTH(B21)+1))))</f>
        <v/>
      </c>
      <c r="V21" s="29" t="str">
        <f aca="false">IF(OR(G21="",H21=""),"",ROUND(P21*Settings!$C$10*U21,0))</f>
        <v/>
      </c>
      <c r="W21" s="28" t="str">
        <f aca="false">IF(OR(G21="",H21=""),"",IF(OR(P21=0,R21=""),0,IF(IF(S21="",Settings!$C$9,S21)&lt;=Q21,0,((YEAR(IF(S21="",Settings!$C$9,S21))-YEAR(R21))*12+MONTH(IF(S21="",Settings!$C$9,S21))-MONTH(R21)+1))))</f>
        <v/>
      </c>
      <c r="X21" s="29" t="str">
        <f aca="false">IF(OR(G21="",H21=""),"",ROUND(P21*Settings!$C$11*W21,0))</f>
        <v/>
      </c>
      <c r="Y21" s="29" t="str">
        <f aca="false">IF(OR(G21="",H21=""),"",V21+X21)</f>
        <v/>
      </c>
      <c r="Z21" s="7" t="str">
        <f aca="false">IF(OR(G21="",H21=""),"",IF(P21=0,"Below threshold",IF(R21="","Not yet deducted",IF(S21="",IF(Settings!$C$9&gt;Q21,"Overdue — pay now","Deducted, due "&amp;TEXT(Q21,"dd-mmm")),IF(S21&lt;=Q21,IF(N(U21)&gt;0,"Deducted late, paid on time","Paid on time"),"Paid late")))))</f>
        <v/>
      </c>
      <c r="AA21" s="35" t="str">
        <f aca="false">IF(OR(G21="",H21=""),"",IF(D21&lt;&gt;"",UPPER(TRIM(D21)),UPPER(TRIM(C21))))</f>
        <v/>
      </c>
    </row>
    <row r="22" customFormat="false" ht="15" hidden="false" customHeight="false" outlineLevel="0" collapsed="false">
      <c r="B22" s="17"/>
      <c r="C22" s="5"/>
      <c r="D22" s="5"/>
      <c r="E22" s="5"/>
      <c r="F22" s="5"/>
      <c r="G22" s="5"/>
      <c r="H22" s="16"/>
      <c r="I22" s="7" t="str">
        <f aca="false">IF(OR(G22="",H22=""),"",IFERROR(INDEX('TDS Rates'!$D$6:$D$40,MATCH(G22,'TDS Rates'!$B$6:$B$40,0)),"Check nature"))</f>
        <v/>
      </c>
      <c r="J22" s="7" t="str">
        <f aca="false">IF(OR(G22="",H22=""),"",IFERROR(INDEX('TDS Rates'!$C$6:$C$40,MATCH(G22,'TDS Rates'!$B$6:$B$40,0)),""))</f>
        <v/>
      </c>
      <c r="K22" s="7" t="str">
        <f aca="false">IF(OR(G22="",H22=""),"",IFERROR(INDEX('TDS Rates'!$E$6:$E$40,MATCH(G22,'TDS Rates'!$B$6:$B$40,0)),""))</f>
        <v/>
      </c>
      <c r="L22" s="29" t="str">
        <f aca="false">IF(OR(G22="",H22=""),"",SUMIFS(H$6:H21,AA$6:AA21,AA22,G$6:G21,G22))</f>
        <v/>
      </c>
      <c r="M22" s="29" t="str">
        <f aca="false">IF(OR(G22="",H22=""),"",SUMIFS(H$6:H21,AA$6:AA21,AA22,G$6:G21,G22,N$6:N21,0))</f>
        <v/>
      </c>
      <c r="N22" s="29" t="str">
        <f aca="false">IF(OR(G22="",H22=""),"",IFERROR(IF(INDEX('TDS Rates'!$F$6:$F$40,MATCH(G22,'TDS Rates'!$B$6:$B$40,0))="NONE",H22,IF(INDEX('TDS Rates'!$F$6:$F$40,MATCH(G22,'TDS Rates'!$B$6:$B$40,0))="PER",IF(H22&gt;INDEX('TDS Rates'!$G$6:$G$40,MATCH(G22,'TDS Rates'!$B$6:$B$40,0)),H22,0),IF(INDEX('TDS Rates'!$F$6:$F$40,MATCH(G22,'TDS Rates'!$B$6:$B$40,0))="EXCESS",MAX(0,L22+H22-INDEX('TDS Rates'!$H$6:$H$40,MATCH(G22,'TDS Rates'!$B$6:$B$40,0)))-MAX(0,L22-INDEX('TDS Rates'!$H$6:$H$40,MATCH(G22,'TDS Rates'!$B$6:$B$40,0))),IF(INDEX('TDS Rates'!$F$6:$F$40,MATCH(G22,'TDS Rates'!$B$6:$B$40,0))="SA",IF(L22+H22&gt;INDEX('TDS Rates'!$H$6:$H$40,MATCH(G22,'TDS Rates'!$B$6:$B$40,0)),H22+M22,IF(H22&gt;INDEX('TDS Rates'!$G$6:$G$40,MATCH(G22,'TDS Rates'!$B$6:$B$40,0)),H22,0)),IF(L22+H22&gt;INDEX('TDS Rates'!$H$6:$H$40,MATCH(G22,'TDS Rates'!$B$6:$B$40,0)),H22+M22,0))))),0))</f>
        <v/>
      </c>
      <c r="O22" s="33" t="str">
        <f aca="false">IF(OR(G22="",H22=""),"",IFERROR(IF(F22="No",IF(INDEX('TDS Rates'!$C$6:$C$40,MATCH(G22,'TDS Rates'!$B$6:$B$40,0))="194Q",Settings!$C$14,MAX(Settings!$C$13,IF(E22="Individual / HUF",INDEX('TDS Rates'!$I$6:$I$40,MATCH(G22,'TDS Rates'!$B$6:$B$40,0)),IF(E22="Company",INDEX('TDS Rates'!$J$6:$J$40,MATCH(G22,'TDS Rates'!$B$6:$B$40,0)),INDEX('TDS Rates'!$K$6:$K$40,MATCH(G22,'TDS Rates'!$B$6:$B$40,0)))))),IF(E22="Individual / HUF",INDEX('TDS Rates'!$I$6:$I$40,MATCH(G22,'TDS Rates'!$B$6:$B$40,0)),IF(E22="Company",INDEX('TDS Rates'!$J$6:$J$40,MATCH(G22,'TDS Rates'!$B$6:$B$40,0)),INDEX('TDS Rates'!$K$6:$K$40,MATCH(G22,'TDS Rates'!$B$6:$B$40,0))))),0))</f>
        <v/>
      </c>
      <c r="P22" s="34" t="str">
        <f aca="false">IF(OR(G22="",H22=""),"",ROUND(N22*O22,0))</f>
        <v/>
      </c>
      <c r="Q22" s="27" t="str">
        <f aca="false">IF(OR(G22="",H22=""),"",IFERROR(IF(INDEX('TDS Rates'!$E$6:$E$40,MATCH(G22,'TDS Rates'!$B$6:$B$40,0))="Form 141",EOMONTH(IF(R22="",B22,R22),0)+30,IF(MONTH(IF(R22="",B22,R22))=3,DATE(YEAR(IF(R22="",B22,R22)),4,30),DATE(YEAR(IF(R22="",B22,R22)),MONTH(IF(R22="",B22,R22))+1,7))),""))</f>
        <v/>
      </c>
      <c r="R22" s="17"/>
      <c r="S22" s="17"/>
      <c r="T22" s="5"/>
      <c r="U22" s="28" t="str">
        <f aca="false">IF(OR(G22="",H22=""),"",IF(P22=0,0,IF(IF(R22="",Settings!$C$9,R22)&lt;=B22,0,((YEAR(IF(R22="",Settings!$C$9,R22))-YEAR(B22))*12+MONTH(IF(R22="",Settings!$C$9,R22))-MONTH(B22)+1))))</f>
        <v/>
      </c>
      <c r="V22" s="29" t="str">
        <f aca="false">IF(OR(G22="",H22=""),"",ROUND(P22*Settings!$C$10*U22,0))</f>
        <v/>
      </c>
      <c r="W22" s="28" t="str">
        <f aca="false">IF(OR(G22="",H22=""),"",IF(OR(P22=0,R22=""),0,IF(IF(S22="",Settings!$C$9,S22)&lt;=Q22,0,((YEAR(IF(S22="",Settings!$C$9,S22))-YEAR(R22))*12+MONTH(IF(S22="",Settings!$C$9,S22))-MONTH(R22)+1))))</f>
        <v/>
      </c>
      <c r="X22" s="29" t="str">
        <f aca="false">IF(OR(G22="",H22=""),"",ROUND(P22*Settings!$C$11*W22,0))</f>
        <v/>
      </c>
      <c r="Y22" s="29" t="str">
        <f aca="false">IF(OR(G22="",H22=""),"",V22+X22)</f>
        <v/>
      </c>
      <c r="Z22" s="7" t="str">
        <f aca="false">IF(OR(G22="",H22=""),"",IF(P22=0,"Below threshold",IF(R22="","Not yet deducted",IF(S22="",IF(Settings!$C$9&gt;Q22,"Overdue — pay now","Deducted, due "&amp;TEXT(Q22,"dd-mmm")),IF(S22&lt;=Q22,IF(N(U22)&gt;0,"Deducted late, paid on time","Paid on time"),"Paid late")))))</f>
        <v/>
      </c>
      <c r="AA22" s="35" t="str">
        <f aca="false">IF(OR(G22="",H22=""),"",IF(D22&lt;&gt;"",UPPER(TRIM(D22)),UPPER(TRIM(C22))))</f>
        <v/>
      </c>
    </row>
    <row r="23" customFormat="false" ht="15" hidden="false" customHeight="false" outlineLevel="0" collapsed="false">
      <c r="B23" s="17"/>
      <c r="C23" s="5"/>
      <c r="D23" s="5"/>
      <c r="E23" s="5"/>
      <c r="F23" s="5"/>
      <c r="G23" s="5"/>
      <c r="H23" s="16"/>
      <c r="I23" s="7" t="str">
        <f aca="false">IF(OR(G23="",H23=""),"",IFERROR(INDEX('TDS Rates'!$D$6:$D$40,MATCH(G23,'TDS Rates'!$B$6:$B$40,0)),"Check nature"))</f>
        <v/>
      </c>
      <c r="J23" s="7" t="str">
        <f aca="false">IF(OR(G23="",H23=""),"",IFERROR(INDEX('TDS Rates'!$C$6:$C$40,MATCH(G23,'TDS Rates'!$B$6:$B$40,0)),""))</f>
        <v/>
      </c>
      <c r="K23" s="7" t="str">
        <f aca="false">IF(OR(G23="",H23=""),"",IFERROR(INDEX('TDS Rates'!$E$6:$E$40,MATCH(G23,'TDS Rates'!$B$6:$B$40,0)),""))</f>
        <v/>
      </c>
      <c r="L23" s="29" t="str">
        <f aca="false">IF(OR(G23="",H23=""),"",SUMIFS(H$6:H22,AA$6:AA22,AA23,G$6:G22,G23))</f>
        <v/>
      </c>
      <c r="M23" s="29" t="str">
        <f aca="false">IF(OR(G23="",H23=""),"",SUMIFS(H$6:H22,AA$6:AA22,AA23,G$6:G22,G23,N$6:N22,0))</f>
        <v/>
      </c>
      <c r="N23" s="29" t="str">
        <f aca="false">IF(OR(G23="",H23=""),"",IFERROR(IF(INDEX('TDS Rates'!$F$6:$F$40,MATCH(G23,'TDS Rates'!$B$6:$B$40,0))="NONE",H23,IF(INDEX('TDS Rates'!$F$6:$F$40,MATCH(G23,'TDS Rates'!$B$6:$B$40,0))="PER",IF(H23&gt;INDEX('TDS Rates'!$G$6:$G$40,MATCH(G23,'TDS Rates'!$B$6:$B$40,0)),H23,0),IF(INDEX('TDS Rates'!$F$6:$F$40,MATCH(G23,'TDS Rates'!$B$6:$B$40,0))="EXCESS",MAX(0,L23+H23-INDEX('TDS Rates'!$H$6:$H$40,MATCH(G23,'TDS Rates'!$B$6:$B$40,0)))-MAX(0,L23-INDEX('TDS Rates'!$H$6:$H$40,MATCH(G23,'TDS Rates'!$B$6:$B$40,0))),IF(INDEX('TDS Rates'!$F$6:$F$40,MATCH(G23,'TDS Rates'!$B$6:$B$40,0))="SA",IF(L23+H23&gt;INDEX('TDS Rates'!$H$6:$H$40,MATCH(G23,'TDS Rates'!$B$6:$B$40,0)),H23+M23,IF(H23&gt;INDEX('TDS Rates'!$G$6:$G$40,MATCH(G23,'TDS Rates'!$B$6:$B$40,0)),H23,0)),IF(L23+H23&gt;INDEX('TDS Rates'!$H$6:$H$40,MATCH(G23,'TDS Rates'!$B$6:$B$40,0)),H23+M23,0))))),0))</f>
        <v/>
      </c>
      <c r="O23" s="33" t="str">
        <f aca="false">IF(OR(G23="",H23=""),"",IFERROR(IF(F23="No",IF(INDEX('TDS Rates'!$C$6:$C$40,MATCH(G23,'TDS Rates'!$B$6:$B$40,0))="194Q",Settings!$C$14,MAX(Settings!$C$13,IF(E23="Individual / HUF",INDEX('TDS Rates'!$I$6:$I$40,MATCH(G23,'TDS Rates'!$B$6:$B$40,0)),IF(E23="Company",INDEX('TDS Rates'!$J$6:$J$40,MATCH(G23,'TDS Rates'!$B$6:$B$40,0)),INDEX('TDS Rates'!$K$6:$K$40,MATCH(G23,'TDS Rates'!$B$6:$B$40,0)))))),IF(E23="Individual / HUF",INDEX('TDS Rates'!$I$6:$I$40,MATCH(G23,'TDS Rates'!$B$6:$B$40,0)),IF(E23="Company",INDEX('TDS Rates'!$J$6:$J$40,MATCH(G23,'TDS Rates'!$B$6:$B$40,0)),INDEX('TDS Rates'!$K$6:$K$40,MATCH(G23,'TDS Rates'!$B$6:$B$40,0))))),0))</f>
        <v/>
      </c>
      <c r="P23" s="34" t="str">
        <f aca="false">IF(OR(G23="",H23=""),"",ROUND(N23*O23,0))</f>
        <v/>
      </c>
      <c r="Q23" s="27" t="str">
        <f aca="false">IF(OR(G23="",H23=""),"",IFERROR(IF(INDEX('TDS Rates'!$E$6:$E$40,MATCH(G23,'TDS Rates'!$B$6:$B$40,0))="Form 141",EOMONTH(IF(R23="",B23,R23),0)+30,IF(MONTH(IF(R23="",B23,R23))=3,DATE(YEAR(IF(R23="",B23,R23)),4,30),DATE(YEAR(IF(R23="",B23,R23)),MONTH(IF(R23="",B23,R23))+1,7))),""))</f>
        <v/>
      </c>
      <c r="R23" s="17"/>
      <c r="S23" s="17"/>
      <c r="T23" s="5"/>
      <c r="U23" s="28" t="str">
        <f aca="false">IF(OR(G23="",H23=""),"",IF(P23=0,0,IF(IF(R23="",Settings!$C$9,R23)&lt;=B23,0,((YEAR(IF(R23="",Settings!$C$9,R23))-YEAR(B23))*12+MONTH(IF(R23="",Settings!$C$9,R23))-MONTH(B23)+1))))</f>
        <v/>
      </c>
      <c r="V23" s="29" t="str">
        <f aca="false">IF(OR(G23="",H23=""),"",ROUND(P23*Settings!$C$10*U23,0))</f>
        <v/>
      </c>
      <c r="W23" s="28" t="str">
        <f aca="false">IF(OR(G23="",H23=""),"",IF(OR(P23=0,R23=""),0,IF(IF(S23="",Settings!$C$9,S23)&lt;=Q23,0,((YEAR(IF(S23="",Settings!$C$9,S23))-YEAR(R23))*12+MONTH(IF(S23="",Settings!$C$9,S23))-MONTH(R23)+1))))</f>
        <v/>
      </c>
      <c r="X23" s="29" t="str">
        <f aca="false">IF(OR(G23="",H23=""),"",ROUND(P23*Settings!$C$11*W23,0))</f>
        <v/>
      </c>
      <c r="Y23" s="29" t="str">
        <f aca="false">IF(OR(G23="",H23=""),"",V23+X23)</f>
        <v/>
      </c>
      <c r="Z23" s="7" t="str">
        <f aca="false">IF(OR(G23="",H23=""),"",IF(P23=0,"Below threshold",IF(R23="","Not yet deducted",IF(S23="",IF(Settings!$C$9&gt;Q23,"Overdue — pay now","Deducted, due "&amp;TEXT(Q23,"dd-mmm")),IF(S23&lt;=Q23,IF(N(U23)&gt;0,"Deducted late, paid on time","Paid on time"),"Paid late")))))</f>
        <v/>
      </c>
      <c r="AA23" s="35" t="str">
        <f aca="false">IF(OR(G23="",H23=""),"",IF(D23&lt;&gt;"",UPPER(TRIM(D23)),UPPER(TRIM(C23))))</f>
        <v/>
      </c>
    </row>
    <row r="24" customFormat="false" ht="15" hidden="false" customHeight="false" outlineLevel="0" collapsed="false">
      <c r="B24" s="17"/>
      <c r="C24" s="5"/>
      <c r="D24" s="5"/>
      <c r="E24" s="5"/>
      <c r="F24" s="5"/>
      <c r="G24" s="5"/>
      <c r="H24" s="16"/>
      <c r="I24" s="7" t="str">
        <f aca="false">IF(OR(G24="",H24=""),"",IFERROR(INDEX('TDS Rates'!$D$6:$D$40,MATCH(G24,'TDS Rates'!$B$6:$B$40,0)),"Check nature"))</f>
        <v/>
      </c>
      <c r="J24" s="7" t="str">
        <f aca="false">IF(OR(G24="",H24=""),"",IFERROR(INDEX('TDS Rates'!$C$6:$C$40,MATCH(G24,'TDS Rates'!$B$6:$B$40,0)),""))</f>
        <v/>
      </c>
      <c r="K24" s="7" t="str">
        <f aca="false">IF(OR(G24="",H24=""),"",IFERROR(INDEX('TDS Rates'!$E$6:$E$40,MATCH(G24,'TDS Rates'!$B$6:$B$40,0)),""))</f>
        <v/>
      </c>
      <c r="L24" s="29" t="str">
        <f aca="false">IF(OR(G24="",H24=""),"",SUMIFS(H$6:H23,AA$6:AA23,AA24,G$6:G23,G24))</f>
        <v/>
      </c>
      <c r="M24" s="29" t="str">
        <f aca="false">IF(OR(G24="",H24=""),"",SUMIFS(H$6:H23,AA$6:AA23,AA24,G$6:G23,G24,N$6:N23,0))</f>
        <v/>
      </c>
      <c r="N24" s="29" t="str">
        <f aca="false">IF(OR(G24="",H24=""),"",IFERROR(IF(INDEX('TDS Rates'!$F$6:$F$40,MATCH(G24,'TDS Rates'!$B$6:$B$40,0))="NONE",H24,IF(INDEX('TDS Rates'!$F$6:$F$40,MATCH(G24,'TDS Rates'!$B$6:$B$40,0))="PER",IF(H24&gt;INDEX('TDS Rates'!$G$6:$G$40,MATCH(G24,'TDS Rates'!$B$6:$B$40,0)),H24,0),IF(INDEX('TDS Rates'!$F$6:$F$40,MATCH(G24,'TDS Rates'!$B$6:$B$40,0))="EXCESS",MAX(0,L24+H24-INDEX('TDS Rates'!$H$6:$H$40,MATCH(G24,'TDS Rates'!$B$6:$B$40,0)))-MAX(0,L24-INDEX('TDS Rates'!$H$6:$H$40,MATCH(G24,'TDS Rates'!$B$6:$B$40,0))),IF(INDEX('TDS Rates'!$F$6:$F$40,MATCH(G24,'TDS Rates'!$B$6:$B$40,0))="SA",IF(L24+H24&gt;INDEX('TDS Rates'!$H$6:$H$40,MATCH(G24,'TDS Rates'!$B$6:$B$40,0)),H24+M24,IF(H24&gt;INDEX('TDS Rates'!$G$6:$G$40,MATCH(G24,'TDS Rates'!$B$6:$B$40,0)),H24,0)),IF(L24+H24&gt;INDEX('TDS Rates'!$H$6:$H$40,MATCH(G24,'TDS Rates'!$B$6:$B$40,0)),H24+M24,0))))),0))</f>
        <v/>
      </c>
      <c r="O24" s="33" t="str">
        <f aca="false">IF(OR(G24="",H24=""),"",IFERROR(IF(F24="No",IF(INDEX('TDS Rates'!$C$6:$C$40,MATCH(G24,'TDS Rates'!$B$6:$B$40,0))="194Q",Settings!$C$14,MAX(Settings!$C$13,IF(E24="Individual / HUF",INDEX('TDS Rates'!$I$6:$I$40,MATCH(G24,'TDS Rates'!$B$6:$B$40,0)),IF(E24="Company",INDEX('TDS Rates'!$J$6:$J$40,MATCH(G24,'TDS Rates'!$B$6:$B$40,0)),INDEX('TDS Rates'!$K$6:$K$40,MATCH(G24,'TDS Rates'!$B$6:$B$40,0)))))),IF(E24="Individual / HUF",INDEX('TDS Rates'!$I$6:$I$40,MATCH(G24,'TDS Rates'!$B$6:$B$40,0)),IF(E24="Company",INDEX('TDS Rates'!$J$6:$J$40,MATCH(G24,'TDS Rates'!$B$6:$B$40,0)),INDEX('TDS Rates'!$K$6:$K$40,MATCH(G24,'TDS Rates'!$B$6:$B$40,0))))),0))</f>
        <v/>
      </c>
      <c r="P24" s="34" t="str">
        <f aca="false">IF(OR(G24="",H24=""),"",ROUND(N24*O24,0))</f>
        <v/>
      </c>
      <c r="Q24" s="27" t="str">
        <f aca="false">IF(OR(G24="",H24=""),"",IFERROR(IF(INDEX('TDS Rates'!$E$6:$E$40,MATCH(G24,'TDS Rates'!$B$6:$B$40,0))="Form 141",EOMONTH(IF(R24="",B24,R24),0)+30,IF(MONTH(IF(R24="",B24,R24))=3,DATE(YEAR(IF(R24="",B24,R24)),4,30),DATE(YEAR(IF(R24="",B24,R24)),MONTH(IF(R24="",B24,R24))+1,7))),""))</f>
        <v/>
      </c>
      <c r="R24" s="17"/>
      <c r="S24" s="17"/>
      <c r="T24" s="5"/>
      <c r="U24" s="28" t="str">
        <f aca="false">IF(OR(G24="",H24=""),"",IF(P24=0,0,IF(IF(R24="",Settings!$C$9,R24)&lt;=B24,0,((YEAR(IF(R24="",Settings!$C$9,R24))-YEAR(B24))*12+MONTH(IF(R24="",Settings!$C$9,R24))-MONTH(B24)+1))))</f>
        <v/>
      </c>
      <c r="V24" s="29" t="str">
        <f aca="false">IF(OR(G24="",H24=""),"",ROUND(P24*Settings!$C$10*U24,0))</f>
        <v/>
      </c>
      <c r="W24" s="28" t="str">
        <f aca="false">IF(OR(G24="",H24=""),"",IF(OR(P24=0,R24=""),0,IF(IF(S24="",Settings!$C$9,S24)&lt;=Q24,0,((YEAR(IF(S24="",Settings!$C$9,S24))-YEAR(R24))*12+MONTH(IF(S24="",Settings!$C$9,S24))-MONTH(R24)+1))))</f>
        <v/>
      </c>
      <c r="X24" s="29" t="str">
        <f aca="false">IF(OR(G24="",H24=""),"",ROUND(P24*Settings!$C$11*W24,0))</f>
        <v/>
      </c>
      <c r="Y24" s="29" t="str">
        <f aca="false">IF(OR(G24="",H24=""),"",V24+X24)</f>
        <v/>
      </c>
      <c r="Z24" s="7" t="str">
        <f aca="false">IF(OR(G24="",H24=""),"",IF(P24=0,"Below threshold",IF(R24="","Not yet deducted",IF(S24="",IF(Settings!$C$9&gt;Q24,"Overdue — pay now","Deducted, due "&amp;TEXT(Q24,"dd-mmm")),IF(S24&lt;=Q24,IF(N(U24)&gt;0,"Deducted late, paid on time","Paid on time"),"Paid late")))))</f>
        <v/>
      </c>
      <c r="AA24" s="35" t="str">
        <f aca="false">IF(OR(G24="",H24=""),"",IF(D24&lt;&gt;"",UPPER(TRIM(D24)),UPPER(TRIM(C24))))</f>
        <v/>
      </c>
    </row>
    <row r="25" customFormat="false" ht="15" hidden="false" customHeight="false" outlineLevel="0" collapsed="false">
      <c r="B25" s="17"/>
      <c r="C25" s="5"/>
      <c r="D25" s="5"/>
      <c r="E25" s="5"/>
      <c r="F25" s="5"/>
      <c r="G25" s="5"/>
      <c r="H25" s="16"/>
      <c r="I25" s="7" t="str">
        <f aca="false">IF(OR(G25="",H25=""),"",IFERROR(INDEX('TDS Rates'!$D$6:$D$40,MATCH(G25,'TDS Rates'!$B$6:$B$40,0)),"Check nature"))</f>
        <v/>
      </c>
      <c r="J25" s="7" t="str">
        <f aca="false">IF(OR(G25="",H25=""),"",IFERROR(INDEX('TDS Rates'!$C$6:$C$40,MATCH(G25,'TDS Rates'!$B$6:$B$40,0)),""))</f>
        <v/>
      </c>
      <c r="K25" s="7" t="str">
        <f aca="false">IF(OR(G25="",H25=""),"",IFERROR(INDEX('TDS Rates'!$E$6:$E$40,MATCH(G25,'TDS Rates'!$B$6:$B$40,0)),""))</f>
        <v/>
      </c>
      <c r="L25" s="29" t="str">
        <f aca="false">IF(OR(G25="",H25=""),"",SUMIFS(H$6:H24,AA$6:AA24,AA25,G$6:G24,G25))</f>
        <v/>
      </c>
      <c r="M25" s="29" t="str">
        <f aca="false">IF(OR(G25="",H25=""),"",SUMIFS(H$6:H24,AA$6:AA24,AA25,G$6:G24,G25,N$6:N24,0))</f>
        <v/>
      </c>
      <c r="N25" s="29" t="str">
        <f aca="false">IF(OR(G25="",H25=""),"",IFERROR(IF(INDEX('TDS Rates'!$F$6:$F$40,MATCH(G25,'TDS Rates'!$B$6:$B$40,0))="NONE",H25,IF(INDEX('TDS Rates'!$F$6:$F$40,MATCH(G25,'TDS Rates'!$B$6:$B$40,0))="PER",IF(H25&gt;INDEX('TDS Rates'!$G$6:$G$40,MATCH(G25,'TDS Rates'!$B$6:$B$40,0)),H25,0),IF(INDEX('TDS Rates'!$F$6:$F$40,MATCH(G25,'TDS Rates'!$B$6:$B$40,0))="EXCESS",MAX(0,L25+H25-INDEX('TDS Rates'!$H$6:$H$40,MATCH(G25,'TDS Rates'!$B$6:$B$40,0)))-MAX(0,L25-INDEX('TDS Rates'!$H$6:$H$40,MATCH(G25,'TDS Rates'!$B$6:$B$40,0))),IF(INDEX('TDS Rates'!$F$6:$F$40,MATCH(G25,'TDS Rates'!$B$6:$B$40,0))="SA",IF(L25+H25&gt;INDEX('TDS Rates'!$H$6:$H$40,MATCH(G25,'TDS Rates'!$B$6:$B$40,0)),H25+M25,IF(H25&gt;INDEX('TDS Rates'!$G$6:$G$40,MATCH(G25,'TDS Rates'!$B$6:$B$40,0)),H25,0)),IF(L25+H25&gt;INDEX('TDS Rates'!$H$6:$H$40,MATCH(G25,'TDS Rates'!$B$6:$B$40,0)),H25+M25,0))))),0))</f>
        <v/>
      </c>
      <c r="O25" s="33" t="str">
        <f aca="false">IF(OR(G25="",H25=""),"",IFERROR(IF(F25="No",IF(INDEX('TDS Rates'!$C$6:$C$40,MATCH(G25,'TDS Rates'!$B$6:$B$40,0))="194Q",Settings!$C$14,MAX(Settings!$C$13,IF(E25="Individual / HUF",INDEX('TDS Rates'!$I$6:$I$40,MATCH(G25,'TDS Rates'!$B$6:$B$40,0)),IF(E25="Company",INDEX('TDS Rates'!$J$6:$J$40,MATCH(G25,'TDS Rates'!$B$6:$B$40,0)),INDEX('TDS Rates'!$K$6:$K$40,MATCH(G25,'TDS Rates'!$B$6:$B$40,0)))))),IF(E25="Individual / HUF",INDEX('TDS Rates'!$I$6:$I$40,MATCH(G25,'TDS Rates'!$B$6:$B$40,0)),IF(E25="Company",INDEX('TDS Rates'!$J$6:$J$40,MATCH(G25,'TDS Rates'!$B$6:$B$40,0)),INDEX('TDS Rates'!$K$6:$K$40,MATCH(G25,'TDS Rates'!$B$6:$B$40,0))))),0))</f>
        <v/>
      </c>
      <c r="P25" s="34" t="str">
        <f aca="false">IF(OR(G25="",H25=""),"",ROUND(N25*O25,0))</f>
        <v/>
      </c>
      <c r="Q25" s="27" t="str">
        <f aca="false">IF(OR(G25="",H25=""),"",IFERROR(IF(INDEX('TDS Rates'!$E$6:$E$40,MATCH(G25,'TDS Rates'!$B$6:$B$40,0))="Form 141",EOMONTH(IF(R25="",B25,R25),0)+30,IF(MONTH(IF(R25="",B25,R25))=3,DATE(YEAR(IF(R25="",B25,R25)),4,30),DATE(YEAR(IF(R25="",B25,R25)),MONTH(IF(R25="",B25,R25))+1,7))),""))</f>
        <v/>
      </c>
      <c r="R25" s="17"/>
      <c r="S25" s="17"/>
      <c r="T25" s="5"/>
      <c r="U25" s="28" t="str">
        <f aca="false">IF(OR(G25="",H25=""),"",IF(P25=0,0,IF(IF(R25="",Settings!$C$9,R25)&lt;=B25,0,((YEAR(IF(R25="",Settings!$C$9,R25))-YEAR(B25))*12+MONTH(IF(R25="",Settings!$C$9,R25))-MONTH(B25)+1))))</f>
        <v/>
      </c>
      <c r="V25" s="29" t="str">
        <f aca="false">IF(OR(G25="",H25=""),"",ROUND(P25*Settings!$C$10*U25,0))</f>
        <v/>
      </c>
      <c r="W25" s="28" t="str">
        <f aca="false">IF(OR(G25="",H25=""),"",IF(OR(P25=0,R25=""),0,IF(IF(S25="",Settings!$C$9,S25)&lt;=Q25,0,((YEAR(IF(S25="",Settings!$C$9,S25))-YEAR(R25))*12+MONTH(IF(S25="",Settings!$C$9,S25))-MONTH(R25)+1))))</f>
        <v/>
      </c>
      <c r="X25" s="29" t="str">
        <f aca="false">IF(OR(G25="",H25=""),"",ROUND(P25*Settings!$C$11*W25,0))</f>
        <v/>
      </c>
      <c r="Y25" s="29" t="str">
        <f aca="false">IF(OR(G25="",H25=""),"",V25+X25)</f>
        <v/>
      </c>
      <c r="Z25" s="7" t="str">
        <f aca="false">IF(OR(G25="",H25=""),"",IF(P25=0,"Below threshold",IF(R25="","Not yet deducted",IF(S25="",IF(Settings!$C$9&gt;Q25,"Overdue — pay now","Deducted, due "&amp;TEXT(Q25,"dd-mmm")),IF(S25&lt;=Q25,IF(N(U25)&gt;0,"Deducted late, paid on time","Paid on time"),"Paid late")))))</f>
        <v/>
      </c>
      <c r="AA25" s="35" t="str">
        <f aca="false">IF(OR(G25="",H25=""),"",IF(D25&lt;&gt;"",UPPER(TRIM(D25)),UPPER(TRIM(C25))))</f>
        <v/>
      </c>
    </row>
    <row r="26" customFormat="false" ht="15" hidden="false" customHeight="false" outlineLevel="0" collapsed="false">
      <c r="B26" s="17"/>
      <c r="C26" s="5"/>
      <c r="D26" s="5"/>
      <c r="E26" s="5"/>
      <c r="F26" s="5"/>
      <c r="G26" s="5"/>
      <c r="H26" s="16"/>
      <c r="I26" s="7" t="str">
        <f aca="false">IF(OR(G26="",H26=""),"",IFERROR(INDEX('TDS Rates'!$D$6:$D$40,MATCH(G26,'TDS Rates'!$B$6:$B$40,0)),"Check nature"))</f>
        <v/>
      </c>
      <c r="J26" s="7" t="str">
        <f aca="false">IF(OR(G26="",H26=""),"",IFERROR(INDEX('TDS Rates'!$C$6:$C$40,MATCH(G26,'TDS Rates'!$B$6:$B$40,0)),""))</f>
        <v/>
      </c>
      <c r="K26" s="7" t="str">
        <f aca="false">IF(OR(G26="",H26=""),"",IFERROR(INDEX('TDS Rates'!$E$6:$E$40,MATCH(G26,'TDS Rates'!$B$6:$B$40,0)),""))</f>
        <v/>
      </c>
      <c r="L26" s="29" t="str">
        <f aca="false">IF(OR(G26="",H26=""),"",SUMIFS(H$6:H25,AA$6:AA25,AA26,G$6:G25,G26))</f>
        <v/>
      </c>
      <c r="M26" s="29" t="str">
        <f aca="false">IF(OR(G26="",H26=""),"",SUMIFS(H$6:H25,AA$6:AA25,AA26,G$6:G25,G26,N$6:N25,0))</f>
        <v/>
      </c>
      <c r="N26" s="29" t="str">
        <f aca="false">IF(OR(G26="",H26=""),"",IFERROR(IF(INDEX('TDS Rates'!$F$6:$F$40,MATCH(G26,'TDS Rates'!$B$6:$B$40,0))="NONE",H26,IF(INDEX('TDS Rates'!$F$6:$F$40,MATCH(G26,'TDS Rates'!$B$6:$B$40,0))="PER",IF(H26&gt;INDEX('TDS Rates'!$G$6:$G$40,MATCH(G26,'TDS Rates'!$B$6:$B$40,0)),H26,0),IF(INDEX('TDS Rates'!$F$6:$F$40,MATCH(G26,'TDS Rates'!$B$6:$B$40,0))="EXCESS",MAX(0,L26+H26-INDEX('TDS Rates'!$H$6:$H$40,MATCH(G26,'TDS Rates'!$B$6:$B$40,0)))-MAX(0,L26-INDEX('TDS Rates'!$H$6:$H$40,MATCH(G26,'TDS Rates'!$B$6:$B$40,0))),IF(INDEX('TDS Rates'!$F$6:$F$40,MATCH(G26,'TDS Rates'!$B$6:$B$40,0))="SA",IF(L26+H26&gt;INDEX('TDS Rates'!$H$6:$H$40,MATCH(G26,'TDS Rates'!$B$6:$B$40,0)),H26+M26,IF(H26&gt;INDEX('TDS Rates'!$G$6:$G$40,MATCH(G26,'TDS Rates'!$B$6:$B$40,0)),H26,0)),IF(L26+H26&gt;INDEX('TDS Rates'!$H$6:$H$40,MATCH(G26,'TDS Rates'!$B$6:$B$40,0)),H26+M26,0))))),0))</f>
        <v/>
      </c>
      <c r="O26" s="33" t="str">
        <f aca="false">IF(OR(G26="",H26=""),"",IFERROR(IF(F26="No",IF(INDEX('TDS Rates'!$C$6:$C$40,MATCH(G26,'TDS Rates'!$B$6:$B$40,0))="194Q",Settings!$C$14,MAX(Settings!$C$13,IF(E26="Individual / HUF",INDEX('TDS Rates'!$I$6:$I$40,MATCH(G26,'TDS Rates'!$B$6:$B$40,0)),IF(E26="Company",INDEX('TDS Rates'!$J$6:$J$40,MATCH(G26,'TDS Rates'!$B$6:$B$40,0)),INDEX('TDS Rates'!$K$6:$K$40,MATCH(G26,'TDS Rates'!$B$6:$B$40,0)))))),IF(E26="Individual / HUF",INDEX('TDS Rates'!$I$6:$I$40,MATCH(G26,'TDS Rates'!$B$6:$B$40,0)),IF(E26="Company",INDEX('TDS Rates'!$J$6:$J$40,MATCH(G26,'TDS Rates'!$B$6:$B$40,0)),INDEX('TDS Rates'!$K$6:$K$40,MATCH(G26,'TDS Rates'!$B$6:$B$40,0))))),0))</f>
        <v/>
      </c>
      <c r="P26" s="34" t="str">
        <f aca="false">IF(OR(G26="",H26=""),"",ROUND(N26*O26,0))</f>
        <v/>
      </c>
      <c r="Q26" s="27" t="str">
        <f aca="false">IF(OR(G26="",H26=""),"",IFERROR(IF(INDEX('TDS Rates'!$E$6:$E$40,MATCH(G26,'TDS Rates'!$B$6:$B$40,0))="Form 141",EOMONTH(IF(R26="",B26,R26),0)+30,IF(MONTH(IF(R26="",B26,R26))=3,DATE(YEAR(IF(R26="",B26,R26)),4,30),DATE(YEAR(IF(R26="",B26,R26)),MONTH(IF(R26="",B26,R26))+1,7))),""))</f>
        <v/>
      </c>
      <c r="R26" s="17"/>
      <c r="S26" s="17"/>
      <c r="T26" s="5"/>
      <c r="U26" s="28" t="str">
        <f aca="false">IF(OR(G26="",H26=""),"",IF(P26=0,0,IF(IF(R26="",Settings!$C$9,R26)&lt;=B26,0,((YEAR(IF(R26="",Settings!$C$9,R26))-YEAR(B26))*12+MONTH(IF(R26="",Settings!$C$9,R26))-MONTH(B26)+1))))</f>
        <v/>
      </c>
      <c r="V26" s="29" t="str">
        <f aca="false">IF(OR(G26="",H26=""),"",ROUND(P26*Settings!$C$10*U26,0))</f>
        <v/>
      </c>
      <c r="W26" s="28" t="str">
        <f aca="false">IF(OR(G26="",H26=""),"",IF(OR(P26=0,R26=""),0,IF(IF(S26="",Settings!$C$9,S26)&lt;=Q26,0,((YEAR(IF(S26="",Settings!$C$9,S26))-YEAR(R26))*12+MONTH(IF(S26="",Settings!$C$9,S26))-MONTH(R26)+1))))</f>
        <v/>
      </c>
      <c r="X26" s="29" t="str">
        <f aca="false">IF(OR(G26="",H26=""),"",ROUND(P26*Settings!$C$11*W26,0))</f>
        <v/>
      </c>
      <c r="Y26" s="29" t="str">
        <f aca="false">IF(OR(G26="",H26=""),"",V26+X26)</f>
        <v/>
      </c>
      <c r="Z26" s="7" t="str">
        <f aca="false">IF(OR(G26="",H26=""),"",IF(P26=0,"Below threshold",IF(R26="","Not yet deducted",IF(S26="",IF(Settings!$C$9&gt;Q26,"Overdue — pay now","Deducted, due "&amp;TEXT(Q26,"dd-mmm")),IF(S26&lt;=Q26,IF(N(U26)&gt;0,"Deducted late, paid on time","Paid on time"),"Paid late")))))</f>
        <v/>
      </c>
      <c r="AA26" s="35" t="str">
        <f aca="false">IF(OR(G26="",H26=""),"",IF(D26&lt;&gt;"",UPPER(TRIM(D26)),UPPER(TRIM(C26))))</f>
        <v/>
      </c>
    </row>
    <row r="27" customFormat="false" ht="15" hidden="false" customHeight="false" outlineLevel="0" collapsed="false">
      <c r="B27" s="17"/>
      <c r="C27" s="5"/>
      <c r="D27" s="5"/>
      <c r="E27" s="5"/>
      <c r="F27" s="5"/>
      <c r="G27" s="5"/>
      <c r="H27" s="16"/>
      <c r="I27" s="7" t="str">
        <f aca="false">IF(OR(G27="",H27=""),"",IFERROR(INDEX('TDS Rates'!$D$6:$D$40,MATCH(G27,'TDS Rates'!$B$6:$B$40,0)),"Check nature"))</f>
        <v/>
      </c>
      <c r="J27" s="7" t="str">
        <f aca="false">IF(OR(G27="",H27=""),"",IFERROR(INDEX('TDS Rates'!$C$6:$C$40,MATCH(G27,'TDS Rates'!$B$6:$B$40,0)),""))</f>
        <v/>
      </c>
      <c r="K27" s="7" t="str">
        <f aca="false">IF(OR(G27="",H27=""),"",IFERROR(INDEX('TDS Rates'!$E$6:$E$40,MATCH(G27,'TDS Rates'!$B$6:$B$40,0)),""))</f>
        <v/>
      </c>
      <c r="L27" s="29" t="str">
        <f aca="false">IF(OR(G27="",H27=""),"",SUMIFS(H$6:H26,AA$6:AA26,AA27,G$6:G26,G27))</f>
        <v/>
      </c>
      <c r="M27" s="29" t="str">
        <f aca="false">IF(OR(G27="",H27=""),"",SUMIFS(H$6:H26,AA$6:AA26,AA27,G$6:G26,G27,N$6:N26,0))</f>
        <v/>
      </c>
      <c r="N27" s="29" t="str">
        <f aca="false">IF(OR(G27="",H27=""),"",IFERROR(IF(INDEX('TDS Rates'!$F$6:$F$40,MATCH(G27,'TDS Rates'!$B$6:$B$40,0))="NONE",H27,IF(INDEX('TDS Rates'!$F$6:$F$40,MATCH(G27,'TDS Rates'!$B$6:$B$40,0))="PER",IF(H27&gt;INDEX('TDS Rates'!$G$6:$G$40,MATCH(G27,'TDS Rates'!$B$6:$B$40,0)),H27,0),IF(INDEX('TDS Rates'!$F$6:$F$40,MATCH(G27,'TDS Rates'!$B$6:$B$40,0))="EXCESS",MAX(0,L27+H27-INDEX('TDS Rates'!$H$6:$H$40,MATCH(G27,'TDS Rates'!$B$6:$B$40,0)))-MAX(0,L27-INDEX('TDS Rates'!$H$6:$H$40,MATCH(G27,'TDS Rates'!$B$6:$B$40,0))),IF(INDEX('TDS Rates'!$F$6:$F$40,MATCH(G27,'TDS Rates'!$B$6:$B$40,0))="SA",IF(L27+H27&gt;INDEX('TDS Rates'!$H$6:$H$40,MATCH(G27,'TDS Rates'!$B$6:$B$40,0)),H27+M27,IF(H27&gt;INDEX('TDS Rates'!$G$6:$G$40,MATCH(G27,'TDS Rates'!$B$6:$B$40,0)),H27,0)),IF(L27+H27&gt;INDEX('TDS Rates'!$H$6:$H$40,MATCH(G27,'TDS Rates'!$B$6:$B$40,0)),H27+M27,0))))),0))</f>
        <v/>
      </c>
      <c r="O27" s="33" t="str">
        <f aca="false">IF(OR(G27="",H27=""),"",IFERROR(IF(F27="No",IF(INDEX('TDS Rates'!$C$6:$C$40,MATCH(G27,'TDS Rates'!$B$6:$B$40,0))="194Q",Settings!$C$14,MAX(Settings!$C$13,IF(E27="Individual / HUF",INDEX('TDS Rates'!$I$6:$I$40,MATCH(G27,'TDS Rates'!$B$6:$B$40,0)),IF(E27="Company",INDEX('TDS Rates'!$J$6:$J$40,MATCH(G27,'TDS Rates'!$B$6:$B$40,0)),INDEX('TDS Rates'!$K$6:$K$40,MATCH(G27,'TDS Rates'!$B$6:$B$40,0)))))),IF(E27="Individual / HUF",INDEX('TDS Rates'!$I$6:$I$40,MATCH(G27,'TDS Rates'!$B$6:$B$40,0)),IF(E27="Company",INDEX('TDS Rates'!$J$6:$J$40,MATCH(G27,'TDS Rates'!$B$6:$B$40,0)),INDEX('TDS Rates'!$K$6:$K$40,MATCH(G27,'TDS Rates'!$B$6:$B$40,0))))),0))</f>
        <v/>
      </c>
      <c r="P27" s="34" t="str">
        <f aca="false">IF(OR(G27="",H27=""),"",ROUND(N27*O27,0))</f>
        <v/>
      </c>
      <c r="Q27" s="27" t="str">
        <f aca="false">IF(OR(G27="",H27=""),"",IFERROR(IF(INDEX('TDS Rates'!$E$6:$E$40,MATCH(G27,'TDS Rates'!$B$6:$B$40,0))="Form 141",EOMONTH(IF(R27="",B27,R27),0)+30,IF(MONTH(IF(R27="",B27,R27))=3,DATE(YEAR(IF(R27="",B27,R27)),4,30),DATE(YEAR(IF(R27="",B27,R27)),MONTH(IF(R27="",B27,R27))+1,7))),""))</f>
        <v/>
      </c>
      <c r="R27" s="17"/>
      <c r="S27" s="17"/>
      <c r="T27" s="5"/>
      <c r="U27" s="28" t="str">
        <f aca="false">IF(OR(G27="",H27=""),"",IF(P27=0,0,IF(IF(R27="",Settings!$C$9,R27)&lt;=B27,0,((YEAR(IF(R27="",Settings!$C$9,R27))-YEAR(B27))*12+MONTH(IF(R27="",Settings!$C$9,R27))-MONTH(B27)+1))))</f>
        <v/>
      </c>
      <c r="V27" s="29" t="str">
        <f aca="false">IF(OR(G27="",H27=""),"",ROUND(P27*Settings!$C$10*U27,0))</f>
        <v/>
      </c>
      <c r="W27" s="28" t="str">
        <f aca="false">IF(OR(G27="",H27=""),"",IF(OR(P27=0,R27=""),0,IF(IF(S27="",Settings!$C$9,S27)&lt;=Q27,0,((YEAR(IF(S27="",Settings!$C$9,S27))-YEAR(R27))*12+MONTH(IF(S27="",Settings!$C$9,S27))-MONTH(R27)+1))))</f>
        <v/>
      </c>
      <c r="X27" s="29" t="str">
        <f aca="false">IF(OR(G27="",H27=""),"",ROUND(P27*Settings!$C$11*W27,0))</f>
        <v/>
      </c>
      <c r="Y27" s="29" t="str">
        <f aca="false">IF(OR(G27="",H27=""),"",V27+X27)</f>
        <v/>
      </c>
      <c r="Z27" s="7" t="str">
        <f aca="false">IF(OR(G27="",H27=""),"",IF(P27=0,"Below threshold",IF(R27="","Not yet deducted",IF(S27="",IF(Settings!$C$9&gt;Q27,"Overdue — pay now","Deducted, due "&amp;TEXT(Q27,"dd-mmm")),IF(S27&lt;=Q27,IF(N(U27)&gt;0,"Deducted late, paid on time","Paid on time"),"Paid late")))))</f>
        <v/>
      </c>
      <c r="AA27" s="35" t="str">
        <f aca="false">IF(OR(G27="",H27=""),"",IF(D27&lt;&gt;"",UPPER(TRIM(D27)),UPPER(TRIM(C27))))</f>
        <v/>
      </c>
    </row>
    <row r="28" customFormat="false" ht="15" hidden="false" customHeight="false" outlineLevel="0" collapsed="false">
      <c r="B28" s="17"/>
      <c r="C28" s="5"/>
      <c r="D28" s="5"/>
      <c r="E28" s="5"/>
      <c r="F28" s="5"/>
      <c r="G28" s="5"/>
      <c r="H28" s="16"/>
      <c r="I28" s="7" t="str">
        <f aca="false">IF(OR(G28="",H28=""),"",IFERROR(INDEX('TDS Rates'!$D$6:$D$40,MATCH(G28,'TDS Rates'!$B$6:$B$40,0)),"Check nature"))</f>
        <v/>
      </c>
      <c r="J28" s="7" t="str">
        <f aca="false">IF(OR(G28="",H28=""),"",IFERROR(INDEX('TDS Rates'!$C$6:$C$40,MATCH(G28,'TDS Rates'!$B$6:$B$40,0)),""))</f>
        <v/>
      </c>
      <c r="K28" s="7" t="str">
        <f aca="false">IF(OR(G28="",H28=""),"",IFERROR(INDEX('TDS Rates'!$E$6:$E$40,MATCH(G28,'TDS Rates'!$B$6:$B$40,0)),""))</f>
        <v/>
      </c>
      <c r="L28" s="29" t="str">
        <f aca="false">IF(OR(G28="",H28=""),"",SUMIFS(H$6:H27,AA$6:AA27,AA28,G$6:G27,G28))</f>
        <v/>
      </c>
      <c r="M28" s="29" t="str">
        <f aca="false">IF(OR(G28="",H28=""),"",SUMIFS(H$6:H27,AA$6:AA27,AA28,G$6:G27,G28,N$6:N27,0))</f>
        <v/>
      </c>
      <c r="N28" s="29" t="str">
        <f aca="false">IF(OR(G28="",H28=""),"",IFERROR(IF(INDEX('TDS Rates'!$F$6:$F$40,MATCH(G28,'TDS Rates'!$B$6:$B$40,0))="NONE",H28,IF(INDEX('TDS Rates'!$F$6:$F$40,MATCH(G28,'TDS Rates'!$B$6:$B$40,0))="PER",IF(H28&gt;INDEX('TDS Rates'!$G$6:$G$40,MATCH(G28,'TDS Rates'!$B$6:$B$40,0)),H28,0),IF(INDEX('TDS Rates'!$F$6:$F$40,MATCH(G28,'TDS Rates'!$B$6:$B$40,0))="EXCESS",MAX(0,L28+H28-INDEX('TDS Rates'!$H$6:$H$40,MATCH(G28,'TDS Rates'!$B$6:$B$40,0)))-MAX(0,L28-INDEX('TDS Rates'!$H$6:$H$40,MATCH(G28,'TDS Rates'!$B$6:$B$40,0))),IF(INDEX('TDS Rates'!$F$6:$F$40,MATCH(G28,'TDS Rates'!$B$6:$B$40,0))="SA",IF(L28+H28&gt;INDEX('TDS Rates'!$H$6:$H$40,MATCH(G28,'TDS Rates'!$B$6:$B$40,0)),H28+M28,IF(H28&gt;INDEX('TDS Rates'!$G$6:$G$40,MATCH(G28,'TDS Rates'!$B$6:$B$40,0)),H28,0)),IF(L28+H28&gt;INDEX('TDS Rates'!$H$6:$H$40,MATCH(G28,'TDS Rates'!$B$6:$B$40,0)),H28+M28,0))))),0))</f>
        <v/>
      </c>
      <c r="O28" s="33" t="str">
        <f aca="false">IF(OR(G28="",H28=""),"",IFERROR(IF(F28="No",IF(INDEX('TDS Rates'!$C$6:$C$40,MATCH(G28,'TDS Rates'!$B$6:$B$40,0))="194Q",Settings!$C$14,MAX(Settings!$C$13,IF(E28="Individual / HUF",INDEX('TDS Rates'!$I$6:$I$40,MATCH(G28,'TDS Rates'!$B$6:$B$40,0)),IF(E28="Company",INDEX('TDS Rates'!$J$6:$J$40,MATCH(G28,'TDS Rates'!$B$6:$B$40,0)),INDEX('TDS Rates'!$K$6:$K$40,MATCH(G28,'TDS Rates'!$B$6:$B$40,0)))))),IF(E28="Individual / HUF",INDEX('TDS Rates'!$I$6:$I$40,MATCH(G28,'TDS Rates'!$B$6:$B$40,0)),IF(E28="Company",INDEX('TDS Rates'!$J$6:$J$40,MATCH(G28,'TDS Rates'!$B$6:$B$40,0)),INDEX('TDS Rates'!$K$6:$K$40,MATCH(G28,'TDS Rates'!$B$6:$B$40,0))))),0))</f>
        <v/>
      </c>
      <c r="P28" s="34" t="str">
        <f aca="false">IF(OR(G28="",H28=""),"",ROUND(N28*O28,0))</f>
        <v/>
      </c>
      <c r="Q28" s="27" t="str">
        <f aca="false">IF(OR(G28="",H28=""),"",IFERROR(IF(INDEX('TDS Rates'!$E$6:$E$40,MATCH(G28,'TDS Rates'!$B$6:$B$40,0))="Form 141",EOMONTH(IF(R28="",B28,R28),0)+30,IF(MONTH(IF(R28="",B28,R28))=3,DATE(YEAR(IF(R28="",B28,R28)),4,30),DATE(YEAR(IF(R28="",B28,R28)),MONTH(IF(R28="",B28,R28))+1,7))),""))</f>
        <v/>
      </c>
      <c r="R28" s="17"/>
      <c r="S28" s="17"/>
      <c r="T28" s="5"/>
      <c r="U28" s="28" t="str">
        <f aca="false">IF(OR(G28="",H28=""),"",IF(P28=0,0,IF(IF(R28="",Settings!$C$9,R28)&lt;=B28,0,((YEAR(IF(R28="",Settings!$C$9,R28))-YEAR(B28))*12+MONTH(IF(R28="",Settings!$C$9,R28))-MONTH(B28)+1))))</f>
        <v/>
      </c>
      <c r="V28" s="29" t="str">
        <f aca="false">IF(OR(G28="",H28=""),"",ROUND(P28*Settings!$C$10*U28,0))</f>
        <v/>
      </c>
      <c r="W28" s="28" t="str">
        <f aca="false">IF(OR(G28="",H28=""),"",IF(OR(P28=0,R28=""),0,IF(IF(S28="",Settings!$C$9,S28)&lt;=Q28,0,((YEAR(IF(S28="",Settings!$C$9,S28))-YEAR(R28))*12+MONTH(IF(S28="",Settings!$C$9,S28))-MONTH(R28)+1))))</f>
        <v/>
      </c>
      <c r="X28" s="29" t="str">
        <f aca="false">IF(OR(G28="",H28=""),"",ROUND(P28*Settings!$C$11*W28,0))</f>
        <v/>
      </c>
      <c r="Y28" s="29" t="str">
        <f aca="false">IF(OR(G28="",H28=""),"",V28+X28)</f>
        <v/>
      </c>
      <c r="Z28" s="7" t="str">
        <f aca="false">IF(OR(G28="",H28=""),"",IF(P28=0,"Below threshold",IF(R28="","Not yet deducted",IF(S28="",IF(Settings!$C$9&gt;Q28,"Overdue — pay now","Deducted, due "&amp;TEXT(Q28,"dd-mmm")),IF(S28&lt;=Q28,IF(N(U28)&gt;0,"Deducted late, paid on time","Paid on time"),"Paid late")))))</f>
        <v/>
      </c>
      <c r="AA28" s="35" t="str">
        <f aca="false">IF(OR(G28="",H28=""),"",IF(D28&lt;&gt;"",UPPER(TRIM(D28)),UPPER(TRIM(C28))))</f>
        <v/>
      </c>
    </row>
    <row r="29" customFormat="false" ht="15" hidden="false" customHeight="false" outlineLevel="0" collapsed="false">
      <c r="B29" s="17"/>
      <c r="C29" s="5"/>
      <c r="D29" s="5"/>
      <c r="E29" s="5"/>
      <c r="F29" s="5"/>
      <c r="G29" s="5"/>
      <c r="H29" s="16"/>
      <c r="I29" s="7" t="str">
        <f aca="false">IF(OR(G29="",H29=""),"",IFERROR(INDEX('TDS Rates'!$D$6:$D$40,MATCH(G29,'TDS Rates'!$B$6:$B$40,0)),"Check nature"))</f>
        <v/>
      </c>
      <c r="J29" s="7" t="str">
        <f aca="false">IF(OR(G29="",H29=""),"",IFERROR(INDEX('TDS Rates'!$C$6:$C$40,MATCH(G29,'TDS Rates'!$B$6:$B$40,0)),""))</f>
        <v/>
      </c>
      <c r="K29" s="7" t="str">
        <f aca="false">IF(OR(G29="",H29=""),"",IFERROR(INDEX('TDS Rates'!$E$6:$E$40,MATCH(G29,'TDS Rates'!$B$6:$B$40,0)),""))</f>
        <v/>
      </c>
      <c r="L29" s="29" t="str">
        <f aca="false">IF(OR(G29="",H29=""),"",SUMIFS(H$6:H28,AA$6:AA28,AA29,G$6:G28,G29))</f>
        <v/>
      </c>
      <c r="M29" s="29" t="str">
        <f aca="false">IF(OR(G29="",H29=""),"",SUMIFS(H$6:H28,AA$6:AA28,AA29,G$6:G28,G29,N$6:N28,0))</f>
        <v/>
      </c>
      <c r="N29" s="29" t="str">
        <f aca="false">IF(OR(G29="",H29=""),"",IFERROR(IF(INDEX('TDS Rates'!$F$6:$F$40,MATCH(G29,'TDS Rates'!$B$6:$B$40,0))="NONE",H29,IF(INDEX('TDS Rates'!$F$6:$F$40,MATCH(G29,'TDS Rates'!$B$6:$B$40,0))="PER",IF(H29&gt;INDEX('TDS Rates'!$G$6:$G$40,MATCH(G29,'TDS Rates'!$B$6:$B$40,0)),H29,0),IF(INDEX('TDS Rates'!$F$6:$F$40,MATCH(G29,'TDS Rates'!$B$6:$B$40,0))="EXCESS",MAX(0,L29+H29-INDEX('TDS Rates'!$H$6:$H$40,MATCH(G29,'TDS Rates'!$B$6:$B$40,0)))-MAX(0,L29-INDEX('TDS Rates'!$H$6:$H$40,MATCH(G29,'TDS Rates'!$B$6:$B$40,0))),IF(INDEX('TDS Rates'!$F$6:$F$40,MATCH(G29,'TDS Rates'!$B$6:$B$40,0))="SA",IF(L29+H29&gt;INDEX('TDS Rates'!$H$6:$H$40,MATCH(G29,'TDS Rates'!$B$6:$B$40,0)),H29+M29,IF(H29&gt;INDEX('TDS Rates'!$G$6:$G$40,MATCH(G29,'TDS Rates'!$B$6:$B$40,0)),H29,0)),IF(L29+H29&gt;INDEX('TDS Rates'!$H$6:$H$40,MATCH(G29,'TDS Rates'!$B$6:$B$40,0)),H29+M29,0))))),0))</f>
        <v/>
      </c>
      <c r="O29" s="33" t="str">
        <f aca="false">IF(OR(G29="",H29=""),"",IFERROR(IF(F29="No",IF(INDEX('TDS Rates'!$C$6:$C$40,MATCH(G29,'TDS Rates'!$B$6:$B$40,0))="194Q",Settings!$C$14,MAX(Settings!$C$13,IF(E29="Individual / HUF",INDEX('TDS Rates'!$I$6:$I$40,MATCH(G29,'TDS Rates'!$B$6:$B$40,0)),IF(E29="Company",INDEX('TDS Rates'!$J$6:$J$40,MATCH(G29,'TDS Rates'!$B$6:$B$40,0)),INDEX('TDS Rates'!$K$6:$K$40,MATCH(G29,'TDS Rates'!$B$6:$B$40,0)))))),IF(E29="Individual / HUF",INDEX('TDS Rates'!$I$6:$I$40,MATCH(G29,'TDS Rates'!$B$6:$B$40,0)),IF(E29="Company",INDEX('TDS Rates'!$J$6:$J$40,MATCH(G29,'TDS Rates'!$B$6:$B$40,0)),INDEX('TDS Rates'!$K$6:$K$40,MATCH(G29,'TDS Rates'!$B$6:$B$40,0))))),0))</f>
        <v/>
      </c>
      <c r="P29" s="34" t="str">
        <f aca="false">IF(OR(G29="",H29=""),"",ROUND(N29*O29,0))</f>
        <v/>
      </c>
      <c r="Q29" s="27" t="str">
        <f aca="false">IF(OR(G29="",H29=""),"",IFERROR(IF(INDEX('TDS Rates'!$E$6:$E$40,MATCH(G29,'TDS Rates'!$B$6:$B$40,0))="Form 141",EOMONTH(IF(R29="",B29,R29),0)+30,IF(MONTH(IF(R29="",B29,R29))=3,DATE(YEAR(IF(R29="",B29,R29)),4,30),DATE(YEAR(IF(R29="",B29,R29)),MONTH(IF(R29="",B29,R29))+1,7))),""))</f>
        <v/>
      </c>
      <c r="R29" s="17"/>
      <c r="S29" s="17"/>
      <c r="T29" s="5"/>
      <c r="U29" s="28" t="str">
        <f aca="false">IF(OR(G29="",H29=""),"",IF(P29=0,0,IF(IF(R29="",Settings!$C$9,R29)&lt;=B29,0,((YEAR(IF(R29="",Settings!$C$9,R29))-YEAR(B29))*12+MONTH(IF(R29="",Settings!$C$9,R29))-MONTH(B29)+1))))</f>
        <v/>
      </c>
      <c r="V29" s="29" t="str">
        <f aca="false">IF(OR(G29="",H29=""),"",ROUND(P29*Settings!$C$10*U29,0))</f>
        <v/>
      </c>
      <c r="W29" s="28" t="str">
        <f aca="false">IF(OR(G29="",H29=""),"",IF(OR(P29=0,R29=""),0,IF(IF(S29="",Settings!$C$9,S29)&lt;=Q29,0,((YEAR(IF(S29="",Settings!$C$9,S29))-YEAR(R29))*12+MONTH(IF(S29="",Settings!$C$9,S29))-MONTH(R29)+1))))</f>
        <v/>
      </c>
      <c r="X29" s="29" t="str">
        <f aca="false">IF(OR(G29="",H29=""),"",ROUND(P29*Settings!$C$11*W29,0))</f>
        <v/>
      </c>
      <c r="Y29" s="29" t="str">
        <f aca="false">IF(OR(G29="",H29=""),"",V29+X29)</f>
        <v/>
      </c>
      <c r="Z29" s="7" t="str">
        <f aca="false">IF(OR(G29="",H29=""),"",IF(P29=0,"Below threshold",IF(R29="","Not yet deducted",IF(S29="",IF(Settings!$C$9&gt;Q29,"Overdue — pay now","Deducted, due "&amp;TEXT(Q29,"dd-mmm")),IF(S29&lt;=Q29,IF(N(U29)&gt;0,"Deducted late, paid on time","Paid on time"),"Paid late")))))</f>
        <v/>
      </c>
      <c r="AA29" s="35" t="str">
        <f aca="false">IF(OR(G29="",H29=""),"",IF(D29&lt;&gt;"",UPPER(TRIM(D29)),UPPER(TRIM(C29))))</f>
        <v/>
      </c>
    </row>
    <row r="30" customFormat="false" ht="15" hidden="false" customHeight="false" outlineLevel="0" collapsed="false">
      <c r="B30" s="17"/>
      <c r="C30" s="5"/>
      <c r="D30" s="5"/>
      <c r="E30" s="5"/>
      <c r="F30" s="5"/>
      <c r="G30" s="5"/>
      <c r="H30" s="16"/>
      <c r="I30" s="7" t="str">
        <f aca="false">IF(OR(G30="",H30=""),"",IFERROR(INDEX('TDS Rates'!$D$6:$D$40,MATCH(G30,'TDS Rates'!$B$6:$B$40,0)),"Check nature"))</f>
        <v/>
      </c>
      <c r="J30" s="7" t="str">
        <f aca="false">IF(OR(G30="",H30=""),"",IFERROR(INDEX('TDS Rates'!$C$6:$C$40,MATCH(G30,'TDS Rates'!$B$6:$B$40,0)),""))</f>
        <v/>
      </c>
      <c r="K30" s="7" t="str">
        <f aca="false">IF(OR(G30="",H30=""),"",IFERROR(INDEX('TDS Rates'!$E$6:$E$40,MATCH(G30,'TDS Rates'!$B$6:$B$40,0)),""))</f>
        <v/>
      </c>
      <c r="L30" s="29" t="str">
        <f aca="false">IF(OR(G30="",H30=""),"",SUMIFS(H$6:H29,AA$6:AA29,AA30,G$6:G29,G30))</f>
        <v/>
      </c>
      <c r="M30" s="29" t="str">
        <f aca="false">IF(OR(G30="",H30=""),"",SUMIFS(H$6:H29,AA$6:AA29,AA30,G$6:G29,G30,N$6:N29,0))</f>
        <v/>
      </c>
      <c r="N30" s="29" t="str">
        <f aca="false">IF(OR(G30="",H30=""),"",IFERROR(IF(INDEX('TDS Rates'!$F$6:$F$40,MATCH(G30,'TDS Rates'!$B$6:$B$40,0))="NONE",H30,IF(INDEX('TDS Rates'!$F$6:$F$40,MATCH(G30,'TDS Rates'!$B$6:$B$40,0))="PER",IF(H30&gt;INDEX('TDS Rates'!$G$6:$G$40,MATCH(G30,'TDS Rates'!$B$6:$B$40,0)),H30,0),IF(INDEX('TDS Rates'!$F$6:$F$40,MATCH(G30,'TDS Rates'!$B$6:$B$40,0))="EXCESS",MAX(0,L30+H30-INDEX('TDS Rates'!$H$6:$H$40,MATCH(G30,'TDS Rates'!$B$6:$B$40,0)))-MAX(0,L30-INDEX('TDS Rates'!$H$6:$H$40,MATCH(G30,'TDS Rates'!$B$6:$B$40,0))),IF(INDEX('TDS Rates'!$F$6:$F$40,MATCH(G30,'TDS Rates'!$B$6:$B$40,0))="SA",IF(L30+H30&gt;INDEX('TDS Rates'!$H$6:$H$40,MATCH(G30,'TDS Rates'!$B$6:$B$40,0)),H30+M30,IF(H30&gt;INDEX('TDS Rates'!$G$6:$G$40,MATCH(G30,'TDS Rates'!$B$6:$B$40,0)),H30,0)),IF(L30+H30&gt;INDEX('TDS Rates'!$H$6:$H$40,MATCH(G30,'TDS Rates'!$B$6:$B$40,0)),H30+M30,0))))),0))</f>
        <v/>
      </c>
      <c r="O30" s="33" t="str">
        <f aca="false">IF(OR(G30="",H30=""),"",IFERROR(IF(F30="No",IF(INDEX('TDS Rates'!$C$6:$C$40,MATCH(G30,'TDS Rates'!$B$6:$B$40,0))="194Q",Settings!$C$14,MAX(Settings!$C$13,IF(E30="Individual / HUF",INDEX('TDS Rates'!$I$6:$I$40,MATCH(G30,'TDS Rates'!$B$6:$B$40,0)),IF(E30="Company",INDEX('TDS Rates'!$J$6:$J$40,MATCH(G30,'TDS Rates'!$B$6:$B$40,0)),INDEX('TDS Rates'!$K$6:$K$40,MATCH(G30,'TDS Rates'!$B$6:$B$40,0)))))),IF(E30="Individual / HUF",INDEX('TDS Rates'!$I$6:$I$40,MATCH(G30,'TDS Rates'!$B$6:$B$40,0)),IF(E30="Company",INDEX('TDS Rates'!$J$6:$J$40,MATCH(G30,'TDS Rates'!$B$6:$B$40,0)),INDEX('TDS Rates'!$K$6:$K$40,MATCH(G30,'TDS Rates'!$B$6:$B$40,0))))),0))</f>
        <v/>
      </c>
      <c r="P30" s="34" t="str">
        <f aca="false">IF(OR(G30="",H30=""),"",ROUND(N30*O30,0))</f>
        <v/>
      </c>
      <c r="Q30" s="27" t="str">
        <f aca="false">IF(OR(G30="",H30=""),"",IFERROR(IF(INDEX('TDS Rates'!$E$6:$E$40,MATCH(G30,'TDS Rates'!$B$6:$B$40,0))="Form 141",EOMONTH(IF(R30="",B30,R30),0)+30,IF(MONTH(IF(R30="",B30,R30))=3,DATE(YEAR(IF(R30="",B30,R30)),4,30),DATE(YEAR(IF(R30="",B30,R30)),MONTH(IF(R30="",B30,R30))+1,7))),""))</f>
        <v/>
      </c>
      <c r="R30" s="17"/>
      <c r="S30" s="17"/>
      <c r="T30" s="5"/>
      <c r="U30" s="28" t="str">
        <f aca="false">IF(OR(G30="",H30=""),"",IF(P30=0,0,IF(IF(R30="",Settings!$C$9,R30)&lt;=B30,0,((YEAR(IF(R30="",Settings!$C$9,R30))-YEAR(B30))*12+MONTH(IF(R30="",Settings!$C$9,R30))-MONTH(B30)+1))))</f>
        <v/>
      </c>
      <c r="V30" s="29" t="str">
        <f aca="false">IF(OR(G30="",H30=""),"",ROUND(P30*Settings!$C$10*U30,0))</f>
        <v/>
      </c>
      <c r="W30" s="28" t="str">
        <f aca="false">IF(OR(G30="",H30=""),"",IF(OR(P30=0,R30=""),0,IF(IF(S30="",Settings!$C$9,S30)&lt;=Q30,0,((YEAR(IF(S30="",Settings!$C$9,S30))-YEAR(R30))*12+MONTH(IF(S30="",Settings!$C$9,S30))-MONTH(R30)+1))))</f>
        <v/>
      </c>
      <c r="X30" s="29" t="str">
        <f aca="false">IF(OR(G30="",H30=""),"",ROUND(P30*Settings!$C$11*W30,0))</f>
        <v/>
      </c>
      <c r="Y30" s="29" t="str">
        <f aca="false">IF(OR(G30="",H30=""),"",V30+X30)</f>
        <v/>
      </c>
      <c r="Z30" s="7" t="str">
        <f aca="false">IF(OR(G30="",H30=""),"",IF(P30=0,"Below threshold",IF(R30="","Not yet deducted",IF(S30="",IF(Settings!$C$9&gt;Q30,"Overdue — pay now","Deducted, due "&amp;TEXT(Q30,"dd-mmm")),IF(S30&lt;=Q30,IF(N(U30)&gt;0,"Deducted late, paid on time","Paid on time"),"Paid late")))))</f>
        <v/>
      </c>
      <c r="AA30" s="35" t="str">
        <f aca="false">IF(OR(G30="",H30=""),"",IF(D30&lt;&gt;"",UPPER(TRIM(D30)),UPPER(TRIM(C30))))</f>
        <v/>
      </c>
    </row>
    <row r="31" customFormat="false" ht="15" hidden="false" customHeight="false" outlineLevel="0" collapsed="false">
      <c r="B31" s="17"/>
      <c r="C31" s="5"/>
      <c r="D31" s="5"/>
      <c r="E31" s="5"/>
      <c r="F31" s="5"/>
      <c r="G31" s="5"/>
      <c r="H31" s="16"/>
      <c r="I31" s="7" t="str">
        <f aca="false">IF(OR(G31="",H31=""),"",IFERROR(INDEX('TDS Rates'!$D$6:$D$40,MATCH(G31,'TDS Rates'!$B$6:$B$40,0)),"Check nature"))</f>
        <v/>
      </c>
      <c r="J31" s="7" t="str">
        <f aca="false">IF(OR(G31="",H31=""),"",IFERROR(INDEX('TDS Rates'!$C$6:$C$40,MATCH(G31,'TDS Rates'!$B$6:$B$40,0)),""))</f>
        <v/>
      </c>
      <c r="K31" s="7" t="str">
        <f aca="false">IF(OR(G31="",H31=""),"",IFERROR(INDEX('TDS Rates'!$E$6:$E$40,MATCH(G31,'TDS Rates'!$B$6:$B$40,0)),""))</f>
        <v/>
      </c>
      <c r="L31" s="29" t="str">
        <f aca="false">IF(OR(G31="",H31=""),"",SUMIFS(H$6:H30,AA$6:AA30,AA31,G$6:G30,G31))</f>
        <v/>
      </c>
      <c r="M31" s="29" t="str">
        <f aca="false">IF(OR(G31="",H31=""),"",SUMIFS(H$6:H30,AA$6:AA30,AA31,G$6:G30,G31,N$6:N30,0))</f>
        <v/>
      </c>
      <c r="N31" s="29" t="str">
        <f aca="false">IF(OR(G31="",H31=""),"",IFERROR(IF(INDEX('TDS Rates'!$F$6:$F$40,MATCH(G31,'TDS Rates'!$B$6:$B$40,0))="NONE",H31,IF(INDEX('TDS Rates'!$F$6:$F$40,MATCH(G31,'TDS Rates'!$B$6:$B$40,0))="PER",IF(H31&gt;INDEX('TDS Rates'!$G$6:$G$40,MATCH(G31,'TDS Rates'!$B$6:$B$40,0)),H31,0),IF(INDEX('TDS Rates'!$F$6:$F$40,MATCH(G31,'TDS Rates'!$B$6:$B$40,0))="EXCESS",MAX(0,L31+H31-INDEX('TDS Rates'!$H$6:$H$40,MATCH(G31,'TDS Rates'!$B$6:$B$40,0)))-MAX(0,L31-INDEX('TDS Rates'!$H$6:$H$40,MATCH(G31,'TDS Rates'!$B$6:$B$40,0))),IF(INDEX('TDS Rates'!$F$6:$F$40,MATCH(G31,'TDS Rates'!$B$6:$B$40,0))="SA",IF(L31+H31&gt;INDEX('TDS Rates'!$H$6:$H$40,MATCH(G31,'TDS Rates'!$B$6:$B$40,0)),H31+M31,IF(H31&gt;INDEX('TDS Rates'!$G$6:$G$40,MATCH(G31,'TDS Rates'!$B$6:$B$40,0)),H31,0)),IF(L31+H31&gt;INDEX('TDS Rates'!$H$6:$H$40,MATCH(G31,'TDS Rates'!$B$6:$B$40,0)),H31+M31,0))))),0))</f>
        <v/>
      </c>
      <c r="O31" s="33" t="str">
        <f aca="false">IF(OR(G31="",H31=""),"",IFERROR(IF(F31="No",IF(INDEX('TDS Rates'!$C$6:$C$40,MATCH(G31,'TDS Rates'!$B$6:$B$40,0))="194Q",Settings!$C$14,MAX(Settings!$C$13,IF(E31="Individual / HUF",INDEX('TDS Rates'!$I$6:$I$40,MATCH(G31,'TDS Rates'!$B$6:$B$40,0)),IF(E31="Company",INDEX('TDS Rates'!$J$6:$J$40,MATCH(G31,'TDS Rates'!$B$6:$B$40,0)),INDEX('TDS Rates'!$K$6:$K$40,MATCH(G31,'TDS Rates'!$B$6:$B$40,0)))))),IF(E31="Individual / HUF",INDEX('TDS Rates'!$I$6:$I$40,MATCH(G31,'TDS Rates'!$B$6:$B$40,0)),IF(E31="Company",INDEX('TDS Rates'!$J$6:$J$40,MATCH(G31,'TDS Rates'!$B$6:$B$40,0)),INDEX('TDS Rates'!$K$6:$K$40,MATCH(G31,'TDS Rates'!$B$6:$B$40,0))))),0))</f>
        <v/>
      </c>
      <c r="P31" s="34" t="str">
        <f aca="false">IF(OR(G31="",H31=""),"",ROUND(N31*O31,0))</f>
        <v/>
      </c>
      <c r="Q31" s="27" t="str">
        <f aca="false">IF(OR(G31="",H31=""),"",IFERROR(IF(INDEX('TDS Rates'!$E$6:$E$40,MATCH(G31,'TDS Rates'!$B$6:$B$40,0))="Form 141",EOMONTH(IF(R31="",B31,R31),0)+30,IF(MONTH(IF(R31="",B31,R31))=3,DATE(YEAR(IF(R31="",B31,R31)),4,30),DATE(YEAR(IF(R31="",B31,R31)),MONTH(IF(R31="",B31,R31))+1,7))),""))</f>
        <v/>
      </c>
      <c r="R31" s="17"/>
      <c r="S31" s="17"/>
      <c r="T31" s="5"/>
      <c r="U31" s="28" t="str">
        <f aca="false">IF(OR(G31="",H31=""),"",IF(P31=0,0,IF(IF(R31="",Settings!$C$9,R31)&lt;=B31,0,((YEAR(IF(R31="",Settings!$C$9,R31))-YEAR(B31))*12+MONTH(IF(R31="",Settings!$C$9,R31))-MONTH(B31)+1))))</f>
        <v/>
      </c>
      <c r="V31" s="29" t="str">
        <f aca="false">IF(OR(G31="",H31=""),"",ROUND(P31*Settings!$C$10*U31,0))</f>
        <v/>
      </c>
      <c r="W31" s="28" t="str">
        <f aca="false">IF(OR(G31="",H31=""),"",IF(OR(P31=0,R31=""),0,IF(IF(S31="",Settings!$C$9,S31)&lt;=Q31,0,((YEAR(IF(S31="",Settings!$C$9,S31))-YEAR(R31))*12+MONTH(IF(S31="",Settings!$C$9,S31))-MONTH(R31)+1))))</f>
        <v/>
      </c>
      <c r="X31" s="29" t="str">
        <f aca="false">IF(OR(G31="",H31=""),"",ROUND(P31*Settings!$C$11*W31,0))</f>
        <v/>
      </c>
      <c r="Y31" s="29" t="str">
        <f aca="false">IF(OR(G31="",H31=""),"",V31+X31)</f>
        <v/>
      </c>
      <c r="Z31" s="7" t="str">
        <f aca="false">IF(OR(G31="",H31=""),"",IF(P31=0,"Below threshold",IF(R31="","Not yet deducted",IF(S31="",IF(Settings!$C$9&gt;Q31,"Overdue — pay now","Deducted, due "&amp;TEXT(Q31,"dd-mmm")),IF(S31&lt;=Q31,IF(N(U31)&gt;0,"Deducted late, paid on time","Paid on time"),"Paid late")))))</f>
        <v/>
      </c>
      <c r="AA31" s="35" t="str">
        <f aca="false">IF(OR(G31="",H31=""),"",IF(D31&lt;&gt;"",UPPER(TRIM(D31)),UPPER(TRIM(C31))))</f>
        <v/>
      </c>
    </row>
    <row r="32" customFormat="false" ht="15" hidden="false" customHeight="false" outlineLevel="0" collapsed="false">
      <c r="B32" s="17"/>
      <c r="C32" s="5"/>
      <c r="D32" s="5"/>
      <c r="E32" s="5"/>
      <c r="F32" s="5"/>
      <c r="G32" s="5"/>
      <c r="H32" s="16"/>
      <c r="I32" s="7" t="str">
        <f aca="false">IF(OR(G32="",H32=""),"",IFERROR(INDEX('TDS Rates'!$D$6:$D$40,MATCH(G32,'TDS Rates'!$B$6:$B$40,0)),"Check nature"))</f>
        <v/>
      </c>
      <c r="J32" s="7" t="str">
        <f aca="false">IF(OR(G32="",H32=""),"",IFERROR(INDEX('TDS Rates'!$C$6:$C$40,MATCH(G32,'TDS Rates'!$B$6:$B$40,0)),""))</f>
        <v/>
      </c>
      <c r="K32" s="7" t="str">
        <f aca="false">IF(OR(G32="",H32=""),"",IFERROR(INDEX('TDS Rates'!$E$6:$E$40,MATCH(G32,'TDS Rates'!$B$6:$B$40,0)),""))</f>
        <v/>
      </c>
      <c r="L32" s="29" t="str">
        <f aca="false">IF(OR(G32="",H32=""),"",SUMIFS(H$6:H31,AA$6:AA31,AA32,G$6:G31,G32))</f>
        <v/>
      </c>
      <c r="M32" s="29" t="str">
        <f aca="false">IF(OR(G32="",H32=""),"",SUMIFS(H$6:H31,AA$6:AA31,AA32,G$6:G31,G32,N$6:N31,0))</f>
        <v/>
      </c>
      <c r="N32" s="29" t="str">
        <f aca="false">IF(OR(G32="",H32=""),"",IFERROR(IF(INDEX('TDS Rates'!$F$6:$F$40,MATCH(G32,'TDS Rates'!$B$6:$B$40,0))="NONE",H32,IF(INDEX('TDS Rates'!$F$6:$F$40,MATCH(G32,'TDS Rates'!$B$6:$B$40,0))="PER",IF(H32&gt;INDEX('TDS Rates'!$G$6:$G$40,MATCH(G32,'TDS Rates'!$B$6:$B$40,0)),H32,0),IF(INDEX('TDS Rates'!$F$6:$F$40,MATCH(G32,'TDS Rates'!$B$6:$B$40,0))="EXCESS",MAX(0,L32+H32-INDEX('TDS Rates'!$H$6:$H$40,MATCH(G32,'TDS Rates'!$B$6:$B$40,0)))-MAX(0,L32-INDEX('TDS Rates'!$H$6:$H$40,MATCH(G32,'TDS Rates'!$B$6:$B$40,0))),IF(INDEX('TDS Rates'!$F$6:$F$40,MATCH(G32,'TDS Rates'!$B$6:$B$40,0))="SA",IF(L32+H32&gt;INDEX('TDS Rates'!$H$6:$H$40,MATCH(G32,'TDS Rates'!$B$6:$B$40,0)),H32+M32,IF(H32&gt;INDEX('TDS Rates'!$G$6:$G$40,MATCH(G32,'TDS Rates'!$B$6:$B$40,0)),H32,0)),IF(L32+H32&gt;INDEX('TDS Rates'!$H$6:$H$40,MATCH(G32,'TDS Rates'!$B$6:$B$40,0)),H32+M32,0))))),0))</f>
        <v/>
      </c>
      <c r="O32" s="33" t="str">
        <f aca="false">IF(OR(G32="",H32=""),"",IFERROR(IF(F32="No",IF(INDEX('TDS Rates'!$C$6:$C$40,MATCH(G32,'TDS Rates'!$B$6:$B$40,0))="194Q",Settings!$C$14,MAX(Settings!$C$13,IF(E32="Individual / HUF",INDEX('TDS Rates'!$I$6:$I$40,MATCH(G32,'TDS Rates'!$B$6:$B$40,0)),IF(E32="Company",INDEX('TDS Rates'!$J$6:$J$40,MATCH(G32,'TDS Rates'!$B$6:$B$40,0)),INDEX('TDS Rates'!$K$6:$K$40,MATCH(G32,'TDS Rates'!$B$6:$B$40,0)))))),IF(E32="Individual / HUF",INDEX('TDS Rates'!$I$6:$I$40,MATCH(G32,'TDS Rates'!$B$6:$B$40,0)),IF(E32="Company",INDEX('TDS Rates'!$J$6:$J$40,MATCH(G32,'TDS Rates'!$B$6:$B$40,0)),INDEX('TDS Rates'!$K$6:$K$40,MATCH(G32,'TDS Rates'!$B$6:$B$40,0))))),0))</f>
        <v/>
      </c>
      <c r="P32" s="34" t="str">
        <f aca="false">IF(OR(G32="",H32=""),"",ROUND(N32*O32,0))</f>
        <v/>
      </c>
      <c r="Q32" s="27" t="str">
        <f aca="false">IF(OR(G32="",H32=""),"",IFERROR(IF(INDEX('TDS Rates'!$E$6:$E$40,MATCH(G32,'TDS Rates'!$B$6:$B$40,0))="Form 141",EOMONTH(IF(R32="",B32,R32),0)+30,IF(MONTH(IF(R32="",B32,R32))=3,DATE(YEAR(IF(R32="",B32,R32)),4,30),DATE(YEAR(IF(R32="",B32,R32)),MONTH(IF(R32="",B32,R32))+1,7))),""))</f>
        <v/>
      </c>
      <c r="R32" s="17"/>
      <c r="S32" s="17"/>
      <c r="T32" s="5"/>
      <c r="U32" s="28" t="str">
        <f aca="false">IF(OR(G32="",H32=""),"",IF(P32=0,0,IF(IF(R32="",Settings!$C$9,R32)&lt;=B32,0,((YEAR(IF(R32="",Settings!$C$9,R32))-YEAR(B32))*12+MONTH(IF(R32="",Settings!$C$9,R32))-MONTH(B32)+1))))</f>
        <v/>
      </c>
      <c r="V32" s="29" t="str">
        <f aca="false">IF(OR(G32="",H32=""),"",ROUND(P32*Settings!$C$10*U32,0))</f>
        <v/>
      </c>
      <c r="W32" s="28" t="str">
        <f aca="false">IF(OR(G32="",H32=""),"",IF(OR(P32=0,R32=""),0,IF(IF(S32="",Settings!$C$9,S32)&lt;=Q32,0,((YEAR(IF(S32="",Settings!$C$9,S32))-YEAR(R32))*12+MONTH(IF(S32="",Settings!$C$9,S32))-MONTH(R32)+1))))</f>
        <v/>
      </c>
      <c r="X32" s="29" t="str">
        <f aca="false">IF(OR(G32="",H32=""),"",ROUND(P32*Settings!$C$11*W32,0))</f>
        <v/>
      </c>
      <c r="Y32" s="29" t="str">
        <f aca="false">IF(OR(G32="",H32=""),"",V32+X32)</f>
        <v/>
      </c>
      <c r="Z32" s="7" t="str">
        <f aca="false">IF(OR(G32="",H32=""),"",IF(P32=0,"Below threshold",IF(R32="","Not yet deducted",IF(S32="",IF(Settings!$C$9&gt;Q32,"Overdue — pay now","Deducted, due "&amp;TEXT(Q32,"dd-mmm")),IF(S32&lt;=Q32,IF(N(U32)&gt;0,"Deducted late, paid on time","Paid on time"),"Paid late")))))</f>
        <v/>
      </c>
      <c r="AA32" s="35" t="str">
        <f aca="false">IF(OR(G32="",H32=""),"",IF(D32&lt;&gt;"",UPPER(TRIM(D32)),UPPER(TRIM(C32))))</f>
        <v/>
      </c>
    </row>
    <row r="33" customFormat="false" ht="15" hidden="false" customHeight="false" outlineLevel="0" collapsed="false">
      <c r="B33" s="17"/>
      <c r="C33" s="5"/>
      <c r="D33" s="5"/>
      <c r="E33" s="5"/>
      <c r="F33" s="5"/>
      <c r="G33" s="5"/>
      <c r="H33" s="16"/>
      <c r="I33" s="7" t="str">
        <f aca="false">IF(OR(G33="",H33=""),"",IFERROR(INDEX('TDS Rates'!$D$6:$D$40,MATCH(G33,'TDS Rates'!$B$6:$B$40,0)),"Check nature"))</f>
        <v/>
      </c>
      <c r="J33" s="7" t="str">
        <f aca="false">IF(OR(G33="",H33=""),"",IFERROR(INDEX('TDS Rates'!$C$6:$C$40,MATCH(G33,'TDS Rates'!$B$6:$B$40,0)),""))</f>
        <v/>
      </c>
      <c r="K33" s="7" t="str">
        <f aca="false">IF(OR(G33="",H33=""),"",IFERROR(INDEX('TDS Rates'!$E$6:$E$40,MATCH(G33,'TDS Rates'!$B$6:$B$40,0)),""))</f>
        <v/>
      </c>
      <c r="L33" s="29" t="str">
        <f aca="false">IF(OR(G33="",H33=""),"",SUMIFS(H$6:H32,AA$6:AA32,AA33,G$6:G32,G33))</f>
        <v/>
      </c>
      <c r="M33" s="29" t="str">
        <f aca="false">IF(OR(G33="",H33=""),"",SUMIFS(H$6:H32,AA$6:AA32,AA33,G$6:G32,G33,N$6:N32,0))</f>
        <v/>
      </c>
      <c r="N33" s="29" t="str">
        <f aca="false">IF(OR(G33="",H33=""),"",IFERROR(IF(INDEX('TDS Rates'!$F$6:$F$40,MATCH(G33,'TDS Rates'!$B$6:$B$40,0))="NONE",H33,IF(INDEX('TDS Rates'!$F$6:$F$40,MATCH(G33,'TDS Rates'!$B$6:$B$40,0))="PER",IF(H33&gt;INDEX('TDS Rates'!$G$6:$G$40,MATCH(G33,'TDS Rates'!$B$6:$B$40,0)),H33,0),IF(INDEX('TDS Rates'!$F$6:$F$40,MATCH(G33,'TDS Rates'!$B$6:$B$40,0))="EXCESS",MAX(0,L33+H33-INDEX('TDS Rates'!$H$6:$H$40,MATCH(G33,'TDS Rates'!$B$6:$B$40,0)))-MAX(0,L33-INDEX('TDS Rates'!$H$6:$H$40,MATCH(G33,'TDS Rates'!$B$6:$B$40,0))),IF(INDEX('TDS Rates'!$F$6:$F$40,MATCH(G33,'TDS Rates'!$B$6:$B$40,0))="SA",IF(L33+H33&gt;INDEX('TDS Rates'!$H$6:$H$40,MATCH(G33,'TDS Rates'!$B$6:$B$40,0)),H33+M33,IF(H33&gt;INDEX('TDS Rates'!$G$6:$G$40,MATCH(G33,'TDS Rates'!$B$6:$B$40,0)),H33,0)),IF(L33+H33&gt;INDEX('TDS Rates'!$H$6:$H$40,MATCH(G33,'TDS Rates'!$B$6:$B$40,0)),H33+M33,0))))),0))</f>
        <v/>
      </c>
      <c r="O33" s="33" t="str">
        <f aca="false">IF(OR(G33="",H33=""),"",IFERROR(IF(F33="No",IF(INDEX('TDS Rates'!$C$6:$C$40,MATCH(G33,'TDS Rates'!$B$6:$B$40,0))="194Q",Settings!$C$14,MAX(Settings!$C$13,IF(E33="Individual / HUF",INDEX('TDS Rates'!$I$6:$I$40,MATCH(G33,'TDS Rates'!$B$6:$B$40,0)),IF(E33="Company",INDEX('TDS Rates'!$J$6:$J$40,MATCH(G33,'TDS Rates'!$B$6:$B$40,0)),INDEX('TDS Rates'!$K$6:$K$40,MATCH(G33,'TDS Rates'!$B$6:$B$40,0)))))),IF(E33="Individual / HUF",INDEX('TDS Rates'!$I$6:$I$40,MATCH(G33,'TDS Rates'!$B$6:$B$40,0)),IF(E33="Company",INDEX('TDS Rates'!$J$6:$J$40,MATCH(G33,'TDS Rates'!$B$6:$B$40,0)),INDEX('TDS Rates'!$K$6:$K$40,MATCH(G33,'TDS Rates'!$B$6:$B$40,0))))),0))</f>
        <v/>
      </c>
      <c r="P33" s="34" t="str">
        <f aca="false">IF(OR(G33="",H33=""),"",ROUND(N33*O33,0))</f>
        <v/>
      </c>
      <c r="Q33" s="27" t="str">
        <f aca="false">IF(OR(G33="",H33=""),"",IFERROR(IF(INDEX('TDS Rates'!$E$6:$E$40,MATCH(G33,'TDS Rates'!$B$6:$B$40,0))="Form 141",EOMONTH(IF(R33="",B33,R33),0)+30,IF(MONTH(IF(R33="",B33,R33))=3,DATE(YEAR(IF(R33="",B33,R33)),4,30),DATE(YEAR(IF(R33="",B33,R33)),MONTH(IF(R33="",B33,R33))+1,7))),""))</f>
        <v/>
      </c>
      <c r="R33" s="17"/>
      <c r="S33" s="17"/>
      <c r="T33" s="5"/>
      <c r="U33" s="28" t="str">
        <f aca="false">IF(OR(G33="",H33=""),"",IF(P33=0,0,IF(IF(R33="",Settings!$C$9,R33)&lt;=B33,0,((YEAR(IF(R33="",Settings!$C$9,R33))-YEAR(B33))*12+MONTH(IF(R33="",Settings!$C$9,R33))-MONTH(B33)+1))))</f>
        <v/>
      </c>
      <c r="V33" s="29" t="str">
        <f aca="false">IF(OR(G33="",H33=""),"",ROUND(P33*Settings!$C$10*U33,0))</f>
        <v/>
      </c>
      <c r="W33" s="28" t="str">
        <f aca="false">IF(OR(G33="",H33=""),"",IF(OR(P33=0,R33=""),0,IF(IF(S33="",Settings!$C$9,S33)&lt;=Q33,0,((YEAR(IF(S33="",Settings!$C$9,S33))-YEAR(R33))*12+MONTH(IF(S33="",Settings!$C$9,S33))-MONTH(R33)+1))))</f>
        <v/>
      </c>
      <c r="X33" s="29" t="str">
        <f aca="false">IF(OR(G33="",H33=""),"",ROUND(P33*Settings!$C$11*W33,0))</f>
        <v/>
      </c>
      <c r="Y33" s="29" t="str">
        <f aca="false">IF(OR(G33="",H33=""),"",V33+X33)</f>
        <v/>
      </c>
      <c r="Z33" s="7" t="str">
        <f aca="false">IF(OR(G33="",H33=""),"",IF(P33=0,"Below threshold",IF(R33="","Not yet deducted",IF(S33="",IF(Settings!$C$9&gt;Q33,"Overdue — pay now","Deducted, due "&amp;TEXT(Q33,"dd-mmm")),IF(S33&lt;=Q33,IF(N(U33)&gt;0,"Deducted late, paid on time","Paid on time"),"Paid late")))))</f>
        <v/>
      </c>
      <c r="AA33" s="35" t="str">
        <f aca="false">IF(OR(G33="",H33=""),"",IF(D33&lt;&gt;"",UPPER(TRIM(D33)),UPPER(TRIM(C33))))</f>
        <v/>
      </c>
    </row>
    <row r="34" customFormat="false" ht="15" hidden="false" customHeight="false" outlineLevel="0" collapsed="false">
      <c r="B34" s="17"/>
      <c r="C34" s="5"/>
      <c r="D34" s="5"/>
      <c r="E34" s="5"/>
      <c r="F34" s="5"/>
      <c r="G34" s="5"/>
      <c r="H34" s="16"/>
      <c r="I34" s="7" t="str">
        <f aca="false">IF(OR(G34="",H34=""),"",IFERROR(INDEX('TDS Rates'!$D$6:$D$40,MATCH(G34,'TDS Rates'!$B$6:$B$40,0)),"Check nature"))</f>
        <v/>
      </c>
      <c r="J34" s="7" t="str">
        <f aca="false">IF(OR(G34="",H34=""),"",IFERROR(INDEX('TDS Rates'!$C$6:$C$40,MATCH(G34,'TDS Rates'!$B$6:$B$40,0)),""))</f>
        <v/>
      </c>
      <c r="K34" s="7" t="str">
        <f aca="false">IF(OR(G34="",H34=""),"",IFERROR(INDEX('TDS Rates'!$E$6:$E$40,MATCH(G34,'TDS Rates'!$B$6:$B$40,0)),""))</f>
        <v/>
      </c>
      <c r="L34" s="29" t="str">
        <f aca="false">IF(OR(G34="",H34=""),"",SUMIFS(H$6:H33,AA$6:AA33,AA34,G$6:G33,G34))</f>
        <v/>
      </c>
      <c r="M34" s="29" t="str">
        <f aca="false">IF(OR(G34="",H34=""),"",SUMIFS(H$6:H33,AA$6:AA33,AA34,G$6:G33,G34,N$6:N33,0))</f>
        <v/>
      </c>
      <c r="N34" s="29" t="str">
        <f aca="false">IF(OR(G34="",H34=""),"",IFERROR(IF(INDEX('TDS Rates'!$F$6:$F$40,MATCH(G34,'TDS Rates'!$B$6:$B$40,0))="NONE",H34,IF(INDEX('TDS Rates'!$F$6:$F$40,MATCH(G34,'TDS Rates'!$B$6:$B$40,0))="PER",IF(H34&gt;INDEX('TDS Rates'!$G$6:$G$40,MATCH(G34,'TDS Rates'!$B$6:$B$40,0)),H34,0),IF(INDEX('TDS Rates'!$F$6:$F$40,MATCH(G34,'TDS Rates'!$B$6:$B$40,0))="EXCESS",MAX(0,L34+H34-INDEX('TDS Rates'!$H$6:$H$40,MATCH(G34,'TDS Rates'!$B$6:$B$40,0)))-MAX(0,L34-INDEX('TDS Rates'!$H$6:$H$40,MATCH(G34,'TDS Rates'!$B$6:$B$40,0))),IF(INDEX('TDS Rates'!$F$6:$F$40,MATCH(G34,'TDS Rates'!$B$6:$B$40,0))="SA",IF(L34+H34&gt;INDEX('TDS Rates'!$H$6:$H$40,MATCH(G34,'TDS Rates'!$B$6:$B$40,0)),H34+M34,IF(H34&gt;INDEX('TDS Rates'!$G$6:$G$40,MATCH(G34,'TDS Rates'!$B$6:$B$40,0)),H34,0)),IF(L34+H34&gt;INDEX('TDS Rates'!$H$6:$H$40,MATCH(G34,'TDS Rates'!$B$6:$B$40,0)),H34+M34,0))))),0))</f>
        <v/>
      </c>
      <c r="O34" s="33" t="str">
        <f aca="false">IF(OR(G34="",H34=""),"",IFERROR(IF(F34="No",IF(INDEX('TDS Rates'!$C$6:$C$40,MATCH(G34,'TDS Rates'!$B$6:$B$40,0))="194Q",Settings!$C$14,MAX(Settings!$C$13,IF(E34="Individual / HUF",INDEX('TDS Rates'!$I$6:$I$40,MATCH(G34,'TDS Rates'!$B$6:$B$40,0)),IF(E34="Company",INDEX('TDS Rates'!$J$6:$J$40,MATCH(G34,'TDS Rates'!$B$6:$B$40,0)),INDEX('TDS Rates'!$K$6:$K$40,MATCH(G34,'TDS Rates'!$B$6:$B$40,0)))))),IF(E34="Individual / HUF",INDEX('TDS Rates'!$I$6:$I$40,MATCH(G34,'TDS Rates'!$B$6:$B$40,0)),IF(E34="Company",INDEX('TDS Rates'!$J$6:$J$40,MATCH(G34,'TDS Rates'!$B$6:$B$40,0)),INDEX('TDS Rates'!$K$6:$K$40,MATCH(G34,'TDS Rates'!$B$6:$B$40,0))))),0))</f>
        <v/>
      </c>
      <c r="P34" s="34" t="str">
        <f aca="false">IF(OR(G34="",H34=""),"",ROUND(N34*O34,0))</f>
        <v/>
      </c>
      <c r="Q34" s="27" t="str">
        <f aca="false">IF(OR(G34="",H34=""),"",IFERROR(IF(INDEX('TDS Rates'!$E$6:$E$40,MATCH(G34,'TDS Rates'!$B$6:$B$40,0))="Form 141",EOMONTH(IF(R34="",B34,R34),0)+30,IF(MONTH(IF(R34="",B34,R34))=3,DATE(YEAR(IF(R34="",B34,R34)),4,30),DATE(YEAR(IF(R34="",B34,R34)),MONTH(IF(R34="",B34,R34))+1,7))),""))</f>
        <v/>
      </c>
      <c r="R34" s="17"/>
      <c r="S34" s="17"/>
      <c r="T34" s="5"/>
      <c r="U34" s="28" t="str">
        <f aca="false">IF(OR(G34="",H34=""),"",IF(P34=0,0,IF(IF(R34="",Settings!$C$9,R34)&lt;=B34,0,((YEAR(IF(R34="",Settings!$C$9,R34))-YEAR(B34))*12+MONTH(IF(R34="",Settings!$C$9,R34))-MONTH(B34)+1))))</f>
        <v/>
      </c>
      <c r="V34" s="29" t="str">
        <f aca="false">IF(OR(G34="",H34=""),"",ROUND(P34*Settings!$C$10*U34,0))</f>
        <v/>
      </c>
      <c r="W34" s="28" t="str">
        <f aca="false">IF(OR(G34="",H34=""),"",IF(OR(P34=0,R34=""),0,IF(IF(S34="",Settings!$C$9,S34)&lt;=Q34,0,((YEAR(IF(S34="",Settings!$C$9,S34))-YEAR(R34))*12+MONTH(IF(S34="",Settings!$C$9,S34))-MONTH(R34)+1))))</f>
        <v/>
      </c>
      <c r="X34" s="29" t="str">
        <f aca="false">IF(OR(G34="",H34=""),"",ROUND(P34*Settings!$C$11*W34,0))</f>
        <v/>
      </c>
      <c r="Y34" s="29" t="str">
        <f aca="false">IF(OR(G34="",H34=""),"",V34+X34)</f>
        <v/>
      </c>
      <c r="Z34" s="7" t="str">
        <f aca="false">IF(OR(G34="",H34=""),"",IF(P34=0,"Below threshold",IF(R34="","Not yet deducted",IF(S34="",IF(Settings!$C$9&gt;Q34,"Overdue — pay now","Deducted, due "&amp;TEXT(Q34,"dd-mmm")),IF(S34&lt;=Q34,IF(N(U34)&gt;0,"Deducted late, paid on time","Paid on time"),"Paid late")))))</f>
        <v/>
      </c>
      <c r="AA34" s="35" t="str">
        <f aca="false">IF(OR(G34="",H34=""),"",IF(D34&lt;&gt;"",UPPER(TRIM(D34)),UPPER(TRIM(C34))))</f>
        <v/>
      </c>
    </row>
    <row r="35" customFormat="false" ht="15" hidden="false" customHeight="false" outlineLevel="0" collapsed="false">
      <c r="B35" s="17"/>
      <c r="C35" s="5"/>
      <c r="D35" s="5"/>
      <c r="E35" s="5"/>
      <c r="F35" s="5"/>
      <c r="G35" s="5"/>
      <c r="H35" s="16"/>
      <c r="I35" s="7" t="str">
        <f aca="false">IF(OR(G35="",H35=""),"",IFERROR(INDEX('TDS Rates'!$D$6:$D$40,MATCH(G35,'TDS Rates'!$B$6:$B$40,0)),"Check nature"))</f>
        <v/>
      </c>
      <c r="J35" s="7" t="str">
        <f aca="false">IF(OR(G35="",H35=""),"",IFERROR(INDEX('TDS Rates'!$C$6:$C$40,MATCH(G35,'TDS Rates'!$B$6:$B$40,0)),""))</f>
        <v/>
      </c>
      <c r="K35" s="7" t="str">
        <f aca="false">IF(OR(G35="",H35=""),"",IFERROR(INDEX('TDS Rates'!$E$6:$E$40,MATCH(G35,'TDS Rates'!$B$6:$B$40,0)),""))</f>
        <v/>
      </c>
      <c r="L35" s="29" t="str">
        <f aca="false">IF(OR(G35="",H35=""),"",SUMIFS(H$6:H34,AA$6:AA34,AA35,G$6:G34,G35))</f>
        <v/>
      </c>
      <c r="M35" s="29" t="str">
        <f aca="false">IF(OR(G35="",H35=""),"",SUMIFS(H$6:H34,AA$6:AA34,AA35,G$6:G34,G35,N$6:N34,0))</f>
        <v/>
      </c>
      <c r="N35" s="29" t="str">
        <f aca="false">IF(OR(G35="",H35=""),"",IFERROR(IF(INDEX('TDS Rates'!$F$6:$F$40,MATCH(G35,'TDS Rates'!$B$6:$B$40,0))="NONE",H35,IF(INDEX('TDS Rates'!$F$6:$F$40,MATCH(G35,'TDS Rates'!$B$6:$B$40,0))="PER",IF(H35&gt;INDEX('TDS Rates'!$G$6:$G$40,MATCH(G35,'TDS Rates'!$B$6:$B$40,0)),H35,0),IF(INDEX('TDS Rates'!$F$6:$F$40,MATCH(G35,'TDS Rates'!$B$6:$B$40,0))="EXCESS",MAX(0,L35+H35-INDEX('TDS Rates'!$H$6:$H$40,MATCH(G35,'TDS Rates'!$B$6:$B$40,0)))-MAX(0,L35-INDEX('TDS Rates'!$H$6:$H$40,MATCH(G35,'TDS Rates'!$B$6:$B$40,0))),IF(INDEX('TDS Rates'!$F$6:$F$40,MATCH(G35,'TDS Rates'!$B$6:$B$40,0))="SA",IF(L35+H35&gt;INDEX('TDS Rates'!$H$6:$H$40,MATCH(G35,'TDS Rates'!$B$6:$B$40,0)),H35+M35,IF(H35&gt;INDEX('TDS Rates'!$G$6:$G$40,MATCH(G35,'TDS Rates'!$B$6:$B$40,0)),H35,0)),IF(L35+H35&gt;INDEX('TDS Rates'!$H$6:$H$40,MATCH(G35,'TDS Rates'!$B$6:$B$40,0)),H35+M35,0))))),0))</f>
        <v/>
      </c>
      <c r="O35" s="33" t="str">
        <f aca="false">IF(OR(G35="",H35=""),"",IFERROR(IF(F35="No",IF(INDEX('TDS Rates'!$C$6:$C$40,MATCH(G35,'TDS Rates'!$B$6:$B$40,0))="194Q",Settings!$C$14,MAX(Settings!$C$13,IF(E35="Individual / HUF",INDEX('TDS Rates'!$I$6:$I$40,MATCH(G35,'TDS Rates'!$B$6:$B$40,0)),IF(E35="Company",INDEX('TDS Rates'!$J$6:$J$40,MATCH(G35,'TDS Rates'!$B$6:$B$40,0)),INDEX('TDS Rates'!$K$6:$K$40,MATCH(G35,'TDS Rates'!$B$6:$B$40,0)))))),IF(E35="Individual / HUF",INDEX('TDS Rates'!$I$6:$I$40,MATCH(G35,'TDS Rates'!$B$6:$B$40,0)),IF(E35="Company",INDEX('TDS Rates'!$J$6:$J$40,MATCH(G35,'TDS Rates'!$B$6:$B$40,0)),INDEX('TDS Rates'!$K$6:$K$40,MATCH(G35,'TDS Rates'!$B$6:$B$40,0))))),0))</f>
        <v/>
      </c>
      <c r="P35" s="34" t="str">
        <f aca="false">IF(OR(G35="",H35=""),"",ROUND(N35*O35,0))</f>
        <v/>
      </c>
      <c r="Q35" s="27" t="str">
        <f aca="false">IF(OR(G35="",H35=""),"",IFERROR(IF(INDEX('TDS Rates'!$E$6:$E$40,MATCH(G35,'TDS Rates'!$B$6:$B$40,0))="Form 141",EOMONTH(IF(R35="",B35,R35),0)+30,IF(MONTH(IF(R35="",B35,R35))=3,DATE(YEAR(IF(R35="",B35,R35)),4,30),DATE(YEAR(IF(R35="",B35,R35)),MONTH(IF(R35="",B35,R35))+1,7))),""))</f>
        <v/>
      </c>
      <c r="R35" s="17"/>
      <c r="S35" s="17"/>
      <c r="T35" s="5"/>
      <c r="U35" s="28" t="str">
        <f aca="false">IF(OR(G35="",H35=""),"",IF(P35=0,0,IF(IF(R35="",Settings!$C$9,R35)&lt;=B35,0,((YEAR(IF(R35="",Settings!$C$9,R35))-YEAR(B35))*12+MONTH(IF(R35="",Settings!$C$9,R35))-MONTH(B35)+1))))</f>
        <v/>
      </c>
      <c r="V35" s="29" t="str">
        <f aca="false">IF(OR(G35="",H35=""),"",ROUND(P35*Settings!$C$10*U35,0))</f>
        <v/>
      </c>
      <c r="W35" s="28" t="str">
        <f aca="false">IF(OR(G35="",H35=""),"",IF(OR(P35=0,R35=""),0,IF(IF(S35="",Settings!$C$9,S35)&lt;=Q35,0,((YEAR(IF(S35="",Settings!$C$9,S35))-YEAR(R35))*12+MONTH(IF(S35="",Settings!$C$9,S35))-MONTH(R35)+1))))</f>
        <v/>
      </c>
      <c r="X35" s="29" t="str">
        <f aca="false">IF(OR(G35="",H35=""),"",ROUND(P35*Settings!$C$11*W35,0))</f>
        <v/>
      </c>
      <c r="Y35" s="29" t="str">
        <f aca="false">IF(OR(G35="",H35=""),"",V35+X35)</f>
        <v/>
      </c>
      <c r="Z35" s="7" t="str">
        <f aca="false">IF(OR(G35="",H35=""),"",IF(P35=0,"Below threshold",IF(R35="","Not yet deducted",IF(S35="",IF(Settings!$C$9&gt;Q35,"Overdue — pay now","Deducted, due "&amp;TEXT(Q35,"dd-mmm")),IF(S35&lt;=Q35,IF(N(U35)&gt;0,"Deducted late, paid on time","Paid on time"),"Paid late")))))</f>
        <v/>
      </c>
      <c r="AA35" s="35" t="str">
        <f aca="false">IF(OR(G35="",H35=""),"",IF(D35&lt;&gt;"",UPPER(TRIM(D35)),UPPER(TRIM(C35))))</f>
        <v/>
      </c>
    </row>
    <row r="36" customFormat="false" ht="15" hidden="false" customHeight="false" outlineLevel="0" collapsed="false">
      <c r="B36" s="17"/>
      <c r="C36" s="5"/>
      <c r="D36" s="5"/>
      <c r="E36" s="5"/>
      <c r="F36" s="5"/>
      <c r="G36" s="5"/>
      <c r="H36" s="16"/>
      <c r="I36" s="7" t="str">
        <f aca="false">IF(OR(G36="",H36=""),"",IFERROR(INDEX('TDS Rates'!$D$6:$D$40,MATCH(G36,'TDS Rates'!$B$6:$B$40,0)),"Check nature"))</f>
        <v/>
      </c>
      <c r="J36" s="7" t="str">
        <f aca="false">IF(OR(G36="",H36=""),"",IFERROR(INDEX('TDS Rates'!$C$6:$C$40,MATCH(G36,'TDS Rates'!$B$6:$B$40,0)),""))</f>
        <v/>
      </c>
      <c r="K36" s="7" t="str">
        <f aca="false">IF(OR(G36="",H36=""),"",IFERROR(INDEX('TDS Rates'!$E$6:$E$40,MATCH(G36,'TDS Rates'!$B$6:$B$40,0)),""))</f>
        <v/>
      </c>
      <c r="L36" s="29" t="str">
        <f aca="false">IF(OR(G36="",H36=""),"",SUMIFS(H$6:H35,AA$6:AA35,AA36,G$6:G35,G36))</f>
        <v/>
      </c>
      <c r="M36" s="29" t="str">
        <f aca="false">IF(OR(G36="",H36=""),"",SUMIFS(H$6:H35,AA$6:AA35,AA36,G$6:G35,G36,N$6:N35,0))</f>
        <v/>
      </c>
      <c r="N36" s="29" t="str">
        <f aca="false">IF(OR(G36="",H36=""),"",IFERROR(IF(INDEX('TDS Rates'!$F$6:$F$40,MATCH(G36,'TDS Rates'!$B$6:$B$40,0))="NONE",H36,IF(INDEX('TDS Rates'!$F$6:$F$40,MATCH(G36,'TDS Rates'!$B$6:$B$40,0))="PER",IF(H36&gt;INDEX('TDS Rates'!$G$6:$G$40,MATCH(G36,'TDS Rates'!$B$6:$B$40,0)),H36,0),IF(INDEX('TDS Rates'!$F$6:$F$40,MATCH(G36,'TDS Rates'!$B$6:$B$40,0))="EXCESS",MAX(0,L36+H36-INDEX('TDS Rates'!$H$6:$H$40,MATCH(G36,'TDS Rates'!$B$6:$B$40,0)))-MAX(0,L36-INDEX('TDS Rates'!$H$6:$H$40,MATCH(G36,'TDS Rates'!$B$6:$B$40,0))),IF(INDEX('TDS Rates'!$F$6:$F$40,MATCH(G36,'TDS Rates'!$B$6:$B$40,0))="SA",IF(L36+H36&gt;INDEX('TDS Rates'!$H$6:$H$40,MATCH(G36,'TDS Rates'!$B$6:$B$40,0)),H36+M36,IF(H36&gt;INDEX('TDS Rates'!$G$6:$G$40,MATCH(G36,'TDS Rates'!$B$6:$B$40,0)),H36,0)),IF(L36+H36&gt;INDEX('TDS Rates'!$H$6:$H$40,MATCH(G36,'TDS Rates'!$B$6:$B$40,0)),H36+M36,0))))),0))</f>
        <v/>
      </c>
      <c r="O36" s="33" t="str">
        <f aca="false">IF(OR(G36="",H36=""),"",IFERROR(IF(F36="No",IF(INDEX('TDS Rates'!$C$6:$C$40,MATCH(G36,'TDS Rates'!$B$6:$B$40,0))="194Q",Settings!$C$14,MAX(Settings!$C$13,IF(E36="Individual / HUF",INDEX('TDS Rates'!$I$6:$I$40,MATCH(G36,'TDS Rates'!$B$6:$B$40,0)),IF(E36="Company",INDEX('TDS Rates'!$J$6:$J$40,MATCH(G36,'TDS Rates'!$B$6:$B$40,0)),INDEX('TDS Rates'!$K$6:$K$40,MATCH(G36,'TDS Rates'!$B$6:$B$40,0)))))),IF(E36="Individual / HUF",INDEX('TDS Rates'!$I$6:$I$40,MATCH(G36,'TDS Rates'!$B$6:$B$40,0)),IF(E36="Company",INDEX('TDS Rates'!$J$6:$J$40,MATCH(G36,'TDS Rates'!$B$6:$B$40,0)),INDEX('TDS Rates'!$K$6:$K$40,MATCH(G36,'TDS Rates'!$B$6:$B$40,0))))),0))</f>
        <v/>
      </c>
      <c r="P36" s="34" t="str">
        <f aca="false">IF(OR(G36="",H36=""),"",ROUND(N36*O36,0))</f>
        <v/>
      </c>
      <c r="Q36" s="27" t="str">
        <f aca="false">IF(OR(G36="",H36=""),"",IFERROR(IF(INDEX('TDS Rates'!$E$6:$E$40,MATCH(G36,'TDS Rates'!$B$6:$B$40,0))="Form 141",EOMONTH(IF(R36="",B36,R36),0)+30,IF(MONTH(IF(R36="",B36,R36))=3,DATE(YEAR(IF(R36="",B36,R36)),4,30),DATE(YEAR(IF(R36="",B36,R36)),MONTH(IF(R36="",B36,R36))+1,7))),""))</f>
        <v/>
      </c>
      <c r="R36" s="17"/>
      <c r="S36" s="17"/>
      <c r="T36" s="5"/>
      <c r="U36" s="28" t="str">
        <f aca="false">IF(OR(G36="",H36=""),"",IF(P36=0,0,IF(IF(R36="",Settings!$C$9,R36)&lt;=B36,0,((YEAR(IF(R36="",Settings!$C$9,R36))-YEAR(B36))*12+MONTH(IF(R36="",Settings!$C$9,R36))-MONTH(B36)+1))))</f>
        <v/>
      </c>
      <c r="V36" s="29" t="str">
        <f aca="false">IF(OR(G36="",H36=""),"",ROUND(P36*Settings!$C$10*U36,0))</f>
        <v/>
      </c>
      <c r="W36" s="28" t="str">
        <f aca="false">IF(OR(G36="",H36=""),"",IF(OR(P36=0,R36=""),0,IF(IF(S36="",Settings!$C$9,S36)&lt;=Q36,0,((YEAR(IF(S36="",Settings!$C$9,S36))-YEAR(R36))*12+MONTH(IF(S36="",Settings!$C$9,S36))-MONTH(R36)+1))))</f>
        <v/>
      </c>
      <c r="X36" s="29" t="str">
        <f aca="false">IF(OR(G36="",H36=""),"",ROUND(P36*Settings!$C$11*W36,0))</f>
        <v/>
      </c>
      <c r="Y36" s="29" t="str">
        <f aca="false">IF(OR(G36="",H36=""),"",V36+X36)</f>
        <v/>
      </c>
      <c r="Z36" s="7" t="str">
        <f aca="false">IF(OR(G36="",H36=""),"",IF(P36=0,"Below threshold",IF(R36="","Not yet deducted",IF(S36="",IF(Settings!$C$9&gt;Q36,"Overdue — pay now","Deducted, due "&amp;TEXT(Q36,"dd-mmm")),IF(S36&lt;=Q36,IF(N(U36)&gt;0,"Deducted late, paid on time","Paid on time"),"Paid late")))))</f>
        <v/>
      </c>
      <c r="AA36" s="35" t="str">
        <f aca="false">IF(OR(G36="",H36=""),"",IF(D36&lt;&gt;"",UPPER(TRIM(D36)),UPPER(TRIM(C36))))</f>
        <v/>
      </c>
    </row>
    <row r="37" customFormat="false" ht="15" hidden="false" customHeight="false" outlineLevel="0" collapsed="false">
      <c r="B37" s="17"/>
      <c r="C37" s="5"/>
      <c r="D37" s="5"/>
      <c r="E37" s="5"/>
      <c r="F37" s="5"/>
      <c r="G37" s="5"/>
      <c r="H37" s="16"/>
      <c r="I37" s="7" t="str">
        <f aca="false">IF(OR(G37="",H37=""),"",IFERROR(INDEX('TDS Rates'!$D$6:$D$40,MATCH(G37,'TDS Rates'!$B$6:$B$40,0)),"Check nature"))</f>
        <v/>
      </c>
      <c r="J37" s="7" t="str">
        <f aca="false">IF(OR(G37="",H37=""),"",IFERROR(INDEX('TDS Rates'!$C$6:$C$40,MATCH(G37,'TDS Rates'!$B$6:$B$40,0)),""))</f>
        <v/>
      </c>
      <c r="K37" s="7" t="str">
        <f aca="false">IF(OR(G37="",H37=""),"",IFERROR(INDEX('TDS Rates'!$E$6:$E$40,MATCH(G37,'TDS Rates'!$B$6:$B$40,0)),""))</f>
        <v/>
      </c>
      <c r="L37" s="29" t="str">
        <f aca="false">IF(OR(G37="",H37=""),"",SUMIFS(H$6:H36,AA$6:AA36,AA37,G$6:G36,G37))</f>
        <v/>
      </c>
      <c r="M37" s="29" t="str">
        <f aca="false">IF(OR(G37="",H37=""),"",SUMIFS(H$6:H36,AA$6:AA36,AA37,G$6:G36,G37,N$6:N36,0))</f>
        <v/>
      </c>
      <c r="N37" s="29" t="str">
        <f aca="false">IF(OR(G37="",H37=""),"",IFERROR(IF(INDEX('TDS Rates'!$F$6:$F$40,MATCH(G37,'TDS Rates'!$B$6:$B$40,0))="NONE",H37,IF(INDEX('TDS Rates'!$F$6:$F$40,MATCH(G37,'TDS Rates'!$B$6:$B$40,0))="PER",IF(H37&gt;INDEX('TDS Rates'!$G$6:$G$40,MATCH(G37,'TDS Rates'!$B$6:$B$40,0)),H37,0),IF(INDEX('TDS Rates'!$F$6:$F$40,MATCH(G37,'TDS Rates'!$B$6:$B$40,0))="EXCESS",MAX(0,L37+H37-INDEX('TDS Rates'!$H$6:$H$40,MATCH(G37,'TDS Rates'!$B$6:$B$40,0)))-MAX(0,L37-INDEX('TDS Rates'!$H$6:$H$40,MATCH(G37,'TDS Rates'!$B$6:$B$40,0))),IF(INDEX('TDS Rates'!$F$6:$F$40,MATCH(G37,'TDS Rates'!$B$6:$B$40,0))="SA",IF(L37+H37&gt;INDEX('TDS Rates'!$H$6:$H$40,MATCH(G37,'TDS Rates'!$B$6:$B$40,0)),H37+M37,IF(H37&gt;INDEX('TDS Rates'!$G$6:$G$40,MATCH(G37,'TDS Rates'!$B$6:$B$40,0)),H37,0)),IF(L37+H37&gt;INDEX('TDS Rates'!$H$6:$H$40,MATCH(G37,'TDS Rates'!$B$6:$B$40,0)),H37+M37,0))))),0))</f>
        <v/>
      </c>
      <c r="O37" s="33" t="str">
        <f aca="false">IF(OR(G37="",H37=""),"",IFERROR(IF(F37="No",IF(INDEX('TDS Rates'!$C$6:$C$40,MATCH(G37,'TDS Rates'!$B$6:$B$40,0))="194Q",Settings!$C$14,MAX(Settings!$C$13,IF(E37="Individual / HUF",INDEX('TDS Rates'!$I$6:$I$40,MATCH(G37,'TDS Rates'!$B$6:$B$40,0)),IF(E37="Company",INDEX('TDS Rates'!$J$6:$J$40,MATCH(G37,'TDS Rates'!$B$6:$B$40,0)),INDEX('TDS Rates'!$K$6:$K$40,MATCH(G37,'TDS Rates'!$B$6:$B$40,0)))))),IF(E37="Individual / HUF",INDEX('TDS Rates'!$I$6:$I$40,MATCH(G37,'TDS Rates'!$B$6:$B$40,0)),IF(E37="Company",INDEX('TDS Rates'!$J$6:$J$40,MATCH(G37,'TDS Rates'!$B$6:$B$40,0)),INDEX('TDS Rates'!$K$6:$K$40,MATCH(G37,'TDS Rates'!$B$6:$B$40,0))))),0))</f>
        <v/>
      </c>
      <c r="P37" s="34" t="str">
        <f aca="false">IF(OR(G37="",H37=""),"",ROUND(N37*O37,0))</f>
        <v/>
      </c>
      <c r="Q37" s="27" t="str">
        <f aca="false">IF(OR(G37="",H37=""),"",IFERROR(IF(INDEX('TDS Rates'!$E$6:$E$40,MATCH(G37,'TDS Rates'!$B$6:$B$40,0))="Form 141",EOMONTH(IF(R37="",B37,R37),0)+30,IF(MONTH(IF(R37="",B37,R37))=3,DATE(YEAR(IF(R37="",B37,R37)),4,30),DATE(YEAR(IF(R37="",B37,R37)),MONTH(IF(R37="",B37,R37))+1,7))),""))</f>
        <v/>
      </c>
      <c r="R37" s="17"/>
      <c r="S37" s="17"/>
      <c r="T37" s="5"/>
      <c r="U37" s="28" t="str">
        <f aca="false">IF(OR(G37="",H37=""),"",IF(P37=0,0,IF(IF(R37="",Settings!$C$9,R37)&lt;=B37,0,((YEAR(IF(R37="",Settings!$C$9,R37))-YEAR(B37))*12+MONTH(IF(R37="",Settings!$C$9,R37))-MONTH(B37)+1))))</f>
        <v/>
      </c>
      <c r="V37" s="29" t="str">
        <f aca="false">IF(OR(G37="",H37=""),"",ROUND(P37*Settings!$C$10*U37,0))</f>
        <v/>
      </c>
      <c r="W37" s="28" t="str">
        <f aca="false">IF(OR(G37="",H37=""),"",IF(OR(P37=0,R37=""),0,IF(IF(S37="",Settings!$C$9,S37)&lt;=Q37,0,((YEAR(IF(S37="",Settings!$C$9,S37))-YEAR(R37))*12+MONTH(IF(S37="",Settings!$C$9,S37))-MONTH(R37)+1))))</f>
        <v/>
      </c>
      <c r="X37" s="29" t="str">
        <f aca="false">IF(OR(G37="",H37=""),"",ROUND(P37*Settings!$C$11*W37,0))</f>
        <v/>
      </c>
      <c r="Y37" s="29" t="str">
        <f aca="false">IF(OR(G37="",H37=""),"",V37+X37)</f>
        <v/>
      </c>
      <c r="Z37" s="7" t="str">
        <f aca="false">IF(OR(G37="",H37=""),"",IF(P37=0,"Below threshold",IF(R37="","Not yet deducted",IF(S37="",IF(Settings!$C$9&gt;Q37,"Overdue — pay now","Deducted, due "&amp;TEXT(Q37,"dd-mmm")),IF(S37&lt;=Q37,IF(N(U37)&gt;0,"Deducted late, paid on time","Paid on time"),"Paid late")))))</f>
        <v/>
      </c>
      <c r="AA37" s="35" t="str">
        <f aca="false">IF(OR(G37="",H37=""),"",IF(D37&lt;&gt;"",UPPER(TRIM(D37)),UPPER(TRIM(C37))))</f>
        <v/>
      </c>
    </row>
    <row r="38" customFormat="false" ht="15" hidden="false" customHeight="false" outlineLevel="0" collapsed="false">
      <c r="B38" s="17"/>
      <c r="C38" s="5"/>
      <c r="D38" s="5"/>
      <c r="E38" s="5"/>
      <c r="F38" s="5"/>
      <c r="G38" s="5"/>
      <c r="H38" s="16"/>
      <c r="I38" s="7" t="str">
        <f aca="false">IF(OR(G38="",H38=""),"",IFERROR(INDEX('TDS Rates'!$D$6:$D$40,MATCH(G38,'TDS Rates'!$B$6:$B$40,0)),"Check nature"))</f>
        <v/>
      </c>
      <c r="J38" s="7" t="str">
        <f aca="false">IF(OR(G38="",H38=""),"",IFERROR(INDEX('TDS Rates'!$C$6:$C$40,MATCH(G38,'TDS Rates'!$B$6:$B$40,0)),""))</f>
        <v/>
      </c>
      <c r="K38" s="7" t="str">
        <f aca="false">IF(OR(G38="",H38=""),"",IFERROR(INDEX('TDS Rates'!$E$6:$E$40,MATCH(G38,'TDS Rates'!$B$6:$B$40,0)),""))</f>
        <v/>
      </c>
      <c r="L38" s="29" t="str">
        <f aca="false">IF(OR(G38="",H38=""),"",SUMIFS(H$6:H37,AA$6:AA37,AA38,G$6:G37,G38))</f>
        <v/>
      </c>
      <c r="M38" s="29" t="str">
        <f aca="false">IF(OR(G38="",H38=""),"",SUMIFS(H$6:H37,AA$6:AA37,AA38,G$6:G37,G38,N$6:N37,0))</f>
        <v/>
      </c>
      <c r="N38" s="29" t="str">
        <f aca="false">IF(OR(G38="",H38=""),"",IFERROR(IF(INDEX('TDS Rates'!$F$6:$F$40,MATCH(G38,'TDS Rates'!$B$6:$B$40,0))="NONE",H38,IF(INDEX('TDS Rates'!$F$6:$F$40,MATCH(G38,'TDS Rates'!$B$6:$B$40,0))="PER",IF(H38&gt;INDEX('TDS Rates'!$G$6:$G$40,MATCH(G38,'TDS Rates'!$B$6:$B$40,0)),H38,0),IF(INDEX('TDS Rates'!$F$6:$F$40,MATCH(G38,'TDS Rates'!$B$6:$B$40,0))="EXCESS",MAX(0,L38+H38-INDEX('TDS Rates'!$H$6:$H$40,MATCH(G38,'TDS Rates'!$B$6:$B$40,0)))-MAX(0,L38-INDEX('TDS Rates'!$H$6:$H$40,MATCH(G38,'TDS Rates'!$B$6:$B$40,0))),IF(INDEX('TDS Rates'!$F$6:$F$40,MATCH(G38,'TDS Rates'!$B$6:$B$40,0))="SA",IF(L38+H38&gt;INDEX('TDS Rates'!$H$6:$H$40,MATCH(G38,'TDS Rates'!$B$6:$B$40,0)),H38+M38,IF(H38&gt;INDEX('TDS Rates'!$G$6:$G$40,MATCH(G38,'TDS Rates'!$B$6:$B$40,0)),H38,0)),IF(L38+H38&gt;INDEX('TDS Rates'!$H$6:$H$40,MATCH(G38,'TDS Rates'!$B$6:$B$40,0)),H38+M38,0))))),0))</f>
        <v/>
      </c>
      <c r="O38" s="33" t="str">
        <f aca="false">IF(OR(G38="",H38=""),"",IFERROR(IF(F38="No",IF(INDEX('TDS Rates'!$C$6:$C$40,MATCH(G38,'TDS Rates'!$B$6:$B$40,0))="194Q",Settings!$C$14,MAX(Settings!$C$13,IF(E38="Individual / HUF",INDEX('TDS Rates'!$I$6:$I$40,MATCH(G38,'TDS Rates'!$B$6:$B$40,0)),IF(E38="Company",INDEX('TDS Rates'!$J$6:$J$40,MATCH(G38,'TDS Rates'!$B$6:$B$40,0)),INDEX('TDS Rates'!$K$6:$K$40,MATCH(G38,'TDS Rates'!$B$6:$B$40,0)))))),IF(E38="Individual / HUF",INDEX('TDS Rates'!$I$6:$I$40,MATCH(G38,'TDS Rates'!$B$6:$B$40,0)),IF(E38="Company",INDEX('TDS Rates'!$J$6:$J$40,MATCH(G38,'TDS Rates'!$B$6:$B$40,0)),INDEX('TDS Rates'!$K$6:$K$40,MATCH(G38,'TDS Rates'!$B$6:$B$40,0))))),0))</f>
        <v/>
      </c>
      <c r="P38" s="34" t="str">
        <f aca="false">IF(OR(G38="",H38=""),"",ROUND(N38*O38,0))</f>
        <v/>
      </c>
      <c r="Q38" s="27" t="str">
        <f aca="false">IF(OR(G38="",H38=""),"",IFERROR(IF(INDEX('TDS Rates'!$E$6:$E$40,MATCH(G38,'TDS Rates'!$B$6:$B$40,0))="Form 141",EOMONTH(IF(R38="",B38,R38),0)+30,IF(MONTH(IF(R38="",B38,R38))=3,DATE(YEAR(IF(R38="",B38,R38)),4,30),DATE(YEAR(IF(R38="",B38,R38)),MONTH(IF(R38="",B38,R38))+1,7))),""))</f>
        <v/>
      </c>
      <c r="R38" s="17"/>
      <c r="S38" s="17"/>
      <c r="T38" s="5"/>
      <c r="U38" s="28" t="str">
        <f aca="false">IF(OR(G38="",H38=""),"",IF(P38=0,0,IF(IF(R38="",Settings!$C$9,R38)&lt;=B38,0,((YEAR(IF(R38="",Settings!$C$9,R38))-YEAR(B38))*12+MONTH(IF(R38="",Settings!$C$9,R38))-MONTH(B38)+1))))</f>
        <v/>
      </c>
      <c r="V38" s="29" t="str">
        <f aca="false">IF(OR(G38="",H38=""),"",ROUND(P38*Settings!$C$10*U38,0))</f>
        <v/>
      </c>
      <c r="W38" s="28" t="str">
        <f aca="false">IF(OR(G38="",H38=""),"",IF(OR(P38=0,R38=""),0,IF(IF(S38="",Settings!$C$9,S38)&lt;=Q38,0,((YEAR(IF(S38="",Settings!$C$9,S38))-YEAR(R38))*12+MONTH(IF(S38="",Settings!$C$9,S38))-MONTH(R38)+1))))</f>
        <v/>
      </c>
      <c r="X38" s="29" t="str">
        <f aca="false">IF(OR(G38="",H38=""),"",ROUND(P38*Settings!$C$11*W38,0))</f>
        <v/>
      </c>
      <c r="Y38" s="29" t="str">
        <f aca="false">IF(OR(G38="",H38=""),"",V38+X38)</f>
        <v/>
      </c>
      <c r="Z38" s="7" t="str">
        <f aca="false">IF(OR(G38="",H38=""),"",IF(P38=0,"Below threshold",IF(R38="","Not yet deducted",IF(S38="",IF(Settings!$C$9&gt;Q38,"Overdue — pay now","Deducted, due "&amp;TEXT(Q38,"dd-mmm")),IF(S38&lt;=Q38,IF(N(U38)&gt;0,"Deducted late, paid on time","Paid on time"),"Paid late")))))</f>
        <v/>
      </c>
      <c r="AA38" s="35" t="str">
        <f aca="false">IF(OR(G38="",H38=""),"",IF(D38&lt;&gt;"",UPPER(TRIM(D38)),UPPER(TRIM(C38))))</f>
        <v/>
      </c>
    </row>
    <row r="39" customFormat="false" ht="15" hidden="false" customHeight="false" outlineLevel="0" collapsed="false">
      <c r="B39" s="17"/>
      <c r="C39" s="5"/>
      <c r="D39" s="5"/>
      <c r="E39" s="5"/>
      <c r="F39" s="5"/>
      <c r="G39" s="5"/>
      <c r="H39" s="16"/>
      <c r="I39" s="7" t="str">
        <f aca="false">IF(OR(G39="",H39=""),"",IFERROR(INDEX('TDS Rates'!$D$6:$D$40,MATCH(G39,'TDS Rates'!$B$6:$B$40,0)),"Check nature"))</f>
        <v/>
      </c>
      <c r="J39" s="7" t="str">
        <f aca="false">IF(OR(G39="",H39=""),"",IFERROR(INDEX('TDS Rates'!$C$6:$C$40,MATCH(G39,'TDS Rates'!$B$6:$B$40,0)),""))</f>
        <v/>
      </c>
      <c r="K39" s="7" t="str">
        <f aca="false">IF(OR(G39="",H39=""),"",IFERROR(INDEX('TDS Rates'!$E$6:$E$40,MATCH(G39,'TDS Rates'!$B$6:$B$40,0)),""))</f>
        <v/>
      </c>
      <c r="L39" s="29" t="str">
        <f aca="false">IF(OR(G39="",H39=""),"",SUMIFS(H$6:H38,AA$6:AA38,AA39,G$6:G38,G39))</f>
        <v/>
      </c>
      <c r="M39" s="29" t="str">
        <f aca="false">IF(OR(G39="",H39=""),"",SUMIFS(H$6:H38,AA$6:AA38,AA39,G$6:G38,G39,N$6:N38,0))</f>
        <v/>
      </c>
      <c r="N39" s="29" t="str">
        <f aca="false">IF(OR(G39="",H39=""),"",IFERROR(IF(INDEX('TDS Rates'!$F$6:$F$40,MATCH(G39,'TDS Rates'!$B$6:$B$40,0))="NONE",H39,IF(INDEX('TDS Rates'!$F$6:$F$40,MATCH(G39,'TDS Rates'!$B$6:$B$40,0))="PER",IF(H39&gt;INDEX('TDS Rates'!$G$6:$G$40,MATCH(G39,'TDS Rates'!$B$6:$B$40,0)),H39,0),IF(INDEX('TDS Rates'!$F$6:$F$40,MATCH(G39,'TDS Rates'!$B$6:$B$40,0))="EXCESS",MAX(0,L39+H39-INDEX('TDS Rates'!$H$6:$H$40,MATCH(G39,'TDS Rates'!$B$6:$B$40,0)))-MAX(0,L39-INDEX('TDS Rates'!$H$6:$H$40,MATCH(G39,'TDS Rates'!$B$6:$B$40,0))),IF(INDEX('TDS Rates'!$F$6:$F$40,MATCH(G39,'TDS Rates'!$B$6:$B$40,0))="SA",IF(L39+H39&gt;INDEX('TDS Rates'!$H$6:$H$40,MATCH(G39,'TDS Rates'!$B$6:$B$40,0)),H39+M39,IF(H39&gt;INDEX('TDS Rates'!$G$6:$G$40,MATCH(G39,'TDS Rates'!$B$6:$B$40,0)),H39,0)),IF(L39+H39&gt;INDEX('TDS Rates'!$H$6:$H$40,MATCH(G39,'TDS Rates'!$B$6:$B$40,0)),H39+M39,0))))),0))</f>
        <v/>
      </c>
      <c r="O39" s="33" t="str">
        <f aca="false">IF(OR(G39="",H39=""),"",IFERROR(IF(F39="No",IF(INDEX('TDS Rates'!$C$6:$C$40,MATCH(G39,'TDS Rates'!$B$6:$B$40,0))="194Q",Settings!$C$14,MAX(Settings!$C$13,IF(E39="Individual / HUF",INDEX('TDS Rates'!$I$6:$I$40,MATCH(G39,'TDS Rates'!$B$6:$B$40,0)),IF(E39="Company",INDEX('TDS Rates'!$J$6:$J$40,MATCH(G39,'TDS Rates'!$B$6:$B$40,0)),INDEX('TDS Rates'!$K$6:$K$40,MATCH(G39,'TDS Rates'!$B$6:$B$40,0)))))),IF(E39="Individual / HUF",INDEX('TDS Rates'!$I$6:$I$40,MATCH(G39,'TDS Rates'!$B$6:$B$40,0)),IF(E39="Company",INDEX('TDS Rates'!$J$6:$J$40,MATCH(G39,'TDS Rates'!$B$6:$B$40,0)),INDEX('TDS Rates'!$K$6:$K$40,MATCH(G39,'TDS Rates'!$B$6:$B$40,0))))),0))</f>
        <v/>
      </c>
      <c r="P39" s="34" t="str">
        <f aca="false">IF(OR(G39="",H39=""),"",ROUND(N39*O39,0))</f>
        <v/>
      </c>
      <c r="Q39" s="27" t="str">
        <f aca="false">IF(OR(G39="",H39=""),"",IFERROR(IF(INDEX('TDS Rates'!$E$6:$E$40,MATCH(G39,'TDS Rates'!$B$6:$B$40,0))="Form 141",EOMONTH(IF(R39="",B39,R39),0)+30,IF(MONTH(IF(R39="",B39,R39))=3,DATE(YEAR(IF(R39="",B39,R39)),4,30),DATE(YEAR(IF(R39="",B39,R39)),MONTH(IF(R39="",B39,R39))+1,7))),""))</f>
        <v/>
      </c>
      <c r="R39" s="17"/>
      <c r="S39" s="17"/>
      <c r="T39" s="5"/>
      <c r="U39" s="28" t="str">
        <f aca="false">IF(OR(G39="",H39=""),"",IF(P39=0,0,IF(IF(R39="",Settings!$C$9,R39)&lt;=B39,0,((YEAR(IF(R39="",Settings!$C$9,R39))-YEAR(B39))*12+MONTH(IF(R39="",Settings!$C$9,R39))-MONTH(B39)+1))))</f>
        <v/>
      </c>
      <c r="V39" s="29" t="str">
        <f aca="false">IF(OR(G39="",H39=""),"",ROUND(P39*Settings!$C$10*U39,0))</f>
        <v/>
      </c>
      <c r="W39" s="28" t="str">
        <f aca="false">IF(OR(G39="",H39=""),"",IF(OR(P39=0,R39=""),0,IF(IF(S39="",Settings!$C$9,S39)&lt;=Q39,0,((YEAR(IF(S39="",Settings!$C$9,S39))-YEAR(R39))*12+MONTH(IF(S39="",Settings!$C$9,S39))-MONTH(R39)+1))))</f>
        <v/>
      </c>
      <c r="X39" s="29" t="str">
        <f aca="false">IF(OR(G39="",H39=""),"",ROUND(P39*Settings!$C$11*W39,0))</f>
        <v/>
      </c>
      <c r="Y39" s="29" t="str">
        <f aca="false">IF(OR(G39="",H39=""),"",V39+X39)</f>
        <v/>
      </c>
      <c r="Z39" s="7" t="str">
        <f aca="false">IF(OR(G39="",H39=""),"",IF(P39=0,"Below threshold",IF(R39="","Not yet deducted",IF(S39="",IF(Settings!$C$9&gt;Q39,"Overdue — pay now","Deducted, due "&amp;TEXT(Q39,"dd-mmm")),IF(S39&lt;=Q39,IF(N(U39)&gt;0,"Deducted late, paid on time","Paid on time"),"Paid late")))))</f>
        <v/>
      </c>
      <c r="AA39" s="35" t="str">
        <f aca="false">IF(OR(G39="",H39=""),"",IF(D39&lt;&gt;"",UPPER(TRIM(D39)),UPPER(TRIM(C39))))</f>
        <v/>
      </c>
    </row>
    <row r="40" customFormat="false" ht="15" hidden="false" customHeight="false" outlineLevel="0" collapsed="false">
      <c r="B40" s="17"/>
      <c r="C40" s="5"/>
      <c r="D40" s="5"/>
      <c r="E40" s="5"/>
      <c r="F40" s="5"/>
      <c r="G40" s="5"/>
      <c r="H40" s="16"/>
      <c r="I40" s="7" t="str">
        <f aca="false">IF(OR(G40="",H40=""),"",IFERROR(INDEX('TDS Rates'!$D$6:$D$40,MATCH(G40,'TDS Rates'!$B$6:$B$40,0)),"Check nature"))</f>
        <v/>
      </c>
      <c r="J40" s="7" t="str">
        <f aca="false">IF(OR(G40="",H40=""),"",IFERROR(INDEX('TDS Rates'!$C$6:$C$40,MATCH(G40,'TDS Rates'!$B$6:$B$40,0)),""))</f>
        <v/>
      </c>
      <c r="K40" s="7" t="str">
        <f aca="false">IF(OR(G40="",H40=""),"",IFERROR(INDEX('TDS Rates'!$E$6:$E$40,MATCH(G40,'TDS Rates'!$B$6:$B$40,0)),""))</f>
        <v/>
      </c>
      <c r="L40" s="29" t="str">
        <f aca="false">IF(OR(G40="",H40=""),"",SUMIFS(H$6:H39,AA$6:AA39,AA40,G$6:G39,G40))</f>
        <v/>
      </c>
      <c r="M40" s="29" t="str">
        <f aca="false">IF(OR(G40="",H40=""),"",SUMIFS(H$6:H39,AA$6:AA39,AA40,G$6:G39,G40,N$6:N39,0))</f>
        <v/>
      </c>
      <c r="N40" s="29" t="str">
        <f aca="false">IF(OR(G40="",H40=""),"",IFERROR(IF(INDEX('TDS Rates'!$F$6:$F$40,MATCH(G40,'TDS Rates'!$B$6:$B$40,0))="NONE",H40,IF(INDEX('TDS Rates'!$F$6:$F$40,MATCH(G40,'TDS Rates'!$B$6:$B$40,0))="PER",IF(H40&gt;INDEX('TDS Rates'!$G$6:$G$40,MATCH(G40,'TDS Rates'!$B$6:$B$40,0)),H40,0),IF(INDEX('TDS Rates'!$F$6:$F$40,MATCH(G40,'TDS Rates'!$B$6:$B$40,0))="EXCESS",MAX(0,L40+H40-INDEX('TDS Rates'!$H$6:$H$40,MATCH(G40,'TDS Rates'!$B$6:$B$40,0)))-MAX(0,L40-INDEX('TDS Rates'!$H$6:$H$40,MATCH(G40,'TDS Rates'!$B$6:$B$40,0))),IF(INDEX('TDS Rates'!$F$6:$F$40,MATCH(G40,'TDS Rates'!$B$6:$B$40,0))="SA",IF(L40+H40&gt;INDEX('TDS Rates'!$H$6:$H$40,MATCH(G40,'TDS Rates'!$B$6:$B$40,0)),H40+M40,IF(H40&gt;INDEX('TDS Rates'!$G$6:$G$40,MATCH(G40,'TDS Rates'!$B$6:$B$40,0)),H40,0)),IF(L40+H40&gt;INDEX('TDS Rates'!$H$6:$H$40,MATCH(G40,'TDS Rates'!$B$6:$B$40,0)),H40+M40,0))))),0))</f>
        <v/>
      </c>
      <c r="O40" s="33" t="str">
        <f aca="false">IF(OR(G40="",H40=""),"",IFERROR(IF(F40="No",IF(INDEX('TDS Rates'!$C$6:$C$40,MATCH(G40,'TDS Rates'!$B$6:$B$40,0))="194Q",Settings!$C$14,MAX(Settings!$C$13,IF(E40="Individual / HUF",INDEX('TDS Rates'!$I$6:$I$40,MATCH(G40,'TDS Rates'!$B$6:$B$40,0)),IF(E40="Company",INDEX('TDS Rates'!$J$6:$J$40,MATCH(G40,'TDS Rates'!$B$6:$B$40,0)),INDEX('TDS Rates'!$K$6:$K$40,MATCH(G40,'TDS Rates'!$B$6:$B$40,0)))))),IF(E40="Individual / HUF",INDEX('TDS Rates'!$I$6:$I$40,MATCH(G40,'TDS Rates'!$B$6:$B$40,0)),IF(E40="Company",INDEX('TDS Rates'!$J$6:$J$40,MATCH(G40,'TDS Rates'!$B$6:$B$40,0)),INDEX('TDS Rates'!$K$6:$K$40,MATCH(G40,'TDS Rates'!$B$6:$B$40,0))))),0))</f>
        <v/>
      </c>
      <c r="P40" s="34" t="str">
        <f aca="false">IF(OR(G40="",H40=""),"",ROUND(N40*O40,0))</f>
        <v/>
      </c>
      <c r="Q40" s="27" t="str">
        <f aca="false">IF(OR(G40="",H40=""),"",IFERROR(IF(INDEX('TDS Rates'!$E$6:$E$40,MATCH(G40,'TDS Rates'!$B$6:$B$40,0))="Form 141",EOMONTH(IF(R40="",B40,R40),0)+30,IF(MONTH(IF(R40="",B40,R40))=3,DATE(YEAR(IF(R40="",B40,R40)),4,30),DATE(YEAR(IF(R40="",B40,R40)),MONTH(IF(R40="",B40,R40))+1,7))),""))</f>
        <v/>
      </c>
      <c r="R40" s="17"/>
      <c r="S40" s="17"/>
      <c r="T40" s="5"/>
      <c r="U40" s="28" t="str">
        <f aca="false">IF(OR(G40="",H40=""),"",IF(P40=0,0,IF(IF(R40="",Settings!$C$9,R40)&lt;=B40,0,((YEAR(IF(R40="",Settings!$C$9,R40))-YEAR(B40))*12+MONTH(IF(R40="",Settings!$C$9,R40))-MONTH(B40)+1))))</f>
        <v/>
      </c>
      <c r="V40" s="29" t="str">
        <f aca="false">IF(OR(G40="",H40=""),"",ROUND(P40*Settings!$C$10*U40,0))</f>
        <v/>
      </c>
      <c r="W40" s="28" t="str">
        <f aca="false">IF(OR(G40="",H40=""),"",IF(OR(P40=0,R40=""),0,IF(IF(S40="",Settings!$C$9,S40)&lt;=Q40,0,((YEAR(IF(S40="",Settings!$C$9,S40))-YEAR(R40))*12+MONTH(IF(S40="",Settings!$C$9,S40))-MONTH(R40)+1))))</f>
        <v/>
      </c>
      <c r="X40" s="29" t="str">
        <f aca="false">IF(OR(G40="",H40=""),"",ROUND(P40*Settings!$C$11*W40,0))</f>
        <v/>
      </c>
      <c r="Y40" s="29" t="str">
        <f aca="false">IF(OR(G40="",H40=""),"",V40+X40)</f>
        <v/>
      </c>
      <c r="Z40" s="7" t="str">
        <f aca="false">IF(OR(G40="",H40=""),"",IF(P40=0,"Below threshold",IF(R40="","Not yet deducted",IF(S40="",IF(Settings!$C$9&gt;Q40,"Overdue — pay now","Deducted, due "&amp;TEXT(Q40,"dd-mmm")),IF(S40&lt;=Q40,IF(N(U40)&gt;0,"Deducted late, paid on time","Paid on time"),"Paid late")))))</f>
        <v/>
      </c>
      <c r="AA40" s="35" t="str">
        <f aca="false">IF(OR(G40="",H40=""),"",IF(D40&lt;&gt;"",UPPER(TRIM(D40)),UPPER(TRIM(C40))))</f>
        <v/>
      </c>
    </row>
    <row r="41" customFormat="false" ht="15" hidden="false" customHeight="false" outlineLevel="0" collapsed="false">
      <c r="B41" s="17"/>
      <c r="C41" s="5"/>
      <c r="D41" s="5"/>
      <c r="E41" s="5"/>
      <c r="F41" s="5"/>
      <c r="G41" s="5"/>
      <c r="H41" s="16"/>
      <c r="I41" s="7" t="str">
        <f aca="false">IF(OR(G41="",H41=""),"",IFERROR(INDEX('TDS Rates'!$D$6:$D$40,MATCH(G41,'TDS Rates'!$B$6:$B$40,0)),"Check nature"))</f>
        <v/>
      </c>
      <c r="J41" s="7" t="str">
        <f aca="false">IF(OR(G41="",H41=""),"",IFERROR(INDEX('TDS Rates'!$C$6:$C$40,MATCH(G41,'TDS Rates'!$B$6:$B$40,0)),""))</f>
        <v/>
      </c>
      <c r="K41" s="7" t="str">
        <f aca="false">IF(OR(G41="",H41=""),"",IFERROR(INDEX('TDS Rates'!$E$6:$E$40,MATCH(G41,'TDS Rates'!$B$6:$B$40,0)),""))</f>
        <v/>
      </c>
      <c r="L41" s="29" t="str">
        <f aca="false">IF(OR(G41="",H41=""),"",SUMIFS(H$6:H40,AA$6:AA40,AA41,G$6:G40,G41))</f>
        <v/>
      </c>
      <c r="M41" s="29" t="str">
        <f aca="false">IF(OR(G41="",H41=""),"",SUMIFS(H$6:H40,AA$6:AA40,AA41,G$6:G40,G41,N$6:N40,0))</f>
        <v/>
      </c>
      <c r="N41" s="29" t="str">
        <f aca="false">IF(OR(G41="",H41=""),"",IFERROR(IF(INDEX('TDS Rates'!$F$6:$F$40,MATCH(G41,'TDS Rates'!$B$6:$B$40,0))="NONE",H41,IF(INDEX('TDS Rates'!$F$6:$F$40,MATCH(G41,'TDS Rates'!$B$6:$B$40,0))="PER",IF(H41&gt;INDEX('TDS Rates'!$G$6:$G$40,MATCH(G41,'TDS Rates'!$B$6:$B$40,0)),H41,0),IF(INDEX('TDS Rates'!$F$6:$F$40,MATCH(G41,'TDS Rates'!$B$6:$B$40,0))="EXCESS",MAX(0,L41+H41-INDEX('TDS Rates'!$H$6:$H$40,MATCH(G41,'TDS Rates'!$B$6:$B$40,0)))-MAX(0,L41-INDEX('TDS Rates'!$H$6:$H$40,MATCH(G41,'TDS Rates'!$B$6:$B$40,0))),IF(INDEX('TDS Rates'!$F$6:$F$40,MATCH(G41,'TDS Rates'!$B$6:$B$40,0))="SA",IF(L41+H41&gt;INDEX('TDS Rates'!$H$6:$H$40,MATCH(G41,'TDS Rates'!$B$6:$B$40,0)),H41+M41,IF(H41&gt;INDEX('TDS Rates'!$G$6:$G$40,MATCH(G41,'TDS Rates'!$B$6:$B$40,0)),H41,0)),IF(L41+H41&gt;INDEX('TDS Rates'!$H$6:$H$40,MATCH(G41,'TDS Rates'!$B$6:$B$40,0)),H41+M41,0))))),0))</f>
        <v/>
      </c>
      <c r="O41" s="33" t="str">
        <f aca="false">IF(OR(G41="",H41=""),"",IFERROR(IF(F41="No",IF(INDEX('TDS Rates'!$C$6:$C$40,MATCH(G41,'TDS Rates'!$B$6:$B$40,0))="194Q",Settings!$C$14,MAX(Settings!$C$13,IF(E41="Individual / HUF",INDEX('TDS Rates'!$I$6:$I$40,MATCH(G41,'TDS Rates'!$B$6:$B$40,0)),IF(E41="Company",INDEX('TDS Rates'!$J$6:$J$40,MATCH(G41,'TDS Rates'!$B$6:$B$40,0)),INDEX('TDS Rates'!$K$6:$K$40,MATCH(G41,'TDS Rates'!$B$6:$B$40,0)))))),IF(E41="Individual / HUF",INDEX('TDS Rates'!$I$6:$I$40,MATCH(G41,'TDS Rates'!$B$6:$B$40,0)),IF(E41="Company",INDEX('TDS Rates'!$J$6:$J$40,MATCH(G41,'TDS Rates'!$B$6:$B$40,0)),INDEX('TDS Rates'!$K$6:$K$40,MATCH(G41,'TDS Rates'!$B$6:$B$40,0))))),0))</f>
        <v/>
      </c>
      <c r="P41" s="34" t="str">
        <f aca="false">IF(OR(G41="",H41=""),"",ROUND(N41*O41,0))</f>
        <v/>
      </c>
      <c r="Q41" s="27" t="str">
        <f aca="false">IF(OR(G41="",H41=""),"",IFERROR(IF(INDEX('TDS Rates'!$E$6:$E$40,MATCH(G41,'TDS Rates'!$B$6:$B$40,0))="Form 141",EOMONTH(IF(R41="",B41,R41),0)+30,IF(MONTH(IF(R41="",B41,R41))=3,DATE(YEAR(IF(R41="",B41,R41)),4,30),DATE(YEAR(IF(R41="",B41,R41)),MONTH(IF(R41="",B41,R41))+1,7))),""))</f>
        <v/>
      </c>
      <c r="R41" s="17"/>
      <c r="S41" s="17"/>
      <c r="T41" s="5"/>
      <c r="U41" s="28" t="str">
        <f aca="false">IF(OR(G41="",H41=""),"",IF(P41=0,0,IF(IF(R41="",Settings!$C$9,R41)&lt;=B41,0,((YEAR(IF(R41="",Settings!$C$9,R41))-YEAR(B41))*12+MONTH(IF(R41="",Settings!$C$9,R41))-MONTH(B41)+1))))</f>
        <v/>
      </c>
      <c r="V41" s="29" t="str">
        <f aca="false">IF(OR(G41="",H41=""),"",ROUND(P41*Settings!$C$10*U41,0))</f>
        <v/>
      </c>
      <c r="W41" s="28" t="str">
        <f aca="false">IF(OR(G41="",H41=""),"",IF(OR(P41=0,R41=""),0,IF(IF(S41="",Settings!$C$9,S41)&lt;=Q41,0,((YEAR(IF(S41="",Settings!$C$9,S41))-YEAR(R41))*12+MONTH(IF(S41="",Settings!$C$9,S41))-MONTH(R41)+1))))</f>
        <v/>
      </c>
      <c r="X41" s="29" t="str">
        <f aca="false">IF(OR(G41="",H41=""),"",ROUND(P41*Settings!$C$11*W41,0))</f>
        <v/>
      </c>
      <c r="Y41" s="29" t="str">
        <f aca="false">IF(OR(G41="",H41=""),"",V41+X41)</f>
        <v/>
      </c>
      <c r="Z41" s="7" t="str">
        <f aca="false">IF(OR(G41="",H41=""),"",IF(P41=0,"Below threshold",IF(R41="","Not yet deducted",IF(S41="",IF(Settings!$C$9&gt;Q41,"Overdue — pay now","Deducted, due "&amp;TEXT(Q41,"dd-mmm")),IF(S41&lt;=Q41,IF(N(U41)&gt;0,"Deducted late, paid on time","Paid on time"),"Paid late")))))</f>
        <v/>
      </c>
      <c r="AA41" s="35" t="str">
        <f aca="false">IF(OR(G41="",H41=""),"",IF(D41&lt;&gt;"",UPPER(TRIM(D41)),UPPER(TRIM(C41))))</f>
        <v/>
      </c>
    </row>
    <row r="42" customFormat="false" ht="15" hidden="false" customHeight="false" outlineLevel="0" collapsed="false">
      <c r="B42" s="17"/>
      <c r="C42" s="5"/>
      <c r="D42" s="5"/>
      <c r="E42" s="5"/>
      <c r="F42" s="5"/>
      <c r="G42" s="5"/>
      <c r="H42" s="16"/>
      <c r="I42" s="7" t="str">
        <f aca="false">IF(OR(G42="",H42=""),"",IFERROR(INDEX('TDS Rates'!$D$6:$D$40,MATCH(G42,'TDS Rates'!$B$6:$B$40,0)),"Check nature"))</f>
        <v/>
      </c>
      <c r="J42" s="7" t="str">
        <f aca="false">IF(OR(G42="",H42=""),"",IFERROR(INDEX('TDS Rates'!$C$6:$C$40,MATCH(G42,'TDS Rates'!$B$6:$B$40,0)),""))</f>
        <v/>
      </c>
      <c r="K42" s="7" t="str">
        <f aca="false">IF(OR(G42="",H42=""),"",IFERROR(INDEX('TDS Rates'!$E$6:$E$40,MATCH(G42,'TDS Rates'!$B$6:$B$40,0)),""))</f>
        <v/>
      </c>
      <c r="L42" s="29" t="str">
        <f aca="false">IF(OR(G42="",H42=""),"",SUMIFS(H$6:H41,AA$6:AA41,AA42,G$6:G41,G42))</f>
        <v/>
      </c>
      <c r="M42" s="29" t="str">
        <f aca="false">IF(OR(G42="",H42=""),"",SUMIFS(H$6:H41,AA$6:AA41,AA42,G$6:G41,G42,N$6:N41,0))</f>
        <v/>
      </c>
      <c r="N42" s="29" t="str">
        <f aca="false">IF(OR(G42="",H42=""),"",IFERROR(IF(INDEX('TDS Rates'!$F$6:$F$40,MATCH(G42,'TDS Rates'!$B$6:$B$40,0))="NONE",H42,IF(INDEX('TDS Rates'!$F$6:$F$40,MATCH(G42,'TDS Rates'!$B$6:$B$40,0))="PER",IF(H42&gt;INDEX('TDS Rates'!$G$6:$G$40,MATCH(G42,'TDS Rates'!$B$6:$B$40,0)),H42,0),IF(INDEX('TDS Rates'!$F$6:$F$40,MATCH(G42,'TDS Rates'!$B$6:$B$40,0))="EXCESS",MAX(0,L42+H42-INDEX('TDS Rates'!$H$6:$H$40,MATCH(G42,'TDS Rates'!$B$6:$B$40,0)))-MAX(0,L42-INDEX('TDS Rates'!$H$6:$H$40,MATCH(G42,'TDS Rates'!$B$6:$B$40,0))),IF(INDEX('TDS Rates'!$F$6:$F$40,MATCH(G42,'TDS Rates'!$B$6:$B$40,0))="SA",IF(L42+H42&gt;INDEX('TDS Rates'!$H$6:$H$40,MATCH(G42,'TDS Rates'!$B$6:$B$40,0)),H42+M42,IF(H42&gt;INDEX('TDS Rates'!$G$6:$G$40,MATCH(G42,'TDS Rates'!$B$6:$B$40,0)),H42,0)),IF(L42+H42&gt;INDEX('TDS Rates'!$H$6:$H$40,MATCH(G42,'TDS Rates'!$B$6:$B$40,0)),H42+M42,0))))),0))</f>
        <v/>
      </c>
      <c r="O42" s="33" t="str">
        <f aca="false">IF(OR(G42="",H42=""),"",IFERROR(IF(F42="No",IF(INDEX('TDS Rates'!$C$6:$C$40,MATCH(G42,'TDS Rates'!$B$6:$B$40,0))="194Q",Settings!$C$14,MAX(Settings!$C$13,IF(E42="Individual / HUF",INDEX('TDS Rates'!$I$6:$I$40,MATCH(G42,'TDS Rates'!$B$6:$B$40,0)),IF(E42="Company",INDEX('TDS Rates'!$J$6:$J$40,MATCH(G42,'TDS Rates'!$B$6:$B$40,0)),INDEX('TDS Rates'!$K$6:$K$40,MATCH(G42,'TDS Rates'!$B$6:$B$40,0)))))),IF(E42="Individual / HUF",INDEX('TDS Rates'!$I$6:$I$40,MATCH(G42,'TDS Rates'!$B$6:$B$40,0)),IF(E42="Company",INDEX('TDS Rates'!$J$6:$J$40,MATCH(G42,'TDS Rates'!$B$6:$B$40,0)),INDEX('TDS Rates'!$K$6:$K$40,MATCH(G42,'TDS Rates'!$B$6:$B$40,0))))),0))</f>
        <v/>
      </c>
      <c r="P42" s="34" t="str">
        <f aca="false">IF(OR(G42="",H42=""),"",ROUND(N42*O42,0))</f>
        <v/>
      </c>
      <c r="Q42" s="27" t="str">
        <f aca="false">IF(OR(G42="",H42=""),"",IFERROR(IF(INDEX('TDS Rates'!$E$6:$E$40,MATCH(G42,'TDS Rates'!$B$6:$B$40,0))="Form 141",EOMONTH(IF(R42="",B42,R42),0)+30,IF(MONTH(IF(R42="",B42,R42))=3,DATE(YEAR(IF(R42="",B42,R42)),4,30),DATE(YEAR(IF(R42="",B42,R42)),MONTH(IF(R42="",B42,R42))+1,7))),""))</f>
        <v/>
      </c>
      <c r="R42" s="17"/>
      <c r="S42" s="17"/>
      <c r="T42" s="5"/>
      <c r="U42" s="28" t="str">
        <f aca="false">IF(OR(G42="",H42=""),"",IF(P42=0,0,IF(IF(R42="",Settings!$C$9,R42)&lt;=B42,0,((YEAR(IF(R42="",Settings!$C$9,R42))-YEAR(B42))*12+MONTH(IF(R42="",Settings!$C$9,R42))-MONTH(B42)+1))))</f>
        <v/>
      </c>
      <c r="V42" s="29" t="str">
        <f aca="false">IF(OR(G42="",H42=""),"",ROUND(P42*Settings!$C$10*U42,0))</f>
        <v/>
      </c>
      <c r="W42" s="28" t="str">
        <f aca="false">IF(OR(G42="",H42=""),"",IF(OR(P42=0,R42=""),0,IF(IF(S42="",Settings!$C$9,S42)&lt;=Q42,0,((YEAR(IF(S42="",Settings!$C$9,S42))-YEAR(R42))*12+MONTH(IF(S42="",Settings!$C$9,S42))-MONTH(R42)+1))))</f>
        <v/>
      </c>
      <c r="X42" s="29" t="str">
        <f aca="false">IF(OR(G42="",H42=""),"",ROUND(P42*Settings!$C$11*W42,0))</f>
        <v/>
      </c>
      <c r="Y42" s="29" t="str">
        <f aca="false">IF(OR(G42="",H42=""),"",V42+X42)</f>
        <v/>
      </c>
      <c r="Z42" s="7" t="str">
        <f aca="false">IF(OR(G42="",H42=""),"",IF(P42=0,"Below threshold",IF(R42="","Not yet deducted",IF(S42="",IF(Settings!$C$9&gt;Q42,"Overdue — pay now","Deducted, due "&amp;TEXT(Q42,"dd-mmm")),IF(S42&lt;=Q42,IF(N(U42)&gt;0,"Deducted late, paid on time","Paid on time"),"Paid late")))))</f>
        <v/>
      </c>
      <c r="AA42" s="35" t="str">
        <f aca="false">IF(OR(G42="",H42=""),"",IF(D42&lt;&gt;"",UPPER(TRIM(D42)),UPPER(TRIM(C42))))</f>
        <v/>
      </c>
    </row>
    <row r="43" customFormat="false" ht="15" hidden="false" customHeight="false" outlineLevel="0" collapsed="false">
      <c r="B43" s="17"/>
      <c r="C43" s="5"/>
      <c r="D43" s="5"/>
      <c r="E43" s="5"/>
      <c r="F43" s="5"/>
      <c r="G43" s="5"/>
      <c r="H43" s="16"/>
      <c r="I43" s="7" t="str">
        <f aca="false">IF(OR(G43="",H43=""),"",IFERROR(INDEX('TDS Rates'!$D$6:$D$40,MATCH(G43,'TDS Rates'!$B$6:$B$40,0)),"Check nature"))</f>
        <v/>
      </c>
      <c r="J43" s="7" t="str">
        <f aca="false">IF(OR(G43="",H43=""),"",IFERROR(INDEX('TDS Rates'!$C$6:$C$40,MATCH(G43,'TDS Rates'!$B$6:$B$40,0)),""))</f>
        <v/>
      </c>
      <c r="K43" s="7" t="str">
        <f aca="false">IF(OR(G43="",H43=""),"",IFERROR(INDEX('TDS Rates'!$E$6:$E$40,MATCH(G43,'TDS Rates'!$B$6:$B$40,0)),""))</f>
        <v/>
      </c>
      <c r="L43" s="29" t="str">
        <f aca="false">IF(OR(G43="",H43=""),"",SUMIFS(H$6:H42,AA$6:AA42,AA43,G$6:G42,G43))</f>
        <v/>
      </c>
      <c r="M43" s="29" t="str">
        <f aca="false">IF(OR(G43="",H43=""),"",SUMIFS(H$6:H42,AA$6:AA42,AA43,G$6:G42,G43,N$6:N42,0))</f>
        <v/>
      </c>
      <c r="N43" s="29" t="str">
        <f aca="false">IF(OR(G43="",H43=""),"",IFERROR(IF(INDEX('TDS Rates'!$F$6:$F$40,MATCH(G43,'TDS Rates'!$B$6:$B$40,0))="NONE",H43,IF(INDEX('TDS Rates'!$F$6:$F$40,MATCH(G43,'TDS Rates'!$B$6:$B$40,0))="PER",IF(H43&gt;INDEX('TDS Rates'!$G$6:$G$40,MATCH(G43,'TDS Rates'!$B$6:$B$40,0)),H43,0),IF(INDEX('TDS Rates'!$F$6:$F$40,MATCH(G43,'TDS Rates'!$B$6:$B$40,0))="EXCESS",MAX(0,L43+H43-INDEX('TDS Rates'!$H$6:$H$40,MATCH(G43,'TDS Rates'!$B$6:$B$40,0)))-MAX(0,L43-INDEX('TDS Rates'!$H$6:$H$40,MATCH(G43,'TDS Rates'!$B$6:$B$40,0))),IF(INDEX('TDS Rates'!$F$6:$F$40,MATCH(G43,'TDS Rates'!$B$6:$B$40,0))="SA",IF(L43+H43&gt;INDEX('TDS Rates'!$H$6:$H$40,MATCH(G43,'TDS Rates'!$B$6:$B$40,0)),H43+M43,IF(H43&gt;INDEX('TDS Rates'!$G$6:$G$40,MATCH(G43,'TDS Rates'!$B$6:$B$40,0)),H43,0)),IF(L43+H43&gt;INDEX('TDS Rates'!$H$6:$H$40,MATCH(G43,'TDS Rates'!$B$6:$B$40,0)),H43+M43,0))))),0))</f>
        <v/>
      </c>
      <c r="O43" s="33" t="str">
        <f aca="false">IF(OR(G43="",H43=""),"",IFERROR(IF(F43="No",IF(INDEX('TDS Rates'!$C$6:$C$40,MATCH(G43,'TDS Rates'!$B$6:$B$40,0))="194Q",Settings!$C$14,MAX(Settings!$C$13,IF(E43="Individual / HUF",INDEX('TDS Rates'!$I$6:$I$40,MATCH(G43,'TDS Rates'!$B$6:$B$40,0)),IF(E43="Company",INDEX('TDS Rates'!$J$6:$J$40,MATCH(G43,'TDS Rates'!$B$6:$B$40,0)),INDEX('TDS Rates'!$K$6:$K$40,MATCH(G43,'TDS Rates'!$B$6:$B$40,0)))))),IF(E43="Individual / HUF",INDEX('TDS Rates'!$I$6:$I$40,MATCH(G43,'TDS Rates'!$B$6:$B$40,0)),IF(E43="Company",INDEX('TDS Rates'!$J$6:$J$40,MATCH(G43,'TDS Rates'!$B$6:$B$40,0)),INDEX('TDS Rates'!$K$6:$K$40,MATCH(G43,'TDS Rates'!$B$6:$B$40,0))))),0))</f>
        <v/>
      </c>
      <c r="P43" s="34" t="str">
        <f aca="false">IF(OR(G43="",H43=""),"",ROUND(N43*O43,0))</f>
        <v/>
      </c>
      <c r="Q43" s="27" t="str">
        <f aca="false">IF(OR(G43="",H43=""),"",IFERROR(IF(INDEX('TDS Rates'!$E$6:$E$40,MATCH(G43,'TDS Rates'!$B$6:$B$40,0))="Form 141",EOMONTH(IF(R43="",B43,R43),0)+30,IF(MONTH(IF(R43="",B43,R43))=3,DATE(YEAR(IF(R43="",B43,R43)),4,30),DATE(YEAR(IF(R43="",B43,R43)),MONTH(IF(R43="",B43,R43))+1,7))),""))</f>
        <v/>
      </c>
      <c r="R43" s="17"/>
      <c r="S43" s="17"/>
      <c r="T43" s="5"/>
      <c r="U43" s="28" t="str">
        <f aca="false">IF(OR(G43="",H43=""),"",IF(P43=0,0,IF(IF(R43="",Settings!$C$9,R43)&lt;=B43,0,((YEAR(IF(R43="",Settings!$C$9,R43))-YEAR(B43))*12+MONTH(IF(R43="",Settings!$C$9,R43))-MONTH(B43)+1))))</f>
        <v/>
      </c>
      <c r="V43" s="29" t="str">
        <f aca="false">IF(OR(G43="",H43=""),"",ROUND(P43*Settings!$C$10*U43,0))</f>
        <v/>
      </c>
      <c r="W43" s="28" t="str">
        <f aca="false">IF(OR(G43="",H43=""),"",IF(OR(P43=0,R43=""),0,IF(IF(S43="",Settings!$C$9,S43)&lt;=Q43,0,((YEAR(IF(S43="",Settings!$C$9,S43))-YEAR(R43))*12+MONTH(IF(S43="",Settings!$C$9,S43))-MONTH(R43)+1))))</f>
        <v/>
      </c>
      <c r="X43" s="29" t="str">
        <f aca="false">IF(OR(G43="",H43=""),"",ROUND(P43*Settings!$C$11*W43,0))</f>
        <v/>
      </c>
      <c r="Y43" s="29" t="str">
        <f aca="false">IF(OR(G43="",H43=""),"",V43+X43)</f>
        <v/>
      </c>
      <c r="Z43" s="7" t="str">
        <f aca="false">IF(OR(G43="",H43=""),"",IF(P43=0,"Below threshold",IF(R43="","Not yet deducted",IF(S43="",IF(Settings!$C$9&gt;Q43,"Overdue — pay now","Deducted, due "&amp;TEXT(Q43,"dd-mmm")),IF(S43&lt;=Q43,IF(N(U43)&gt;0,"Deducted late, paid on time","Paid on time"),"Paid late")))))</f>
        <v/>
      </c>
      <c r="AA43" s="35" t="str">
        <f aca="false">IF(OR(G43="",H43=""),"",IF(D43&lt;&gt;"",UPPER(TRIM(D43)),UPPER(TRIM(C43))))</f>
        <v/>
      </c>
    </row>
    <row r="44" customFormat="false" ht="15" hidden="false" customHeight="false" outlineLevel="0" collapsed="false">
      <c r="B44" s="17"/>
      <c r="C44" s="5"/>
      <c r="D44" s="5"/>
      <c r="E44" s="5"/>
      <c r="F44" s="5"/>
      <c r="G44" s="5"/>
      <c r="H44" s="16"/>
      <c r="I44" s="7" t="str">
        <f aca="false">IF(OR(G44="",H44=""),"",IFERROR(INDEX('TDS Rates'!$D$6:$D$40,MATCH(G44,'TDS Rates'!$B$6:$B$40,0)),"Check nature"))</f>
        <v/>
      </c>
      <c r="J44" s="7" t="str">
        <f aca="false">IF(OR(G44="",H44=""),"",IFERROR(INDEX('TDS Rates'!$C$6:$C$40,MATCH(G44,'TDS Rates'!$B$6:$B$40,0)),""))</f>
        <v/>
      </c>
      <c r="K44" s="7" t="str">
        <f aca="false">IF(OR(G44="",H44=""),"",IFERROR(INDEX('TDS Rates'!$E$6:$E$40,MATCH(G44,'TDS Rates'!$B$6:$B$40,0)),""))</f>
        <v/>
      </c>
      <c r="L44" s="29" t="str">
        <f aca="false">IF(OR(G44="",H44=""),"",SUMIFS(H$6:H43,AA$6:AA43,AA44,G$6:G43,G44))</f>
        <v/>
      </c>
      <c r="M44" s="29" t="str">
        <f aca="false">IF(OR(G44="",H44=""),"",SUMIFS(H$6:H43,AA$6:AA43,AA44,G$6:G43,G44,N$6:N43,0))</f>
        <v/>
      </c>
      <c r="N44" s="29" t="str">
        <f aca="false">IF(OR(G44="",H44=""),"",IFERROR(IF(INDEX('TDS Rates'!$F$6:$F$40,MATCH(G44,'TDS Rates'!$B$6:$B$40,0))="NONE",H44,IF(INDEX('TDS Rates'!$F$6:$F$40,MATCH(G44,'TDS Rates'!$B$6:$B$40,0))="PER",IF(H44&gt;INDEX('TDS Rates'!$G$6:$G$40,MATCH(G44,'TDS Rates'!$B$6:$B$40,0)),H44,0),IF(INDEX('TDS Rates'!$F$6:$F$40,MATCH(G44,'TDS Rates'!$B$6:$B$40,0))="EXCESS",MAX(0,L44+H44-INDEX('TDS Rates'!$H$6:$H$40,MATCH(G44,'TDS Rates'!$B$6:$B$40,0)))-MAX(0,L44-INDEX('TDS Rates'!$H$6:$H$40,MATCH(G44,'TDS Rates'!$B$6:$B$40,0))),IF(INDEX('TDS Rates'!$F$6:$F$40,MATCH(G44,'TDS Rates'!$B$6:$B$40,0))="SA",IF(L44+H44&gt;INDEX('TDS Rates'!$H$6:$H$40,MATCH(G44,'TDS Rates'!$B$6:$B$40,0)),H44+M44,IF(H44&gt;INDEX('TDS Rates'!$G$6:$G$40,MATCH(G44,'TDS Rates'!$B$6:$B$40,0)),H44,0)),IF(L44+H44&gt;INDEX('TDS Rates'!$H$6:$H$40,MATCH(G44,'TDS Rates'!$B$6:$B$40,0)),H44+M44,0))))),0))</f>
        <v/>
      </c>
      <c r="O44" s="33" t="str">
        <f aca="false">IF(OR(G44="",H44=""),"",IFERROR(IF(F44="No",IF(INDEX('TDS Rates'!$C$6:$C$40,MATCH(G44,'TDS Rates'!$B$6:$B$40,0))="194Q",Settings!$C$14,MAX(Settings!$C$13,IF(E44="Individual / HUF",INDEX('TDS Rates'!$I$6:$I$40,MATCH(G44,'TDS Rates'!$B$6:$B$40,0)),IF(E44="Company",INDEX('TDS Rates'!$J$6:$J$40,MATCH(G44,'TDS Rates'!$B$6:$B$40,0)),INDEX('TDS Rates'!$K$6:$K$40,MATCH(G44,'TDS Rates'!$B$6:$B$40,0)))))),IF(E44="Individual / HUF",INDEX('TDS Rates'!$I$6:$I$40,MATCH(G44,'TDS Rates'!$B$6:$B$40,0)),IF(E44="Company",INDEX('TDS Rates'!$J$6:$J$40,MATCH(G44,'TDS Rates'!$B$6:$B$40,0)),INDEX('TDS Rates'!$K$6:$K$40,MATCH(G44,'TDS Rates'!$B$6:$B$40,0))))),0))</f>
        <v/>
      </c>
      <c r="P44" s="34" t="str">
        <f aca="false">IF(OR(G44="",H44=""),"",ROUND(N44*O44,0))</f>
        <v/>
      </c>
      <c r="Q44" s="27" t="str">
        <f aca="false">IF(OR(G44="",H44=""),"",IFERROR(IF(INDEX('TDS Rates'!$E$6:$E$40,MATCH(G44,'TDS Rates'!$B$6:$B$40,0))="Form 141",EOMONTH(IF(R44="",B44,R44),0)+30,IF(MONTH(IF(R44="",B44,R44))=3,DATE(YEAR(IF(R44="",B44,R44)),4,30),DATE(YEAR(IF(R44="",B44,R44)),MONTH(IF(R44="",B44,R44))+1,7))),""))</f>
        <v/>
      </c>
      <c r="R44" s="17"/>
      <c r="S44" s="17"/>
      <c r="T44" s="5"/>
      <c r="U44" s="28" t="str">
        <f aca="false">IF(OR(G44="",H44=""),"",IF(P44=0,0,IF(IF(R44="",Settings!$C$9,R44)&lt;=B44,0,((YEAR(IF(R44="",Settings!$C$9,R44))-YEAR(B44))*12+MONTH(IF(R44="",Settings!$C$9,R44))-MONTH(B44)+1))))</f>
        <v/>
      </c>
      <c r="V44" s="29" t="str">
        <f aca="false">IF(OR(G44="",H44=""),"",ROUND(P44*Settings!$C$10*U44,0))</f>
        <v/>
      </c>
      <c r="W44" s="28" t="str">
        <f aca="false">IF(OR(G44="",H44=""),"",IF(OR(P44=0,R44=""),0,IF(IF(S44="",Settings!$C$9,S44)&lt;=Q44,0,((YEAR(IF(S44="",Settings!$C$9,S44))-YEAR(R44))*12+MONTH(IF(S44="",Settings!$C$9,S44))-MONTH(R44)+1))))</f>
        <v/>
      </c>
      <c r="X44" s="29" t="str">
        <f aca="false">IF(OR(G44="",H44=""),"",ROUND(P44*Settings!$C$11*W44,0))</f>
        <v/>
      </c>
      <c r="Y44" s="29" t="str">
        <f aca="false">IF(OR(G44="",H44=""),"",V44+X44)</f>
        <v/>
      </c>
      <c r="Z44" s="7" t="str">
        <f aca="false">IF(OR(G44="",H44=""),"",IF(P44=0,"Below threshold",IF(R44="","Not yet deducted",IF(S44="",IF(Settings!$C$9&gt;Q44,"Overdue — pay now","Deducted, due "&amp;TEXT(Q44,"dd-mmm")),IF(S44&lt;=Q44,IF(N(U44)&gt;0,"Deducted late, paid on time","Paid on time"),"Paid late")))))</f>
        <v/>
      </c>
      <c r="AA44" s="35" t="str">
        <f aca="false">IF(OR(G44="",H44=""),"",IF(D44&lt;&gt;"",UPPER(TRIM(D44)),UPPER(TRIM(C44))))</f>
        <v/>
      </c>
    </row>
    <row r="45" customFormat="false" ht="15" hidden="false" customHeight="false" outlineLevel="0" collapsed="false">
      <c r="B45" s="17"/>
      <c r="C45" s="5"/>
      <c r="D45" s="5"/>
      <c r="E45" s="5"/>
      <c r="F45" s="5"/>
      <c r="G45" s="5"/>
      <c r="H45" s="16"/>
      <c r="I45" s="7" t="str">
        <f aca="false">IF(OR(G45="",H45=""),"",IFERROR(INDEX('TDS Rates'!$D$6:$D$40,MATCH(G45,'TDS Rates'!$B$6:$B$40,0)),"Check nature"))</f>
        <v/>
      </c>
      <c r="J45" s="7" t="str">
        <f aca="false">IF(OR(G45="",H45=""),"",IFERROR(INDEX('TDS Rates'!$C$6:$C$40,MATCH(G45,'TDS Rates'!$B$6:$B$40,0)),""))</f>
        <v/>
      </c>
      <c r="K45" s="7" t="str">
        <f aca="false">IF(OR(G45="",H45=""),"",IFERROR(INDEX('TDS Rates'!$E$6:$E$40,MATCH(G45,'TDS Rates'!$B$6:$B$40,0)),""))</f>
        <v/>
      </c>
      <c r="L45" s="29" t="str">
        <f aca="false">IF(OR(G45="",H45=""),"",SUMIFS(H$6:H44,AA$6:AA44,AA45,G$6:G44,G45))</f>
        <v/>
      </c>
      <c r="M45" s="29" t="str">
        <f aca="false">IF(OR(G45="",H45=""),"",SUMIFS(H$6:H44,AA$6:AA44,AA45,G$6:G44,G45,N$6:N44,0))</f>
        <v/>
      </c>
      <c r="N45" s="29" t="str">
        <f aca="false">IF(OR(G45="",H45=""),"",IFERROR(IF(INDEX('TDS Rates'!$F$6:$F$40,MATCH(G45,'TDS Rates'!$B$6:$B$40,0))="NONE",H45,IF(INDEX('TDS Rates'!$F$6:$F$40,MATCH(G45,'TDS Rates'!$B$6:$B$40,0))="PER",IF(H45&gt;INDEX('TDS Rates'!$G$6:$G$40,MATCH(G45,'TDS Rates'!$B$6:$B$40,0)),H45,0),IF(INDEX('TDS Rates'!$F$6:$F$40,MATCH(G45,'TDS Rates'!$B$6:$B$40,0))="EXCESS",MAX(0,L45+H45-INDEX('TDS Rates'!$H$6:$H$40,MATCH(G45,'TDS Rates'!$B$6:$B$40,0)))-MAX(0,L45-INDEX('TDS Rates'!$H$6:$H$40,MATCH(G45,'TDS Rates'!$B$6:$B$40,0))),IF(INDEX('TDS Rates'!$F$6:$F$40,MATCH(G45,'TDS Rates'!$B$6:$B$40,0))="SA",IF(L45+H45&gt;INDEX('TDS Rates'!$H$6:$H$40,MATCH(G45,'TDS Rates'!$B$6:$B$40,0)),H45+M45,IF(H45&gt;INDEX('TDS Rates'!$G$6:$G$40,MATCH(G45,'TDS Rates'!$B$6:$B$40,0)),H45,0)),IF(L45+H45&gt;INDEX('TDS Rates'!$H$6:$H$40,MATCH(G45,'TDS Rates'!$B$6:$B$40,0)),H45+M45,0))))),0))</f>
        <v/>
      </c>
      <c r="O45" s="33" t="str">
        <f aca="false">IF(OR(G45="",H45=""),"",IFERROR(IF(F45="No",IF(INDEX('TDS Rates'!$C$6:$C$40,MATCH(G45,'TDS Rates'!$B$6:$B$40,0))="194Q",Settings!$C$14,MAX(Settings!$C$13,IF(E45="Individual / HUF",INDEX('TDS Rates'!$I$6:$I$40,MATCH(G45,'TDS Rates'!$B$6:$B$40,0)),IF(E45="Company",INDEX('TDS Rates'!$J$6:$J$40,MATCH(G45,'TDS Rates'!$B$6:$B$40,0)),INDEX('TDS Rates'!$K$6:$K$40,MATCH(G45,'TDS Rates'!$B$6:$B$40,0)))))),IF(E45="Individual / HUF",INDEX('TDS Rates'!$I$6:$I$40,MATCH(G45,'TDS Rates'!$B$6:$B$40,0)),IF(E45="Company",INDEX('TDS Rates'!$J$6:$J$40,MATCH(G45,'TDS Rates'!$B$6:$B$40,0)),INDEX('TDS Rates'!$K$6:$K$40,MATCH(G45,'TDS Rates'!$B$6:$B$40,0))))),0))</f>
        <v/>
      </c>
      <c r="P45" s="34" t="str">
        <f aca="false">IF(OR(G45="",H45=""),"",ROUND(N45*O45,0))</f>
        <v/>
      </c>
      <c r="Q45" s="27" t="str">
        <f aca="false">IF(OR(G45="",H45=""),"",IFERROR(IF(INDEX('TDS Rates'!$E$6:$E$40,MATCH(G45,'TDS Rates'!$B$6:$B$40,0))="Form 141",EOMONTH(IF(R45="",B45,R45),0)+30,IF(MONTH(IF(R45="",B45,R45))=3,DATE(YEAR(IF(R45="",B45,R45)),4,30),DATE(YEAR(IF(R45="",B45,R45)),MONTH(IF(R45="",B45,R45))+1,7))),""))</f>
        <v/>
      </c>
      <c r="R45" s="17"/>
      <c r="S45" s="17"/>
      <c r="T45" s="5"/>
      <c r="U45" s="28" t="str">
        <f aca="false">IF(OR(G45="",H45=""),"",IF(P45=0,0,IF(IF(R45="",Settings!$C$9,R45)&lt;=B45,0,((YEAR(IF(R45="",Settings!$C$9,R45))-YEAR(B45))*12+MONTH(IF(R45="",Settings!$C$9,R45))-MONTH(B45)+1))))</f>
        <v/>
      </c>
      <c r="V45" s="29" t="str">
        <f aca="false">IF(OR(G45="",H45=""),"",ROUND(P45*Settings!$C$10*U45,0))</f>
        <v/>
      </c>
      <c r="W45" s="28" t="str">
        <f aca="false">IF(OR(G45="",H45=""),"",IF(OR(P45=0,R45=""),0,IF(IF(S45="",Settings!$C$9,S45)&lt;=Q45,0,((YEAR(IF(S45="",Settings!$C$9,S45))-YEAR(R45))*12+MONTH(IF(S45="",Settings!$C$9,S45))-MONTH(R45)+1))))</f>
        <v/>
      </c>
      <c r="X45" s="29" t="str">
        <f aca="false">IF(OR(G45="",H45=""),"",ROUND(P45*Settings!$C$11*W45,0))</f>
        <v/>
      </c>
      <c r="Y45" s="29" t="str">
        <f aca="false">IF(OR(G45="",H45=""),"",V45+X45)</f>
        <v/>
      </c>
      <c r="Z45" s="7" t="str">
        <f aca="false">IF(OR(G45="",H45=""),"",IF(P45=0,"Below threshold",IF(R45="","Not yet deducted",IF(S45="",IF(Settings!$C$9&gt;Q45,"Overdue — pay now","Deducted, due "&amp;TEXT(Q45,"dd-mmm")),IF(S45&lt;=Q45,IF(N(U45)&gt;0,"Deducted late, paid on time","Paid on time"),"Paid late")))))</f>
        <v/>
      </c>
      <c r="AA45" s="35" t="str">
        <f aca="false">IF(OR(G45="",H45=""),"",IF(D45&lt;&gt;"",UPPER(TRIM(D45)),UPPER(TRIM(C45))))</f>
        <v/>
      </c>
    </row>
    <row r="46" customFormat="false" ht="15" hidden="false" customHeight="false" outlineLevel="0" collapsed="false">
      <c r="B46" s="17"/>
      <c r="C46" s="5"/>
      <c r="D46" s="5"/>
      <c r="E46" s="5"/>
      <c r="F46" s="5"/>
      <c r="G46" s="5"/>
      <c r="H46" s="16"/>
      <c r="I46" s="7" t="str">
        <f aca="false">IF(OR(G46="",H46=""),"",IFERROR(INDEX('TDS Rates'!$D$6:$D$40,MATCH(G46,'TDS Rates'!$B$6:$B$40,0)),"Check nature"))</f>
        <v/>
      </c>
      <c r="J46" s="7" t="str">
        <f aca="false">IF(OR(G46="",H46=""),"",IFERROR(INDEX('TDS Rates'!$C$6:$C$40,MATCH(G46,'TDS Rates'!$B$6:$B$40,0)),""))</f>
        <v/>
      </c>
      <c r="K46" s="7" t="str">
        <f aca="false">IF(OR(G46="",H46=""),"",IFERROR(INDEX('TDS Rates'!$E$6:$E$40,MATCH(G46,'TDS Rates'!$B$6:$B$40,0)),""))</f>
        <v/>
      </c>
      <c r="L46" s="29" t="str">
        <f aca="false">IF(OR(G46="",H46=""),"",SUMIFS(H$6:H45,AA$6:AA45,AA46,G$6:G45,G46))</f>
        <v/>
      </c>
      <c r="M46" s="29" t="str">
        <f aca="false">IF(OR(G46="",H46=""),"",SUMIFS(H$6:H45,AA$6:AA45,AA46,G$6:G45,G46,N$6:N45,0))</f>
        <v/>
      </c>
      <c r="N46" s="29" t="str">
        <f aca="false">IF(OR(G46="",H46=""),"",IFERROR(IF(INDEX('TDS Rates'!$F$6:$F$40,MATCH(G46,'TDS Rates'!$B$6:$B$40,0))="NONE",H46,IF(INDEX('TDS Rates'!$F$6:$F$40,MATCH(G46,'TDS Rates'!$B$6:$B$40,0))="PER",IF(H46&gt;INDEX('TDS Rates'!$G$6:$G$40,MATCH(G46,'TDS Rates'!$B$6:$B$40,0)),H46,0),IF(INDEX('TDS Rates'!$F$6:$F$40,MATCH(G46,'TDS Rates'!$B$6:$B$40,0))="EXCESS",MAX(0,L46+H46-INDEX('TDS Rates'!$H$6:$H$40,MATCH(G46,'TDS Rates'!$B$6:$B$40,0)))-MAX(0,L46-INDEX('TDS Rates'!$H$6:$H$40,MATCH(G46,'TDS Rates'!$B$6:$B$40,0))),IF(INDEX('TDS Rates'!$F$6:$F$40,MATCH(G46,'TDS Rates'!$B$6:$B$40,0))="SA",IF(L46+H46&gt;INDEX('TDS Rates'!$H$6:$H$40,MATCH(G46,'TDS Rates'!$B$6:$B$40,0)),H46+M46,IF(H46&gt;INDEX('TDS Rates'!$G$6:$G$40,MATCH(G46,'TDS Rates'!$B$6:$B$40,0)),H46,0)),IF(L46+H46&gt;INDEX('TDS Rates'!$H$6:$H$40,MATCH(G46,'TDS Rates'!$B$6:$B$40,0)),H46+M46,0))))),0))</f>
        <v/>
      </c>
      <c r="O46" s="33" t="str">
        <f aca="false">IF(OR(G46="",H46=""),"",IFERROR(IF(F46="No",IF(INDEX('TDS Rates'!$C$6:$C$40,MATCH(G46,'TDS Rates'!$B$6:$B$40,0))="194Q",Settings!$C$14,MAX(Settings!$C$13,IF(E46="Individual / HUF",INDEX('TDS Rates'!$I$6:$I$40,MATCH(G46,'TDS Rates'!$B$6:$B$40,0)),IF(E46="Company",INDEX('TDS Rates'!$J$6:$J$40,MATCH(G46,'TDS Rates'!$B$6:$B$40,0)),INDEX('TDS Rates'!$K$6:$K$40,MATCH(G46,'TDS Rates'!$B$6:$B$40,0)))))),IF(E46="Individual / HUF",INDEX('TDS Rates'!$I$6:$I$40,MATCH(G46,'TDS Rates'!$B$6:$B$40,0)),IF(E46="Company",INDEX('TDS Rates'!$J$6:$J$40,MATCH(G46,'TDS Rates'!$B$6:$B$40,0)),INDEX('TDS Rates'!$K$6:$K$40,MATCH(G46,'TDS Rates'!$B$6:$B$40,0))))),0))</f>
        <v/>
      </c>
      <c r="P46" s="34" t="str">
        <f aca="false">IF(OR(G46="",H46=""),"",ROUND(N46*O46,0))</f>
        <v/>
      </c>
      <c r="Q46" s="27" t="str">
        <f aca="false">IF(OR(G46="",H46=""),"",IFERROR(IF(INDEX('TDS Rates'!$E$6:$E$40,MATCH(G46,'TDS Rates'!$B$6:$B$40,0))="Form 141",EOMONTH(IF(R46="",B46,R46),0)+30,IF(MONTH(IF(R46="",B46,R46))=3,DATE(YEAR(IF(R46="",B46,R46)),4,30),DATE(YEAR(IF(R46="",B46,R46)),MONTH(IF(R46="",B46,R46))+1,7))),""))</f>
        <v/>
      </c>
      <c r="R46" s="17"/>
      <c r="S46" s="17"/>
      <c r="T46" s="5"/>
      <c r="U46" s="28" t="str">
        <f aca="false">IF(OR(G46="",H46=""),"",IF(P46=0,0,IF(IF(R46="",Settings!$C$9,R46)&lt;=B46,0,((YEAR(IF(R46="",Settings!$C$9,R46))-YEAR(B46))*12+MONTH(IF(R46="",Settings!$C$9,R46))-MONTH(B46)+1))))</f>
        <v/>
      </c>
      <c r="V46" s="29" t="str">
        <f aca="false">IF(OR(G46="",H46=""),"",ROUND(P46*Settings!$C$10*U46,0))</f>
        <v/>
      </c>
      <c r="W46" s="28" t="str">
        <f aca="false">IF(OR(G46="",H46=""),"",IF(OR(P46=0,R46=""),0,IF(IF(S46="",Settings!$C$9,S46)&lt;=Q46,0,((YEAR(IF(S46="",Settings!$C$9,S46))-YEAR(R46))*12+MONTH(IF(S46="",Settings!$C$9,S46))-MONTH(R46)+1))))</f>
        <v/>
      </c>
      <c r="X46" s="29" t="str">
        <f aca="false">IF(OR(G46="",H46=""),"",ROUND(P46*Settings!$C$11*W46,0))</f>
        <v/>
      </c>
      <c r="Y46" s="29" t="str">
        <f aca="false">IF(OR(G46="",H46=""),"",V46+X46)</f>
        <v/>
      </c>
      <c r="Z46" s="7" t="str">
        <f aca="false">IF(OR(G46="",H46=""),"",IF(P46=0,"Below threshold",IF(R46="","Not yet deducted",IF(S46="",IF(Settings!$C$9&gt;Q46,"Overdue — pay now","Deducted, due "&amp;TEXT(Q46,"dd-mmm")),IF(S46&lt;=Q46,IF(N(U46)&gt;0,"Deducted late, paid on time","Paid on time"),"Paid late")))))</f>
        <v/>
      </c>
      <c r="AA46" s="35" t="str">
        <f aca="false">IF(OR(G46="",H46=""),"",IF(D46&lt;&gt;"",UPPER(TRIM(D46)),UPPER(TRIM(C46))))</f>
        <v/>
      </c>
    </row>
    <row r="47" customFormat="false" ht="15" hidden="false" customHeight="false" outlineLevel="0" collapsed="false">
      <c r="B47" s="17"/>
      <c r="C47" s="5"/>
      <c r="D47" s="5"/>
      <c r="E47" s="5"/>
      <c r="F47" s="5"/>
      <c r="G47" s="5"/>
      <c r="H47" s="16"/>
      <c r="I47" s="7" t="str">
        <f aca="false">IF(OR(G47="",H47=""),"",IFERROR(INDEX('TDS Rates'!$D$6:$D$40,MATCH(G47,'TDS Rates'!$B$6:$B$40,0)),"Check nature"))</f>
        <v/>
      </c>
      <c r="J47" s="7" t="str">
        <f aca="false">IF(OR(G47="",H47=""),"",IFERROR(INDEX('TDS Rates'!$C$6:$C$40,MATCH(G47,'TDS Rates'!$B$6:$B$40,0)),""))</f>
        <v/>
      </c>
      <c r="K47" s="7" t="str">
        <f aca="false">IF(OR(G47="",H47=""),"",IFERROR(INDEX('TDS Rates'!$E$6:$E$40,MATCH(G47,'TDS Rates'!$B$6:$B$40,0)),""))</f>
        <v/>
      </c>
      <c r="L47" s="29" t="str">
        <f aca="false">IF(OR(G47="",H47=""),"",SUMIFS(H$6:H46,AA$6:AA46,AA47,G$6:G46,G47))</f>
        <v/>
      </c>
      <c r="M47" s="29" t="str">
        <f aca="false">IF(OR(G47="",H47=""),"",SUMIFS(H$6:H46,AA$6:AA46,AA47,G$6:G46,G47,N$6:N46,0))</f>
        <v/>
      </c>
      <c r="N47" s="29" t="str">
        <f aca="false">IF(OR(G47="",H47=""),"",IFERROR(IF(INDEX('TDS Rates'!$F$6:$F$40,MATCH(G47,'TDS Rates'!$B$6:$B$40,0))="NONE",H47,IF(INDEX('TDS Rates'!$F$6:$F$40,MATCH(G47,'TDS Rates'!$B$6:$B$40,0))="PER",IF(H47&gt;INDEX('TDS Rates'!$G$6:$G$40,MATCH(G47,'TDS Rates'!$B$6:$B$40,0)),H47,0),IF(INDEX('TDS Rates'!$F$6:$F$40,MATCH(G47,'TDS Rates'!$B$6:$B$40,0))="EXCESS",MAX(0,L47+H47-INDEX('TDS Rates'!$H$6:$H$40,MATCH(G47,'TDS Rates'!$B$6:$B$40,0)))-MAX(0,L47-INDEX('TDS Rates'!$H$6:$H$40,MATCH(G47,'TDS Rates'!$B$6:$B$40,0))),IF(INDEX('TDS Rates'!$F$6:$F$40,MATCH(G47,'TDS Rates'!$B$6:$B$40,0))="SA",IF(L47+H47&gt;INDEX('TDS Rates'!$H$6:$H$40,MATCH(G47,'TDS Rates'!$B$6:$B$40,0)),H47+M47,IF(H47&gt;INDEX('TDS Rates'!$G$6:$G$40,MATCH(G47,'TDS Rates'!$B$6:$B$40,0)),H47,0)),IF(L47+H47&gt;INDEX('TDS Rates'!$H$6:$H$40,MATCH(G47,'TDS Rates'!$B$6:$B$40,0)),H47+M47,0))))),0))</f>
        <v/>
      </c>
      <c r="O47" s="33" t="str">
        <f aca="false">IF(OR(G47="",H47=""),"",IFERROR(IF(F47="No",IF(INDEX('TDS Rates'!$C$6:$C$40,MATCH(G47,'TDS Rates'!$B$6:$B$40,0))="194Q",Settings!$C$14,MAX(Settings!$C$13,IF(E47="Individual / HUF",INDEX('TDS Rates'!$I$6:$I$40,MATCH(G47,'TDS Rates'!$B$6:$B$40,0)),IF(E47="Company",INDEX('TDS Rates'!$J$6:$J$40,MATCH(G47,'TDS Rates'!$B$6:$B$40,0)),INDEX('TDS Rates'!$K$6:$K$40,MATCH(G47,'TDS Rates'!$B$6:$B$40,0)))))),IF(E47="Individual / HUF",INDEX('TDS Rates'!$I$6:$I$40,MATCH(G47,'TDS Rates'!$B$6:$B$40,0)),IF(E47="Company",INDEX('TDS Rates'!$J$6:$J$40,MATCH(G47,'TDS Rates'!$B$6:$B$40,0)),INDEX('TDS Rates'!$K$6:$K$40,MATCH(G47,'TDS Rates'!$B$6:$B$40,0))))),0))</f>
        <v/>
      </c>
      <c r="P47" s="34" t="str">
        <f aca="false">IF(OR(G47="",H47=""),"",ROUND(N47*O47,0))</f>
        <v/>
      </c>
      <c r="Q47" s="27" t="str">
        <f aca="false">IF(OR(G47="",H47=""),"",IFERROR(IF(INDEX('TDS Rates'!$E$6:$E$40,MATCH(G47,'TDS Rates'!$B$6:$B$40,0))="Form 141",EOMONTH(IF(R47="",B47,R47),0)+30,IF(MONTH(IF(R47="",B47,R47))=3,DATE(YEAR(IF(R47="",B47,R47)),4,30),DATE(YEAR(IF(R47="",B47,R47)),MONTH(IF(R47="",B47,R47))+1,7))),""))</f>
        <v/>
      </c>
      <c r="R47" s="17"/>
      <c r="S47" s="17"/>
      <c r="T47" s="5"/>
      <c r="U47" s="28" t="str">
        <f aca="false">IF(OR(G47="",H47=""),"",IF(P47=0,0,IF(IF(R47="",Settings!$C$9,R47)&lt;=B47,0,((YEAR(IF(R47="",Settings!$C$9,R47))-YEAR(B47))*12+MONTH(IF(R47="",Settings!$C$9,R47))-MONTH(B47)+1))))</f>
        <v/>
      </c>
      <c r="V47" s="29" t="str">
        <f aca="false">IF(OR(G47="",H47=""),"",ROUND(P47*Settings!$C$10*U47,0))</f>
        <v/>
      </c>
      <c r="W47" s="28" t="str">
        <f aca="false">IF(OR(G47="",H47=""),"",IF(OR(P47=0,R47=""),0,IF(IF(S47="",Settings!$C$9,S47)&lt;=Q47,0,((YEAR(IF(S47="",Settings!$C$9,S47))-YEAR(R47))*12+MONTH(IF(S47="",Settings!$C$9,S47))-MONTH(R47)+1))))</f>
        <v/>
      </c>
      <c r="X47" s="29" t="str">
        <f aca="false">IF(OR(G47="",H47=""),"",ROUND(P47*Settings!$C$11*W47,0))</f>
        <v/>
      </c>
      <c r="Y47" s="29" t="str">
        <f aca="false">IF(OR(G47="",H47=""),"",V47+X47)</f>
        <v/>
      </c>
      <c r="Z47" s="7" t="str">
        <f aca="false">IF(OR(G47="",H47=""),"",IF(P47=0,"Below threshold",IF(R47="","Not yet deducted",IF(S47="",IF(Settings!$C$9&gt;Q47,"Overdue — pay now","Deducted, due "&amp;TEXT(Q47,"dd-mmm")),IF(S47&lt;=Q47,IF(N(U47)&gt;0,"Deducted late, paid on time","Paid on time"),"Paid late")))))</f>
        <v/>
      </c>
      <c r="AA47" s="35" t="str">
        <f aca="false">IF(OR(G47="",H47=""),"",IF(D47&lt;&gt;"",UPPER(TRIM(D47)),UPPER(TRIM(C47))))</f>
        <v/>
      </c>
    </row>
    <row r="48" customFormat="false" ht="15" hidden="false" customHeight="false" outlineLevel="0" collapsed="false">
      <c r="B48" s="17"/>
      <c r="C48" s="5"/>
      <c r="D48" s="5"/>
      <c r="E48" s="5"/>
      <c r="F48" s="5"/>
      <c r="G48" s="5"/>
      <c r="H48" s="16"/>
      <c r="I48" s="7" t="str">
        <f aca="false">IF(OR(G48="",H48=""),"",IFERROR(INDEX('TDS Rates'!$D$6:$D$40,MATCH(G48,'TDS Rates'!$B$6:$B$40,0)),"Check nature"))</f>
        <v/>
      </c>
      <c r="J48" s="7" t="str">
        <f aca="false">IF(OR(G48="",H48=""),"",IFERROR(INDEX('TDS Rates'!$C$6:$C$40,MATCH(G48,'TDS Rates'!$B$6:$B$40,0)),""))</f>
        <v/>
      </c>
      <c r="K48" s="7" t="str">
        <f aca="false">IF(OR(G48="",H48=""),"",IFERROR(INDEX('TDS Rates'!$E$6:$E$40,MATCH(G48,'TDS Rates'!$B$6:$B$40,0)),""))</f>
        <v/>
      </c>
      <c r="L48" s="29" t="str">
        <f aca="false">IF(OR(G48="",H48=""),"",SUMIFS(H$6:H47,AA$6:AA47,AA48,G$6:G47,G48))</f>
        <v/>
      </c>
      <c r="M48" s="29" t="str">
        <f aca="false">IF(OR(G48="",H48=""),"",SUMIFS(H$6:H47,AA$6:AA47,AA48,G$6:G47,G48,N$6:N47,0))</f>
        <v/>
      </c>
      <c r="N48" s="29" t="str">
        <f aca="false">IF(OR(G48="",H48=""),"",IFERROR(IF(INDEX('TDS Rates'!$F$6:$F$40,MATCH(G48,'TDS Rates'!$B$6:$B$40,0))="NONE",H48,IF(INDEX('TDS Rates'!$F$6:$F$40,MATCH(G48,'TDS Rates'!$B$6:$B$40,0))="PER",IF(H48&gt;INDEX('TDS Rates'!$G$6:$G$40,MATCH(G48,'TDS Rates'!$B$6:$B$40,0)),H48,0),IF(INDEX('TDS Rates'!$F$6:$F$40,MATCH(G48,'TDS Rates'!$B$6:$B$40,0))="EXCESS",MAX(0,L48+H48-INDEX('TDS Rates'!$H$6:$H$40,MATCH(G48,'TDS Rates'!$B$6:$B$40,0)))-MAX(0,L48-INDEX('TDS Rates'!$H$6:$H$40,MATCH(G48,'TDS Rates'!$B$6:$B$40,0))),IF(INDEX('TDS Rates'!$F$6:$F$40,MATCH(G48,'TDS Rates'!$B$6:$B$40,0))="SA",IF(L48+H48&gt;INDEX('TDS Rates'!$H$6:$H$40,MATCH(G48,'TDS Rates'!$B$6:$B$40,0)),H48+M48,IF(H48&gt;INDEX('TDS Rates'!$G$6:$G$40,MATCH(G48,'TDS Rates'!$B$6:$B$40,0)),H48,0)),IF(L48+H48&gt;INDEX('TDS Rates'!$H$6:$H$40,MATCH(G48,'TDS Rates'!$B$6:$B$40,0)),H48+M48,0))))),0))</f>
        <v/>
      </c>
      <c r="O48" s="33" t="str">
        <f aca="false">IF(OR(G48="",H48=""),"",IFERROR(IF(F48="No",IF(INDEX('TDS Rates'!$C$6:$C$40,MATCH(G48,'TDS Rates'!$B$6:$B$40,0))="194Q",Settings!$C$14,MAX(Settings!$C$13,IF(E48="Individual / HUF",INDEX('TDS Rates'!$I$6:$I$40,MATCH(G48,'TDS Rates'!$B$6:$B$40,0)),IF(E48="Company",INDEX('TDS Rates'!$J$6:$J$40,MATCH(G48,'TDS Rates'!$B$6:$B$40,0)),INDEX('TDS Rates'!$K$6:$K$40,MATCH(G48,'TDS Rates'!$B$6:$B$40,0)))))),IF(E48="Individual / HUF",INDEX('TDS Rates'!$I$6:$I$40,MATCH(G48,'TDS Rates'!$B$6:$B$40,0)),IF(E48="Company",INDEX('TDS Rates'!$J$6:$J$40,MATCH(G48,'TDS Rates'!$B$6:$B$40,0)),INDEX('TDS Rates'!$K$6:$K$40,MATCH(G48,'TDS Rates'!$B$6:$B$40,0))))),0))</f>
        <v/>
      </c>
      <c r="P48" s="34" t="str">
        <f aca="false">IF(OR(G48="",H48=""),"",ROUND(N48*O48,0))</f>
        <v/>
      </c>
      <c r="Q48" s="27" t="str">
        <f aca="false">IF(OR(G48="",H48=""),"",IFERROR(IF(INDEX('TDS Rates'!$E$6:$E$40,MATCH(G48,'TDS Rates'!$B$6:$B$40,0))="Form 141",EOMONTH(IF(R48="",B48,R48),0)+30,IF(MONTH(IF(R48="",B48,R48))=3,DATE(YEAR(IF(R48="",B48,R48)),4,30),DATE(YEAR(IF(R48="",B48,R48)),MONTH(IF(R48="",B48,R48))+1,7))),""))</f>
        <v/>
      </c>
      <c r="R48" s="17"/>
      <c r="S48" s="17"/>
      <c r="T48" s="5"/>
      <c r="U48" s="28" t="str">
        <f aca="false">IF(OR(G48="",H48=""),"",IF(P48=0,0,IF(IF(R48="",Settings!$C$9,R48)&lt;=B48,0,((YEAR(IF(R48="",Settings!$C$9,R48))-YEAR(B48))*12+MONTH(IF(R48="",Settings!$C$9,R48))-MONTH(B48)+1))))</f>
        <v/>
      </c>
      <c r="V48" s="29" t="str">
        <f aca="false">IF(OR(G48="",H48=""),"",ROUND(P48*Settings!$C$10*U48,0))</f>
        <v/>
      </c>
      <c r="W48" s="28" t="str">
        <f aca="false">IF(OR(G48="",H48=""),"",IF(OR(P48=0,R48=""),0,IF(IF(S48="",Settings!$C$9,S48)&lt;=Q48,0,((YEAR(IF(S48="",Settings!$C$9,S48))-YEAR(R48))*12+MONTH(IF(S48="",Settings!$C$9,S48))-MONTH(R48)+1))))</f>
        <v/>
      </c>
      <c r="X48" s="29" t="str">
        <f aca="false">IF(OR(G48="",H48=""),"",ROUND(P48*Settings!$C$11*W48,0))</f>
        <v/>
      </c>
      <c r="Y48" s="29" t="str">
        <f aca="false">IF(OR(G48="",H48=""),"",V48+X48)</f>
        <v/>
      </c>
      <c r="Z48" s="7" t="str">
        <f aca="false">IF(OR(G48="",H48=""),"",IF(P48=0,"Below threshold",IF(R48="","Not yet deducted",IF(S48="",IF(Settings!$C$9&gt;Q48,"Overdue — pay now","Deducted, due "&amp;TEXT(Q48,"dd-mmm")),IF(S48&lt;=Q48,IF(N(U48)&gt;0,"Deducted late, paid on time","Paid on time"),"Paid late")))))</f>
        <v/>
      </c>
      <c r="AA48" s="35" t="str">
        <f aca="false">IF(OR(G48="",H48=""),"",IF(D48&lt;&gt;"",UPPER(TRIM(D48)),UPPER(TRIM(C48))))</f>
        <v/>
      </c>
    </row>
    <row r="49" customFormat="false" ht="15" hidden="false" customHeight="false" outlineLevel="0" collapsed="false">
      <c r="B49" s="17"/>
      <c r="C49" s="5"/>
      <c r="D49" s="5"/>
      <c r="E49" s="5"/>
      <c r="F49" s="5"/>
      <c r="G49" s="5"/>
      <c r="H49" s="16"/>
      <c r="I49" s="7" t="str">
        <f aca="false">IF(OR(G49="",H49=""),"",IFERROR(INDEX('TDS Rates'!$D$6:$D$40,MATCH(G49,'TDS Rates'!$B$6:$B$40,0)),"Check nature"))</f>
        <v/>
      </c>
      <c r="J49" s="7" t="str">
        <f aca="false">IF(OR(G49="",H49=""),"",IFERROR(INDEX('TDS Rates'!$C$6:$C$40,MATCH(G49,'TDS Rates'!$B$6:$B$40,0)),""))</f>
        <v/>
      </c>
      <c r="K49" s="7" t="str">
        <f aca="false">IF(OR(G49="",H49=""),"",IFERROR(INDEX('TDS Rates'!$E$6:$E$40,MATCH(G49,'TDS Rates'!$B$6:$B$40,0)),""))</f>
        <v/>
      </c>
      <c r="L49" s="29" t="str">
        <f aca="false">IF(OR(G49="",H49=""),"",SUMIFS(H$6:H48,AA$6:AA48,AA49,G$6:G48,G49))</f>
        <v/>
      </c>
      <c r="M49" s="29" t="str">
        <f aca="false">IF(OR(G49="",H49=""),"",SUMIFS(H$6:H48,AA$6:AA48,AA49,G$6:G48,G49,N$6:N48,0))</f>
        <v/>
      </c>
      <c r="N49" s="29" t="str">
        <f aca="false">IF(OR(G49="",H49=""),"",IFERROR(IF(INDEX('TDS Rates'!$F$6:$F$40,MATCH(G49,'TDS Rates'!$B$6:$B$40,0))="NONE",H49,IF(INDEX('TDS Rates'!$F$6:$F$40,MATCH(G49,'TDS Rates'!$B$6:$B$40,0))="PER",IF(H49&gt;INDEX('TDS Rates'!$G$6:$G$40,MATCH(G49,'TDS Rates'!$B$6:$B$40,0)),H49,0),IF(INDEX('TDS Rates'!$F$6:$F$40,MATCH(G49,'TDS Rates'!$B$6:$B$40,0))="EXCESS",MAX(0,L49+H49-INDEX('TDS Rates'!$H$6:$H$40,MATCH(G49,'TDS Rates'!$B$6:$B$40,0)))-MAX(0,L49-INDEX('TDS Rates'!$H$6:$H$40,MATCH(G49,'TDS Rates'!$B$6:$B$40,0))),IF(INDEX('TDS Rates'!$F$6:$F$40,MATCH(G49,'TDS Rates'!$B$6:$B$40,0))="SA",IF(L49+H49&gt;INDEX('TDS Rates'!$H$6:$H$40,MATCH(G49,'TDS Rates'!$B$6:$B$40,0)),H49+M49,IF(H49&gt;INDEX('TDS Rates'!$G$6:$G$40,MATCH(G49,'TDS Rates'!$B$6:$B$40,0)),H49,0)),IF(L49+H49&gt;INDEX('TDS Rates'!$H$6:$H$40,MATCH(G49,'TDS Rates'!$B$6:$B$40,0)),H49+M49,0))))),0))</f>
        <v/>
      </c>
      <c r="O49" s="33" t="str">
        <f aca="false">IF(OR(G49="",H49=""),"",IFERROR(IF(F49="No",IF(INDEX('TDS Rates'!$C$6:$C$40,MATCH(G49,'TDS Rates'!$B$6:$B$40,0))="194Q",Settings!$C$14,MAX(Settings!$C$13,IF(E49="Individual / HUF",INDEX('TDS Rates'!$I$6:$I$40,MATCH(G49,'TDS Rates'!$B$6:$B$40,0)),IF(E49="Company",INDEX('TDS Rates'!$J$6:$J$40,MATCH(G49,'TDS Rates'!$B$6:$B$40,0)),INDEX('TDS Rates'!$K$6:$K$40,MATCH(G49,'TDS Rates'!$B$6:$B$40,0)))))),IF(E49="Individual / HUF",INDEX('TDS Rates'!$I$6:$I$40,MATCH(G49,'TDS Rates'!$B$6:$B$40,0)),IF(E49="Company",INDEX('TDS Rates'!$J$6:$J$40,MATCH(G49,'TDS Rates'!$B$6:$B$40,0)),INDEX('TDS Rates'!$K$6:$K$40,MATCH(G49,'TDS Rates'!$B$6:$B$40,0))))),0))</f>
        <v/>
      </c>
      <c r="P49" s="34" t="str">
        <f aca="false">IF(OR(G49="",H49=""),"",ROUND(N49*O49,0))</f>
        <v/>
      </c>
      <c r="Q49" s="27" t="str">
        <f aca="false">IF(OR(G49="",H49=""),"",IFERROR(IF(INDEX('TDS Rates'!$E$6:$E$40,MATCH(G49,'TDS Rates'!$B$6:$B$40,0))="Form 141",EOMONTH(IF(R49="",B49,R49),0)+30,IF(MONTH(IF(R49="",B49,R49))=3,DATE(YEAR(IF(R49="",B49,R49)),4,30),DATE(YEAR(IF(R49="",B49,R49)),MONTH(IF(R49="",B49,R49))+1,7))),""))</f>
        <v/>
      </c>
      <c r="R49" s="17"/>
      <c r="S49" s="17"/>
      <c r="T49" s="5"/>
      <c r="U49" s="28" t="str">
        <f aca="false">IF(OR(G49="",H49=""),"",IF(P49=0,0,IF(IF(R49="",Settings!$C$9,R49)&lt;=B49,0,((YEAR(IF(R49="",Settings!$C$9,R49))-YEAR(B49))*12+MONTH(IF(R49="",Settings!$C$9,R49))-MONTH(B49)+1))))</f>
        <v/>
      </c>
      <c r="V49" s="29" t="str">
        <f aca="false">IF(OR(G49="",H49=""),"",ROUND(P49*Settings!$C$10*U49,0))</f>
        <v/>
      </c>
      <c r="W49" s="28" t="str">
        <f aca="false">IF(OR(G49="",H49=""),"",IF(OR(P49=0,R49=""),0,IF(IF(S49="",Settings!$C$9,S49)&lt;=Q49,0,((YEAR(IF(S49="",Settings!$C$9,S49))-YEAR(R49))*12+MONTH(IF(S49="",Settings!$C$9,S49))-MONTH(R49)+1))))</f>
        <v/>
      </c>
      <c r="X49" s="29" t="str">
        <f aca="false">IF(OR(G49="",H49=""),"",ROUND(P49*Settings!$C$11*W49,0))</f>
        <v/>
      </c>
      <c r="Y49" s="29" t="str">
        <f aca="false">IF(OR(G49="",H49=""),"",V49+X49)</f>
        <v/>
      </c>
      <c r="Z49" s="7" t="str">
        <f aca="false">IF(OR(G49="",H49=""),"",IF(P49=0,"Below threshold",IF(R49="","Not yet deducted",IF(S49="",IF(Settings!$C$9&gt;Q49,"Overdue — pay now","Deducted, due "&amp;TEXT(Q49,"dd-mmm")),IF(S49&lt;=Q49,IF(N(U49)&gt;0,"Deducted late, paid on time","Paid on time"),"Paid late")))))</f>
        <v/>
      </c>
      <c r="AA49" s="35" t="str">
        <f aca="false">IF(OR(G49="",H49=""),"",IF(D49&lt;&gt;"",UPPER(TRIM(D49)),UPPER(TRIM(C49))))</f>
        <v/>
      </c>
    </row>
    <row r="50" customFormat="false" ht="15" hidden="false" customHeight="false" outlineLevel="0" collapsed="false">
      <c r="B50" s="17"/>
      <c r="C50" s="5"/>
      <c r="D50" s="5"/>
      <c r="E50" s="5"/>
      <c r="F50" s="5"/>
      <c r="G50" s="5"/>
      <c r="H50" s="16"/>
      <c r="I50" s="7" t="str">
        <f aca="false">IF(OR(G50="",H50=""),"",IFERROR(INDEX('TDS Rates'!$D$6:$D$40,MATCH(G50,'TDS Rates'!$B$6:$B$40,0)),"Check nature"))</f>
        <v/>
      </c>
      <c r="J50" s="7" t="str">
        <f aca="false">IF(OR(G50="",H50=""),"",IFERROR(INDEX('TDS Rates'!$C$6:$C$40,MATCH(G50,'TDS Rates'!$B$6:$B$40,0)),""))</f>
        <v/>
      </c>
      <c r="K50" s="7" t="str">
        <f aca="false">IF(OR(G50="",H50=""),"",IFERROR(INDEX('TDS Rates'!$E$6:$E$40,MATCH(G50,'TDS Rates'!$B$6:$B$40,0)),""))</f>
        <v/>
      </c>
      <c r="L50" s="29" t="str">
        <f aca="false">IF(OR(G50="",H50=""),"",SUMIFS(H$6:H49,AA$6:AA49,AA50,G$6:G49,G50))</f>
        <v/>
      </c>
      <c r="M50" s="29" t="str">
        <f aca="false">IF(OR(G50="",H50=""),"",SUMIFS(H$6:H49,AA$6:AA49,AA50,G$6:G49,G50,N$6:N49,0))</f>
        <v/>
      </c>
      <c r="N50" s="29" t="str">
        <f aca="false">IF(OR(G50="",H50=""),"",IFERROR(IF(INDEX('TDS Rates'!$F$6:$F$40,MATCH(G50,'TDS Rates'!$B$6:$B$40,0))="NONE",H50,IF(INDEX('TDS Rates'!$F$6:$F$40,MATCH(G50,'TDS Rates'!$B$6:$B$40,0))="PER",IF(H50&gt;INDEX('TDS Rates'!$G$6:$G$40,MATCH(G50,'TDS Rates'!$B$6:$B$40,0)),H50,0),IF(INDEX('TDS Rates'!$F$6:$F$40,MATCH(G50,'TDS Rates'!$B$6:$B$40,0))="EXCESS",MAX(0,L50+H50-INDEX('TDS Rates'!$H$6:$H$40,MATCH(G50,'TDS Rates'!$B$6:$B$40,0)))-MAX(0,L50-INDEX('TDS Rates'!$H$6:$H$40,MATCH(G50,'TDS Rates'!$B$6:$B$40,0))),IF(INDEX('TDS Rates'!$F$6:$F$40,MATCH(G50,'TDS Rates'!$B$6:$B$40,0))="SA",IF(L50+H50&gt;INDEX('TDS Rates'!$H$6:$H$40,MATCH(G50,'TDS Rates'!$B$6:$B$40,0)),H50+M50,IF(H50&gt;INDEX('TDS Rates'!$G$6:$G$40,MATCH(G50,'TDS Rates'!$B$6:$B$40,0)),H50,0)),IF(L50+H50&gt;INDEX('TDS Rates'!$H$6:$H$40,MATCH(G50,'TDS Rates'!$B$6:$B$40,0)),H50+M50,0))))),0))</f>
        <v/>
      </c>
      <c r="O50" s="33" t="str">
        <f aca="false">IF(OR(G50="",H50=""),"",IFERROR(IF(F50="No",IF(INDEX('TDS Rates'!$C$6:$C$40,MATCH(G50,'TDS Rates'!$B$6:$B$40,0))="194Q",Settings!$C$14,MAX(Settings!$C$13,IF(E50="Individual / HUF",INDEX('TDS Rates'!$I$6:$I$40,MATCH(G50,'TDS Rates'!$B$6:$B$40,0)),IF(E50="Company",INDEX('TDS Rates'!$J$6:$J$40,MATCH(G50,'TDS Rates'!$B$6:$B$40,0)),INDEX('TDS Rates'!$K$6:$K$40,MATCH(G50,'TDS Rates'!$B$6:$B$40,0)))))),IF(E50="Individual / HUF",INDEX('TDS Rates'!$I$6:$I$40,MATCH(G50,'TDS Rates'!$B$6:$B$40,0)),IF(E50="Company",INDEX('TDS Rates'!$J$6:$J$40,MATCH(G50,'TDS Rates'!$B$6:$B$40,0)),INDEX('TDS Rates'!$K$6:$K$40,MATCH(G50,'TDS Rates'!$B$6:$B$40,0))))),0))</f>
        <v/>
      </c>
      <c r="P50" s="34" t="str">
        <f aca="false">IF(OR(G50="",H50=""),"",ROUND(N50*O50,0))</f>
        <v/>
      </c>
      <c r="Q50" s="27" t="str">
        <f aca="false">IF(OR(G50="",H50=""),"",IFERROR(IF(INDEX('TDS Rates'!$E$6:$E$40,MATCH(G50,'TDS Rates'!$B$6:$B$40,0))="Form 141",EOMONTH(IF(R50="",B50,R50),0)+30,IF(MONTH(IF(R50="",B50,R50))=3,DATE(YEAR(IF(R50="",B50,R50)),4,30),DATE(YEAR(IF(R50="",B50,R50)),MONTH(IF(R50="",B50,R50))+1,7))),""))</f>
        <v/>
      </c>
      <c r="R50" s="17"/>
      <c r="S50" s="17"/>
      <c r="T50" s="5"/>
      <c r="U50" s="28" t="str">
        <f aca="false">IF(OR(G50="",H50=""),"",IF(P50=0,0,IF(IF(R50="",Settings!$C$9,R50)&lt;=B50,0,((YEAR(IF(R50="",Settings!$C$9,R50))-YEAR(B50))*12+MONTH(IF(R50="",Settings!$C$9,R50))-MONTH(B50)+1))))</f>
        <v/>
      </c>
      <c r="V50" s="29" t="str">
        <f aca="false">IF(OR(G50="",H50=""),"",ROUND(P50*Settings!$C$10*U50,0))</f>
        <v/>
      </c>
      <c r="W50" s="28" t="str">
        <f aca="false">IF(OR(G50="",H50=""),"",IF(OR(P50=0,R50=""),0,IF(IF(S50="",Settings!$C$9,S50)&lt;=Q50,0,((YEAR(IF(S50="",Settings!$C$9,S50))-YEAR(R50))*12+MONTH(IF(S50="",Settings!$C$9,S50))-MONTH(R50)+1))))</f>
        <v/>
      </c>
      <c r="X50" s="29" t="str">
        <f aca="false">IF(OR(G50="",H50=""),"",ROUND(P50*Settings!$C$11*W50,0))</f>
        <v/>
      </c>
      <c r="Y50" s="29" t="str">
        <f aca="false">IF(OR(G50="",H50=""),"",V50+X50)</f>
        <v/>
      </c>
      <c r="Z50" s="7" t="str">
        <f aca="false">IF(OR(G50="",H50=""),"",IF(P50=0,"Below threshold",IF(R50="","Not yet deducted",IF(S50="",IF(Settings!$C$9&gt;Q50,"Overdue — pay now","Deducted, due "&amp;TEXT(Q50,"dd-mmm")),IF(S50&lt;=Q50,IF(N(U50)&gt;0,"Deducted late, paid on time","Paid on time"),"Paid late")))))</f>
        <v/>
      </c>
      <c r="AA50" s="35" t="str">
        <f aca="false">IF(OR(G50="",H50=""),"",IF(D50&lt;&gt;"",UPPER(TRIM(D50)),UPPER(TRIM(C50))))</f>
        <v/>
      </c>
    </row>
    <row r="51" customFormat="false" ht="15" hidden="false" customHeight="false" outlineLevel="0" collapsed="false">
      <c r="B51" s="17"/>
      <c r="C51" s="5"/>
      <c r="D51" s="5"/>
      <c r="E51" s="5"/>
      <c r="F51" s="5"/>
      <c r="G51" s="5"/>
      <c r="H51" s="16"/>
      <c r="I51" s="7" t="str">
        <f aca="false">IF(OR(G51="",H51=""),"",IFERROR(INDEX('TDS Rates'!$D$6:$D$40,MATCH(G51,'TDS Rates'!$B$6:$B$40,0)),"Check nature"))</f>
        <v/>
      </c>
      <c r="J51" s="7" t="str">
        <f aca="false">IF(OR(G51="",H51=""),"",IFERROR(INDEX('TDS Rates'!$C$6:$C$40,MATCH(G51,'TDS Rates'!$B$6:$B$40,0)),""))</f>
        <v/>
      </c>
      <c r="K51" s="7" t="str">
        <f aca="false">IF(OR(G51="",H51=""),"",IFERROR(INDEX('TDS Rates'!$E$6:$E$40,MATCH(G51,'TDS Rates'!$B$6:$B$40,0)),""))</f>
        <v/>
      </c>
      <c r="L51" s="29" t="str">
        <f aca="false">IF(OR(G51="",H51=""),"",SUMIFS(H$6:H50,AA$6:AA50,AA51,G$6:G50,G51))</f>
        <v/>
      </c>
      <c r="M51" s="29" t="str">
        <f aca="false">IF(OR(G51="",H51=""),"",SUMIFS(H$6:H50,AA$6:AA50,AA51,G$6:G50,G51,N$6:N50,0))</f>
        <v/>
      </c>
      <c r="N51" s="29" t="str">
        <f aca="false">IF(OR(G51="",H51=""),"",IFERROR(IF(INDEX('TDS Rates'!$F$6:$F$40,MATCH(G51,'TDS Rates'!$B$6:$B$40,0))="NONE",H51,IF(INDEX('TDS Rates'!$F$6:$F$40,MATCH(G51,'TDS Rates'!$B$6:$B$40,0))="PER",IF(H51&gt;INDEX('TDS Rates'!$G$6:$G$40,MATCH(G51,'TDS Rates'!$B$6:$B$40,0)),H51,0),IF(INDEX('TDS Rates'!$F$6:$F$40,MATCH(G51,'TDS Rates'!$B$6:$B$40,0))="EXCESS",MAX(0,L51+H51-INDEX('TDS Rates'!$H$6:$H$40,MATCH(G51,'TDS Rates'!$B$6:$B$40,0)))-MAX(0,L51-INDEX('TDS Rates'!$H$6:$H$40,MATCH(G51,'TDS Rates'!$B$6:$B$40,0))),IF(INDEX('TDS Rates'!$F$6:$F$40,MATCH(G51,'TDS Rates'!$B$6:$B$40,0))="SA",IF(L51+H51&gt;INDEX('TDS Rates'!$H$6:$H$40,MATCH(G51,'TDS Rates'!$B$6:$B$40,0)),H51+M51,IF(H51&gt;INDEX('TDS Rates'!$G$6:$G$40,MATCH(G51,'TDS Rates'!$B$6:$B$40,0)),H51,0)),IF(L51+H51&gt;INDEX('TDS Rates'!$H$6:$H$40,MATCH(G51,'TDS Rates'!$B$6:$B$40,0)),H51+M51,0))))),0))</f>
        <v/>
      </c>
      <c r="O51" s="33" t="str">
        <f aca="false">IF(OR(G51="",H51=""),"",IFERROR(IF(F51="No",IF(INDEX('TDS Rates'!$C$6:$C$40,MATCH(G51,'TDS Rates'!$B$6:$B$40,0))="194Q",Settings!$C$14,MAX(Settings!$C$13,IF(E51="Individual / HUF",INDEX('TDS Rates'!$I$6:$I$40,MATCH(G51,'TDS Rates'!$B$6:$B$40,0)),IF(E51="Company",INDEX('TDS Rates'!$J$6:$J$40,MATCH(G51,'TDS Rates'!$B$6:$B$40,0)),INDEX('TDS Rates'!$K$6:$K$40,MATCH(G51,'TDS Rates'!$B$6:$B$40,0)))))),IF(E51="Individual / HUF",INDEX('TDS Rates'!$I$6:$I$40,MATCH(G51,'TDS Rates'!$B$6:$B$40,0)),IF(E51="Company",INDEX('TDS Rates'!$J$6:$J$40,MATCH(G51,'TDS Rates'!$B$6:$B$40,0)),INDEX('TDS Rates'!$K$6:$K$40,MATCH(G51,'TDS Rates'!$B$6:$B$40,0))))),0))</f>
        <v/>
      </c>
      <c r="P51" s="34" t="str">
        <f aca="false">IF(OR(G51="",H51=""),"",ROUND(N51*O51,0))</f>
        <v/>
      </c>
      <c r="Q51" s="27" t="str">
        <f aca="false">IF(OR(G51="",H51=""),"",IFERROR(IF(INDEX('TDS Rates'!$E$6:$E$40,MATCH(G51,'TDS Rates'!$B$6:$B$40,0))="Form 141",EOMONTH(IF(R51="",B51,R51),0)+30,IF(MONTH(IF(R51="",B51,R51))=3,DATE(YEAR(IF(R51="",B51,R51)),4,30),DATE(YEAR(IF(R51="",B51,R51)),MONTH(IF(R51="",B51,R51))+1,7))),""))</f>
        <v/>
      </c>
      <c r="R51" s="17"/>
      <c r="S51" s="17"/>
      <c r="T51" s="5"/>
      <c r="U51" s="28" t="str">
        <f aca="false">IF(OR(G51="",H51=""),"",IF(P51=0,0,IF(IF(R51="",Settings!$C$9,R51)&lt;=B51,0,((YEAR(IF(R51="",Settings!$C$9,R51))-YEAR(B51))*12+MONTH(IF(R51="",Settings!$C$9,R51))-MONTH(B51)+1))))</f>
        <v/>
      </c>
      <c r="V51" s="29" t="str">
        <f aca="false">IF(OR(G51="",H51=""),"",ROUND(P51*Settings!$C$10*U51,0))</f>
        <v/>
      </c>
      <c r="W51" s="28" t="str">
        <f aca="false">IF(OR(G51="",H51=""),"",IF(OR(P51=0,R51=""),0,IF(IF(S51="",Settings!$C$9,S51)&lt;=Q51,0,((YEAR(IF(S51="",Settings!$C$9,S51))-YEAR(R51))*12+MONTH(IF(S51="",Settings!$C$9,S51))-MONTH(R51)+1))))</f>
        <v/>
      </c>
      <c r="X51" s="29" t="str">
        <f aca="false">IF(OR(G51="",H51=""),"",ROUND(P51*Settings!$C$11*W51,0))</f>
        <v/>
      </c>
      <c r="Y51" s="29" t="str">
        <f aca="false">IF(OR(G51="",H51=""),"",V51+X51)</f>
        <v/>
      </c>
      <c r="Z51" s="7" t="str">
        <f aca="false">IF(OR(G51="",H51=""),"",IF(P51=0,"Below threshold",IF(R51="","Not yet deducted",IF(S51="",IF(Settings!$C$9&gt;Q51,"Overdue — pay now","Deducted, due "&amp;TEXT(Q51,"dd-mmm")),IF(S51&lt;=Q51,IF(N(U51)&gt;0,"Deducted late, paid on time","Paid on time"),"Paid late")))))</f>
        <v/>
      </c>
      <c r="AA51" s="35" t="str">
        <f aca="false">IF(OR(G51="",H51=""),"",IF(D51&lt;&gt;"",UPPER(TRIM(D51)),UPPER(TRIM(C51))))</f>
        <v/>
      </c>
    </row>
    <row r="52" customFormat="false" ht="15" hidden="false" customHeight="false" outlineLevel="0" collapsed="false">
      <c r="B52" s="17"/>
      <c r="C52" s="5"/>
      <c r="D52" s="5"/>
      <c r="E52" s="5"/>
      <c r="F52" s="5"/>
      <c r="G52" s="5"/>
      <c r="H52" s="16"/>
      <c r="I52" s="7" t="str">
        <f aca="false">IF(OR(G52="",H52=""),"",IFERROR(INDEX('TDS Rates'!$D$6:$D$40,MATCH(G52,'TDS Rates'!$B$6:$B$40,0)),"Check nature"))</f>
        <v/>
      </c>
      <c r="J52" s="7" t="str">
        <f aca="false">IF(OR(G52="",H52=""),"",IFERROR(INDEX('TDS Rates'!$C$6:$C$40,MATCH(G52,'TDS Rates'!$B$6:$B$40,0)),""))</f>
        <v/>
      </c>
      <c r="K52" s="7" t="str">
        <f aca="false">IF(OR(G52="",H52=""),"",IFERROR(INDEX('TDS Rates'!$E$6:$E$40,MATCH(G52,'TDS Rates'!$B$6:$B$40,0)),""))</f>
        <v/>
      </c>
      <c r="L52" s="29" t="str">
        <f aca="false">IF(OR(G52="",H52=""),"",SUMIFS(H$6:H51,AA$6:AA51,AA52,G$6:G51,G52))</f>
        <v/>
      </c>
      <c r="M52" s="29" t="str">
        <f aca="false">IF(OR(G52="",H52=""),"",SUMIFS(H$6:H51,AA$6:AA51,AA52,G$6:G51,G52,N$6:N51,0))</f>
        <v/>
      </c>
      <c r="N52" s="29" t="str">
        <f aca="false">IF(OR(G52="",H52=""),"",IFERROR(IF(INDEX('TDS Rates'!$F$6:$F$40,MATCH(G52,'TDS Rates'!$B$6:$B$40,0))="NONE",H52,IF(INDEX('TDS Rates'!$F$6:$F$40,MATCH(G52,'TDS Rates'!$B$6:$B$40,0))="PER",IF(H52&gt;INDEX('TDS Rates'!$G$6:$G$40,MATCH(G52,'TDS Rates'!$B$6:$B$40,0)),H52,0),IF(INDEX('TDS Rates'!$F$6:$F$40,MATCH(G52,'TDS Rates'!$B$6:$B$40,0))="EXCESS",MAX(0,L52+H52-INDEX('TDS Rates'!$H$6:$H$40,MATCH(G52,'TDS Rates'!$B$6:$B$40,0)))-MAX(0,L52-INDEX('TDS Rates'!$H$6:$H$40,MATCH(G52,'TDS Rates'!$B$6:$B$40,0))),IF(INDEX('TDS Rates'!$F$6:$F$40,MATCH(G52,'TDS Rates'!$B$6:$B$40,0))="SA",IF(L52+H52&gt;INDEX('TDS Rates'!$H$6:$H$40,MATCH(G52,'TDS Rates'!$B$6:$B$40,0)),H52+M52,IF(H52&gt;INDEX('TDS Rates'!$G$6:$G$40,MATCH(G52,'TDS Rates'!$B$6:$B$40,0)),H52,0)),IF(L52+H52&gt;INDEX('TDS Rates'!$H$6:$H$40,MATCH(G52,'TDS Rates'!$B$6:$B$40,0)),H52+M52,0))))),0))</f>
        <v/>
      </c>
      <c r="O52" s="33" t="str">
        <f aca="false">IF(OR(G52="",H52=""),"",IFERROR(IF(F52="No",IF(INDEX('TDS Rates'!$C$6:$C$40,MATCH(G52,'TDS Rates'!$B$6:$B$40,0))="194Q",Settings!$C$14,MAX(Settings!$C$13,IF(E52="Individual / HUF",INDEX('TDS Rates'!$I$6:$I$40,MATCH(G52,'TDS Rates'!$B$6:$B$40,0)),IF(E52="Company",INDEX('TDS Rates'!$J$6:$J$40,MATCH(G52,'TDS Rates'!$B$6:$B$40,0)),INDEX('TDS Rates'!$K$6:$K$40,MATCH(G52,'TDS Rates'!$B$6:$B$40,0)))))),IF(E52="Individual / HUF",INDEX('TDS Rates'!$I$6:$I$40,MATCH(G52,'TDS Rates'!$B$6:$B$40,0)),IF(E52="Company",INDEX('TDS Rates'!$J$6:$J$40,MATCH(G52,'TDS Rates'!$B$6:$B$40,0)),INDEX('TDS Rates'!$K$6:$K$40,MATCH(G52,'TDS Rates'!$B$6:$B$40,0))))),0))</f>
        <v/>
      </c>
      <c r="P52" s="34" t="str">
        <f aca="false">IF(OR(G52="",H52=""),"",ROUND(N52*O52,0))</f>
        <v/>
      </c>
      <c r="Q52" s="27" t="str">
        <f aca="false">IF(OR(G52="",H52=""),"",IFERROR(IF(INDEX('TDS Rates'!$E$6:$E$40,MATCH(G52,'TDS Rates'!$B$6:$B$40,0))="Form 141",EOMONTH(IF(R52="",B52,R52),0)+30,IF(MONTH(IF(R52="",B52,R52))=3,DATE(YEAR(IF(R52="",B52,R52)),4,30),DATE(YEAR(IF(R52="",B52,R52)),MONTH(IF(R52="",B52,R52))+1,7))),""))</f>
        <v/>
      </c>
      <c r="R52" s="17"/>
      <c r="S52" s="17"/>
      <c r="T52" s="5"/>
      <c r="U52" s="28" t="str">
        <f aca="false">IF(OR(G52="",H52=""),"",IF(P52=0,0,IF(IF(R52="",Settings!$C$9,R52)&lt;=B52,0,((YEAR(IF(R52="",Settings!$C$9,R52))-YEAR(B52))*12+MONTH(IF(R52="",Settings!$C$9,R52))-MONTH(B52)+1))))</f>
        <v/>
      </c>
      <c r="V52" s="29" t="str">
        <f aca="false">IF(OR(G52="",H52=""),"",ROUND(P52*Settings!$C$10*U52,0))</f>
        <v/>
      </c>
      <c r="W52" s="28" t="str">
        <f aca="false">IF(OR(G52="",H52=""),"",IF(OR(P52=0,R52=""),0,IF(IF(S52="",Settings!$C$9,S52)&lt;=Q52,0,((YEAR(IF(S52="",Settings!$C$9,S52))-YEAR(R52))*12+MONTH(IF(S52="",Settings!$C$9,S52))-MONTH(R52)+1))))</f>
        <v/>
      </c>
      <c r="X52" s="29" t="str">
        <f aca="false">IF(OR(G52="",H52=""),"",ROUND(P52*Settings!$C$11*W52,0))</f>
        <v/>
      </c>
      <c r="Y52" s="29" t="str">
        <f aca="false">IF(OR(G52="",H52=""),"",V52+X52)</f>
        <v/>
      </c>
      <c r="Z52" s="7" t="str">
        <f aca="false">IF(OR(G52="",H52=""),"",IF(P52=0,"Below threshold",IF(R52="","Not yet deducted",IF(S52="",IF(Settings!$C$9&gt;Q52,"Overdue — pay now","Deducted, due "&amp;TEXT(Q52,"dd-mmm")),IF(S52&lt;=Q52,IF(N(U52)&gt;0,"Deducted late, paid on time","Paid on time"),"Paid late")))))</f>
        <v/>
      </c>
      <c r="AA52" s="35" t="str">
        <f aca="false">IF(OR(G52="",H52=""),"",IF(D52&lt;&gt;"",UPPER(TRIM(D52)),UPPER(TRIM(C52))))</f>
        <v/>
      </c>
    </row>
    <row r="53" customFormat="false" ht="15" hidden="false" customHeight="false" outlineLevel="0" collapsed="false">
      <c r="B53" s="17"/>
      <c r="C53" s="5"/>
      <c r="D53" s="5"/>
      <c r="E53" s="5"/>
      <c r="F53" s="5"/>
      <c r="G53" s="5"/>
      <c r="H53" s="16"/>
      <c r="I53" s="7" t="str">
        <f aca="false">IF(OR(G53="",H53=""),"",IFERROR(INDEX('TDS Rates'!$D$6:$D$40,MATCH(G53,'TDS Rates'!$B$6:$B$40,0)),"Check nature"))</f>
        <v/>
      </c>
      <c r="J53" s="7" t="str">
        <f aca="false">IF(OR(G53="",H53=""),"",IFERROR(INDEX('TDS Rates'!$C$6:$C$40,MATCH(G53,'TDS Rates'!$B$6:$B$40,0)),""))</f>
        <v/>
      </c>
      <c r="K53" s="7" t="str">
        <f aca="false">IF(OR(G53="",H53=""),"",IFERROR(INDEX('TDS Rates'!$E$6:$E$40,MATCH(G53,'TDS Rates'!$B$6:$B$40,0)),""))</f>
        <v/>
      </c>
      <c r="L53" s="29" t="str">
        <f aca="false">IF(OR(G53="",H53=""),"",SUMIFS(H$6:H52,AA$6:AA52,AA53,G$6:G52,G53))</f>
        <v/>
      </c>
      <c r="M53" s="29" t="str">
        <f aca="false">IF(OR(G53="",H53=""),"",SUMIFS(H$6:H52,AA$6:AA52,AA53,G$6:G52,G53,N$6:N52,0))</f>
        <v/>
      </c>
      <c r="N53" s="29" t="str">
        <f aca="false">IF(OR(G53="",H53=""),"",IFERROR(IF(INDEX('TDS Rates'!$F$6:$F$40,MATCH(G53,'TDS Rates'!$B$6:$B$40,0))="NONE",H53,IF(INDEX('TDS Rates'!$F$6:$F$40,MATCH(G53,'TDS Rates'!$B$6:$B$40,0))="PER",IF(H53&gt;INDEX('TDS Rates'!$G$6:$G$40,MATCH(G53,'TDS Rates'!$B$6:$B$40,0)),H53,0),IF(INDEX('TDS Rates'!$F$6:$F$40,MATCH(G53,'TDS Rates'!$B$6:$B$40,0))="EXCESS",MAX(0,L53+H53-INDEX('TDS Rates'!$H$6:$H$40,MATCH(G53,'TDS Rates'!$B$6:$B$40,0)))-MAX(0,L53-INDEX('TDS Rates'!$H$6:$H$40,MATCH(G53,'TDS Rates'!$B$6:$B$40,0))),IF(INDEX('TDS Rates'!$F$6:$F$40,MATCH(G53,'TDS Rates'!$B$6:$B$40,0))="SA",IF(L53+H53&gt;INDEX('TDS Rates'!$H$6:$H$40,MATCH(G53,'TDS Rates'!$B$6:$B$40,0)),H53+M53,IF(H53&gt;INDEX('TDS Rates'!$G$6:$G$40,MATCH(G53,'TDS Rates'!$B$6:$B$40,0)),H53,0)),IF(L53+H53&gt;INDEX('TDS Rates'!$H$6:$H$40,MATCH(G53,'TDS Rates'!$B$6:$B$40,0)),H53+M53,0))))),0))</f>
        <v/>
      </c>
      <c r="O53" s="33" t="str">
        <f aca="false">IF(OR(G53="",H53=""),"",IFERROR(IF(F53="No",IF(INDEX('TDS Rates'!$C$6:$C$40,MATCH(G53,'TDS Rates'!$B$6:$B$40,0))="194Q",Settings!$C$14,MAX(Settings!$C$13,IF(E53="Individual / HUF",INDEX('TDS Rates'!$I$6:$I$40,MATCH(G53,'TDS Rates'!$B$6:$B$40,0)),IF(E53="Company",INDEX('TDS Rates'!$J$6:$J$40,MATCH(G53,'TDS Rates'!$B$6:$B$40,0)),INDEX('TDS Rates'!$K$6:$K$40,MATCH(G53,'TDS Rates'!$B$6:$B$40,0)))))),IF(E53="Individual / HUF",INDEX('TDS Rates'!$I$6:$I$40,MATCH(G53,'TDS Rates'!$B$6:$B$40,0)),IF(E53="Company",INDEX('TDS Rates'!$J$6:$J$40,MATCH(G53,'TDS Rates'!$B$6:$B$40,0)),INDEX('TDS Rates'!$K$6:$K$40,MATCH(G53,'TDS Rates'!$B$6:$B$40,0))))),0))</f>
        <v/>
      </c>
      <c r="P53" s="34" t="str">
        <f aca="false">IF(OR(G53="",H53=""),"",ROUND(N53*O53,0))</f>
        <v/>
      </c>
      <c r="Q53" s="27" t="str">
        <f aca="false">IF(OR(G53="",H53=""),"",IFERROR(IF(INDEX('TDS Rates'!$E$6:$E$40,MATCH(G53,'TDS Rates'!$B$6:$B$40,0))="Form 141",EOMONTH(IF(R53="",B53,R53),0)+30,IF(MONTH(IF(R53="",B53,R53))=3,DATE(YEAR(IF(R53="",B53,R53)),4,30),DATE(YEAR(IF(R53="",B53,R53)),MONTH(IF(R53="",B53,R53))+1,7))),""))</f>
        <v/>
      </c>
      <c r="R53" s="17"/>
      <c r="S53" s="17"/>
      <c r="T53" s="5"/>
      <c r="U53" s="28" t="str">
        <f aca="false">IF(OR(G53="",H53=""),"",IF(P53=0,0,IF(IF(R53="",Settings!$C$9,R53)&lt;=B53,0,((YEAR(IF(R53="",Settings!$C$9,R53))-YEAR(B53))*12+MONTH(IF(R53="",Settings!$C$9,R53))-MONTH(B53)+1))))</f>
        <v/>
      </c>
      <c r="V53" s="29" t="str">
        <f aca="false">IF(OR(G53="",H53=""),"",ROUND(P53*Settings!$C$10*U53,0))</f>
        <v/>
      </c>
      <c r="W53" s="28" t="str">
        <f aca="false">IF(OR(G53="",H53=""),"",IF(OR(P53=0,R53=""),0,IF(IF(S53="",Settings!$C$9,S53)&lt;=Q53,0,((YEAR(IF(S53="",Settings!$C$9,S53))-YEAR(R53))*12+MONTH(IF(S53="",Settings!$C$9,S53))-MONTH(R53)+1))))</f>
        <v/>
      </c>
      <c r="X53" s="29" t="str">
        <f aca="false">IF(OR(G53="",H53=""),"",ROUND(P53*Settings!$C$11*W53,0))</f>
        <v/>
      </c>
      <c r="Y53" s="29" t="str">
        <f aca="false">IF(OR(G53="",H53=""),"",V53+X53)</f>
        <v/>
      </c>
      <c r="Z53" s="7" t="str">
        <f aca="false">IF(OR(G53="",H53=""),"",IF(P53=0,"Below threshold",IF(R53="","Not yet deducted",IF(S53="",IF(Settings!$C$9&gt;Q53,"Overdue — pay now","Deducted, due "&amp;TEXT(Q53,"dd-mmm")),IF(S53&lt;=Q53,IF(N(U53)&gt;0,"Deducted late, paid on time","Paid on time"),"Paid late")))))</f>
        <v/>
      </c>
      <c r="AA53" s="35" t="str">
        <f aca="false">IF(OR(G53="",H53=""),"",IF(D53&lt;&gt;"",UPPER(TRIM(D53)),UPPER(TRIM(C53))))</f>
        <v/>
      </c>
    </row>
    <row r="54" customFormat="false" ht="15" hidden="false" customHeight="false" outlineLevel="0" collapsed="false">
      <c r="B54" s="17"/>
      <c r="C54" s="5"/>
      <c r="D54" s="5"/>
      <c r="E54" s="5"/>
      <c r="F54" s="5"/>
      <c r="G54" s="5"/>
      <c r="H54" s="16"/>
      <c r="I54" s="7" t="str">
        <f aca="false">IF(OR(G54="",H54=""),"",IFERROR(INDEX('TDS Rates'!$D$6:$D$40,MATCH(G54,'TDS Rates'!$B$6:$B$40,0)),"Check nature"))</f>
        <v/>
      </c>
      <c r="J54" s="7" t="str">
        <f aca="false">IF(OR(G54="",H54=""),"",IFERROR(INDEX('TDS Rates'!$C$6:$C$40,MATCH(G54,'TDS Rates'!$B$6:$B$40,0)),""))</f>
        <v/>
      </c>
      <c r="K54" s="7" t="str">
        <f aca="false">IF(OR(G54="",H54=""),"",IFERROR(INDEX('TDS Rates'!$E$6:$E$40,MATCH(G54,'TDS Rates'!$B$6:$B$40,0)),""))</f>
        <v/>
      </c>
      <c r="L54" s="29" t="str">
        <f aca="false">IF(OR(G54="",H54=""),"",SUMIFS(H$6:H53,AA$6:AA53,AA54,G$6:G53,G54))</f>
        <v/>
      </c>
      <c r="M54" s="29" t="str">
        <f aca="false">IF(OR(G54="",H54=""),"",SUMIFS(H$6:H53,AA$6:AA53,AA54,G$6:G53,G54,N$6:N53,0))</f>
        <v/>
      </c>
      <c r="N54" s="29" t="str">
        <f aca="false">IF(OR(G54="",H54=""),"",IFERROR(IF(INDEX('TDS Rates'!$F$6:$F$40,MATCH(G54,'TDS Rates'!$B$6:$B$40,0))="NONE",H54,IF(INDEX('TDS Rates'!$F$6:$F$40,MATCH(G54,'TDS Rates'!$B$6:$B$40,0))="PER",IF(H54&gt;INDEX('TDS Rates'!$G$6:$G$40,MATCH(G54,'TDS Rates'!$B$6:$B$40,0)),H54,0),IF(INDEX('TDS Rates'!$F$6:$F$40,MATCH(G54,'TDS Rates'!$B$6:$B$40,0))="EXCESS",MAX(0,L54+H54-INDEX('TDS Rates'!$H$6:$H$40,MATCH(G54,'TDS Rates'!$B$6:$B$40,0)))-MAX(0,L54-INDEX('TDS Rates'!$H$6:$H$40,MATCH(G54,'TDS Rates'!$B$6:$B$40,0))),IF(INDEX('TDS Rates'!$F$6:$F$40,MATCH(G54,'TDS Rates'!$B$6:$B$40,0))="SA",IF(L54+H54&gt;INDEX('TDS Rates'!$H$6:$H$40,MATCH(G54,'TDS Rates'!$B$6:$B$40,0)),H54+M54,IF(H54&gt;INDEX('TDS Rates'!$G$6:$G$40,MATCH(G54,'TDS Rates'!$B$6:$B$40,0)),H54,0)),IF(L54+H54&gt;INDEX('TDS Rates'!$H$6:$H$40,MATCH(G54,'TDS Rates'!$B$6:$B$40,0)),H54+M54,0))))),0))</f>
        <v/>
      </c>
      <c r="O54" s="33" t="str">
        <f aca="false">IF(OR(G54="",H54=""),"",IFERROR(IF(F54="No",IF(INDEX('TDS Rates'!$C$6:$C$40,MATCH(G54,'TDS Rates'!$B$6:$B$40,0))="194Q",Settings!$C$14,MAX(Settings!$C$13,IF(E54="Individual / HUF",INDEX('TDS Rates'!$I$6:$I$40,MATCH(G54,'TDS Rates'!$B$6:$B$40,0)),IF(E54="Company",INDEX('TDS Rates'!$J$6:$J$40,MATCH(G54,'TDS Rates'!$B$6:$B$40,0)),INDEX('TDS Rates'!$K$6:$K$40,MATCH(G54,'TDS Rates'!$B$6:$B$40,0)))))),IF(E54="Individual / HUF",INDEX('TDS Rates'!$I$6:$I$40,MATCH(G54,'TDS Rates'!$B$6:$B$40,0)),IF(E54="Company",INDEX('TDS Rates'!$J$6:$J$40,MATCH(G54,'TDS Rates'!$B$6:$B$40,0)),INDEX('TDS Rates'!$K$6:$K$40,MATCH(G54,'TDS Rates'!$B$6:$B$40,0))))),0))</f>
        <v/>
      </c>
      <c r="P54" s="34" t="str">
        <f aca="false">IF(OR(G54="",H54=""),"",ROUND(N54*O54,0))</f>
        <v/>
      </c>
      <c r="Q54" s="27" t="str">
        <f aca="false">IF(OR(G54="",H54=""),"",IFERROR(IF(INDEX('TDS Rates'!$E$6:$E$40,MATCH(G54,'TDS Rates'!$B$6:$B$40,0))="Form 141",EOMONTH(IF(R54="",B54,R54),0)+30,IF(MONTH(IF(R54="",B54,R54))=3,DATE(YEAR(IF(R54="",B54,R54)),4,30),DATE(YEAR(IF(R54="",B54,R54)),MONTH(IF(R54="",B54,R54))+1,7))),""))</f>
        <v/>
      </c>
      <c r="R54" s="17"/>
      <c r="S54" s="17"/>
      <c r="T54" s="5"/>
      <c r="U54" s="28" t="str">
        <f aca="false">IF(OR(G54="",H54=""),"",IF(P54=0,0,IF(IF(R54="",Settings!$C$9,R54)&lt;=B54,0,((YEAR(IF(R54="",Settings!$C$9,R54))-YEAR(B54))*12+MONTH(IF(R54="",Settings!$C$9,R54))-MONTH(B54)+1))))</f>
        <v/>
      </c>
      <c r="V54" s="29" t="str">
        <f aca="false">IF(OR(G54="",H54=""),"",ROUND(P54*Settings!$C$10*U54,0))</f>
        <v/>
      </c>
      <c r="W54" s="28" t="str">
        <f aca="false">IF(OR(G54="",H54=""),"",IF(OR(P54=0,R54=""),0,IF(IF(S54="",Settings!$C$9,S54)&lt;=Q54,0,((YEAR(IF(S54="",Settings!$C$9,S54))-YEAR(R54))*12+MONTH(IF(S54="",Settings!$C$9,S54))-MONTH(R54)+1))))</f>
        <v/>
      </c>
      <c r="X54" s="29" t="str">
        <f aca="false">IF(OR(G54="",H54=""),"",ROUND(P54*Settings!$C$11*W54,0))</f>
        <v/>
      </c>
      <c r="Y54" s="29" t="str">
        <f aca="false">IF(OR(G54="",H54=""),"",V54+X54)</f>
        <v/>
      </c>
      <c r="Z54" s="7" t="str">
        <f aca="false">IF(OR(G54="",H54=""),"",IF(P54=0,"Below threshold",IF(R54="","Not yet deducted",IF(S54="",IF(Settings!$C$9&gt;Q54,"Overdue — pay now","Deducted, due "&amp;TEXT(Q54,"dd-mmm")),IF(S54&lt;=Q54,IF(N(U54)&gt;0,"Deducted late, paid on time","Paid on time"),"Paid late")))))</f>
        <v/>
      </c>
      <c r="AA54" s="35" t="str">
        <f aca="false">IF(OR(G54="",H54=""),"",IF(D54&lt;&gt;"",UPPER(TRIM(D54)),UPPER(TRIM(C54))))</f>
        <v/>
      </c>
    </row>
    <row r="55" customFormat="false" ht="15" hidden="false" customHeight="false" outlineLevel="0" collapsed="false">
      <c r="B55" s="17"/>
      <c r="C55" s="5"/>
      <c r="D55" s="5"/>
      <c r="E55" s="5"/>
      <c r="F55" s="5"/>
      <c r="G55" s="5"/>
      <c r="H55" s="16"/>
      <c r="I55" s="7" t="str">
        <f aca="false">IF(OR(G55="",H55=""),"",IFERROR(INDEX('TDS Rates'!$D$6:$D$40,MATCH(G55,'TDS Rates'!$B$6:$B$40,0)),"Check nature"))</f>
        <v/>
      </c>
      <c r="J55" s="7" t="str">
        <f aca="false">IF(OR(G55="",H55=""),"",IFERROR(INDEX('TDS Rates'!$C$6:$C$40,MATCH(G55,'TDS Rates'!$B$6:$B$40,0)),""))</f>
        <v/>
      </c>
      <c r="K55" s="7" t="str">
        <f aca="false">IF(OR(G55="",H55=""),"",IFERROR(INDEX('TDS Rates'!$E$6:$E$40,MATCH(G55,'TDS Rates'!$B$6:$B$40,0)),""))</f>
        <v/>
      </c>
      <c r="L55" s="29" t="str">
        <f aca="false">IF(OR(G55="",H55=""),"",SUMIFS(H$6:H54,AA$6:AA54,AA55,G$6:G54,G55))</f>
        <v/>
      </c>
      <c r="M55" s="29" t="str">
        <f aca="false">IF(OR(G55="",H55=""),"",SUMIFS(H$6:H54,AA$6:AA54,AA55,G$6:G54,G55,N$6:N54,0))</f>
        <v/>
      </c>
      <c r="N55" s="29" t="str">
        <f aca="false">IF(OR(G55="",H55=""),"",IFERROR(IF(INDEX('TDS Rates'!$F$6:$F$40,MATCH(G55,'TDS Rates'!$B$6:$B$40,0))="NONE",H55,IF(INDEX('TDS Rates'!$F$6:$F$40,MATCH(G55,'TDS Rates'!$B$6:$B$40,0))="PER",IF(H55&gt;INDEX('TDS Rates'!$G$6:$G$40,MATCH(G55,'TDS Rates'!$B$6:$B$40,0)),H55,0),IF(INDEX('TDS Rates'!$F$6:$F$40,MATCH(G55,'TDS Rates'!$B$6:$B$40,0))="EXCESS",MAX(0,L55+H55-INDEX('TDS Rates'!$H$6:$H$40,MATCH(G55,'TDS Rates'!$B$6:$B$40,0)))-MAX(0,L55-INDEX('TDS Rates'!$H$6:$H$40,MATCH(G55,'TDS Rates'!$B$6:$B$40,0))),IF(INDEX('TDS Rates'!$F$6:$F$40,MATCH(G55,'TDS Rates'!$B$6:$B$40,0))="SA",IF(L55+H55&gt;INDEX('TDS Rates'!$H$6:$H$40,MATCH(G55,'TDS Rates'!$B$6:$B$40,0)),H55+M55,IF(H55&gt;INDEX('TDS Rates'!$G$6:$G$40,MATCH(G55,'TDS Rates'!$B$6:$B$40,0)),H55,0)),IF(L55+H55&gt;INDEX('TDS Rates'!$H$6:$H$40,MATCH(G55,'TDS Rates'!$B$6:$B$40,0)),H55+M55,0))))),0))</f>
        <v/>
      </c>
      <c r="O55" s="33" t="str">
        <f aca="false">IF(OR(G55="",H55=""),"",IFERROR(IF(F55="No",IF(INDEX('TDS Rates'!$C$6:$C$40,MATCH(G55,'TDS Rates'!$B$6:$B$40,0))="194Q",Settings!$C$14,MAX(Settings!$C$13,IF(E55="Individual / HUF",INDEX('TDS Rates'!$I$6:$I$40,MATCH(G55,'TDS Rates'!$B$6:$B$40,0)),IF(E55="Company",INDEX('TDS Rates'!$J$6:$J$40,MATCH(G55,'TDS Rates'!$B$6:$B$40,0)),INDEX('TDS Rates'!$K$6:$K$40,MATCH(G55,'TDS Rates'!$B$6:$B$40,0)))))),IF(E55="Individual / HUF",INDEX('TDS Rates'!$I$6:$I$40,MATCH(G55,'TDS Rates'!$B$6:$B$40,0)),IF(E55="Company",INDEX('TDS Rates'!$J$6:$J$40,MATCH(G55,'TDS Rates'!$B$6:$B$40,0)),INDEX('TDS Rates'!$K$6:$K$40,MATCH(G55,'TDS Rates'!$B$6:$B$40,0))))),0))</f>
        <v/>
      </c>
      <c r="P55" s="34" t="str">
        <f aca="false">IF(OR(G55="",H55=""),"",ROUND(N55*O55,0))</f>
        <v/>
      </c>
      <c r="Q55" s="27" t="str">
        <f aca="false">IF(OR(G55="",H55=""),"",IFERROR(IF(INDEX('TDS Rates'!$E$6:$E$40,MATCH(G55,'TDS Rates'!$B$6:$B$40,0))="Form 141",EOMONTH(IF(R55="",B55,R55),0)+30,IF(MONTH(IF(R55="",B55,R55))=3,DATE(YEAR(IF(R55="",B55,R55)),4,30),DATE(YEAR(IF(R55="",B55,R55)),MONTH(IF(R55="",B55,R55))+1,7))),""))</f>
        <v/>
      </c>
      <c r="R55" s="17"/>
      <c r="S55" s="17"/>
      <c r="T55" s="5"/>
      <c r="U55" s="28" t="str">
        <f aca="false">IF(OR(G55="",H55=""),"",IF(P55=0,0,IF(IF(R55="",Settings!$C$9,R55)&lt;=B55,0,((YEAR(IF(R55="",Settings!$C$9,R55))-YEAR(B55))*12+MONTH(IF(R55="",Settings!$C$9,R55))-MONTH(B55)+1))))</f>
        <v/>
      </c>
      <c r="V55" s="29" t="str">
        <f aca="false">IF(OR(G55="",H55=""),"",ROUND(P55*Settings!$C$10*U55,0))</f>
        <v/>
      </c>
      <c r="W55" s="28" t="str">
        <f aca="false">IF(OR(G55="",H55=""),"",IF(OR(P55=0,R55=""),0,IF(IF(S55="",Settings!$C$9,S55)&lt;=Q55,0,((YEAR(IF(S55="",Settings!$C$9,S55))-YEAR(R55))*12+MONTH(IF(S55="",Settings!$C$9,S55))-MONTH(R55)+1))))</f>
        <v/>
      </c>
      <c r="X55" s="29" t="str">
        <f aca="false">IF(OR(G55="",H55=""),"",ROUND(P55*Settings!$C$11*W55,0))</f>
        <v/>
      </c>
      <c r="Y55" s="29" t="str">
        <f aca="false">IF(OR(G55="",H55=""),"",V55+X55)</f>
        <v/>
      </c>
      <c r="Z55" s="7" t="str">
        <f aca="false">IF(OR(G55="",H55=""),"",IF(P55=0,"Below threshold",IF(R55="","Not yet deducted",IF(S55="",IF(Settings!$C$9&gt;Q55,"Overdue — pay now","Deducted, due "&amp;TEXT(Q55,"dd-mmm")),IF(S55&lt;=Q55,IF(N(U55)&gt;0,"Deducted late, paid on time","Paid on time"),"Paid late")))))</f>
        <v/>
      </c>
      <c r="AA55" s="35" t="str">
        <f aca="false">IF(OR(G55="",H55=""),"",IF(D55&lt;&gt;"",UPPER(TRIM(D55)),UPPER(TRIM(C55))))</f>
        <v/>
      </c>
    </row>
    <row r="56" customFormat="false" ht="15" hidden="false" customHeight="false" outlineLevel="0" collapsed="false">
      <c r="B56" s="17"/>
      <c r="C56" s="5"/>
      <c r="D56" s="5"/>
      <c r="E56" s="5"/>
      <c r="F56" s="5"/>
      <c r="G56" s="5"/>
      <c r="H56" s="16"/>
      <c r="I56" s="7" t="str">
        <f aca="false">IF(OR(G56="",H56=""),"",IFERROR(INDEX('TDS Rates'!$D$6:$D$40,MATCH(G56,'TDS Rates'!$B$6:$B$40,0)),"Check nature"))</f>
        <v/>
      </c>
      <c r="J56" s="7" t="str">
        <f aca="false">IF(OR(G56="",H56=""),"",IFERROR(INDEX('TDS Rates'!$C$6:$C$40,MATCH(G56,'TDS Rates'!$B$6:$B$40,0)),""))</f>
        <v/>
      </c>
      <c r="K56" s="7" t="str">
        <f aca="false">IF(OR(G56="",H56=""),"",IFERROR(INDEX('TDS Rates'!$E$6:$E$40,MATCH(G56,'TDS Rates'!$B$6:$B$40,0)),""))</f>
        <v/>
      </c>
      <c r="L56" s="29" t="str">
        <f aca="false">IF(OR(G56="",H56=""),"",SUMIFS(H$6:H55,AA$6:AA55,AA56,G$6:G55,G56))</f>
        <v/>
      </c>
      <c r="M56" s="29" t="str">
        <f aca="false">IF(OR(G56="",H56=""),"",SUMIFS(H$6:H55,AA$6:AA55,AA56,G$6:G55,G56,N$6:N55,0))</f>
        <v/>
      </c>
      <c r="N56" s="29" t="str">
        <f aca="false">IF(OR(G56="",H56=""),"",IFERROR(IF(INDEX('TDS Rates'!$F$6:$F$40,MATCH(G56,'TDS Rates'!$B$6:$B$40,0))="NONE",H56,IF(INDEX('TDS Rates'!$F$6:$F$40,MATCH(G56,'TDS Rates'!$B$6:$B$40,0))="PER",IF(H56&gt;INDEX('TDS Rates'!$G$6:$G$40,MATCH(G56,'TDS Rates'!$B$6:$B$40,0)),H56,0),IF(INDEX('TDS Rates'!$F$6:$F$40,MATCH(G56,'TDS Rates'!$B$6:$B$40,0))="EXCESS",MAX(0,L56+H56-INDEX('TDS Rates'!$H$6:$H$40,MATCH(G56,'TDS Rates'!$B$6:$B$40,0)))-MAX(0,L56-INDEX('TDS Rates'!$H$6:$H$40,MATCH(G56,'TDS Rates'!$B$6:$B$40,0))),IF(INDEX('TDS Rates'!$F$6:$F$40,MATCH(G56,'TDS Rates'!$B$6:$B$40,0))="SA",IF(L56+H56&gt;INDEX('TDS Rates'!$H$6:$H$40,MATCH(G56,'TDS Rates'!$B$6:$B$40,0)),H56+M56,IF(H56&gt;INDEX('TDS Rates'!$G$6:$G$40,MATCH(G56,'TDS Rates'!$B$6:$B$40,0)),H56,0)),IF(L56+H56&gt;INDEX('TDS Rates'!$H$6:$H$40,MATCH(G56,'TDS Rates'!$B$6:$B$40,0)),H56+M56,0))))),0))</f>
        <v/>
      </c>
      <c r="O56" s="33" t="str">
        <f aca="false">IF(OR(G56="",H56=""),"",IFERROR(IF(F56="No",IF(INDEX('TDS Rates'!$C$6:$C$40,MATCH(G56,'TDS Rates'!$B$6:$B$40,0))="194Q",Settings!$C$14,MAX(Settings!$C$13,IF(E56="Individual / HUF",INDEX('TDS Rates'!$I$6:$I$40,MATCH(G56,'TDS Rates'!$B$6:$B$40,0)),IF(E56="Company",INDEX('TDS Rates'!$J$6:$J$40,MATCH(G56,'TDS Rates'!$B$6:$B$40,0)),INDEX('TDS Rates'!$K$6:$K$40,MATCH(G56,'TDS Rates'!$B$6:$B$40,0)))))),IF(E56="Individual / HUF",INDEX('TDS Rates'!$I$6:$I$40,MATCH(G56,'TDS Rates'!$B$6:$B$40,0)),IF(E56="Company",INDEX('TDS Rates'!$J$6:$J$40,MATCH(G56,'TDS Rates'!$B$6:$B$40,0)),INDEX('TDS Rates'!$K$6:$K$40,MATCH(G56,'TDS Rates'!$B$6:$B$40,0))))),0))</f>
        <v/>
      </c>
      <c r="P56" s="34" t="str">
        <f aca="false">IF(OR(G56="",H56=""),"",ROUND(N56*O56,0))</f>
        <v/>
      </c>
      <c r="Q56" s="27" t="str">
        <f aca="false">IF(OR(G56="",H56=""),"",IFERROR(IF(INDEX('TDS Rates'!$E$6:$E$40,MATCH(G56,'TDS Rates'!$B$6:$B$40,0))="Form 141",EOMONTH(IF(R56="",B56,R56),0)+30,IF(MONTH(IF(R56="",B56,R56))=3,DATE(YEAR(IF(R56="",B56,R56)),4,30),DATE(YEAR(IF(R56="",B56,R56)),MONTH(IF(R56="",B56,R56))+1,7))),""))</f>
        <v/>
      </c>
      <c r="R56" s="17"/>
      <c r="S56" s="17"/>
      <c r="T56" s="5"/>
      <c r="U56" s="28" t="str">
        <f aca="false">IF(OR(G56="",H56=""),"",IF(P56=0,0,IF(IF(R56="",Settings!$C$9,R56)&lt;=B56,0,((YEAR(IF(R56="",Settings!$C$9,R56))-YEAR(B56))*12+MONTH(IF(R56="",Settings!$C$9,R56))-MONTH(B56)+1))))</f>
        <v/>
      </c>
      <c r="V56" s="29" t="str">
        <f aca="false">IF(OR(G56="",H56=""),"",ROUND(P56*Settings!$C$10*U56,0))</f>
        <v/>
      </c>
      <c r="W56" s="28" t="str">
        <f aca="false">IF(OR(G56="",H56=""),"",IF(OR(P56=0,R56=""),0,IF(IF(S56="",Settings!$C$9,S56)&lt;=Q56,0,((YEAR(IF(S56="",Settings!$C$9,S56))-YEAR(R56))*12+MONTH(IF(S56="",Settings!$C$9,S56))-MONTH(R56)+1))))</f>
        <v/>
      </c>
      <c r="X56" s="29" t="str">
        <f aca="false">IF(OR(G56="",H56=""),"",ROUND(P56*Settings!$C$11*W56,0))</f>
        <v/>
      </c>
      <c r="Y56" s="29" t="str">
        <f aca="false">IF(OR(G56="",H56=""),"",V56+X56)</f>
        <v/>
      </c>
      <c r="Z56" s="7" t="str">
        <f aca="false">IF(OR(G56="",H56=""),"",IF(P56=0,"Below threshold",IF(R56="","Not yet deducted",IF(S56="",IF(Settings!$C$9&gt;Q56,"Overdue — pay now","Deducted, due "&amp;TEXT(Q56,"dd-mmm")),IF(S56&lt;=Q56,IF(N(U56)&gt;0,"Deducted late, paid on time","Paid on time"),"Paid late")))))</f>
        <v/>
      </c>
      <c r="AA56" s="35" t="str">
        <f aca="false">IF(OR(G56="",H56=""),"",IF(D56&lt;&gt;"",UPPER(TRIM(D56)),UPPER(TRIM(C56))))</f>
        <v/>
      </c>
    </row>
    <row r="57" customFormat="false" ht="15" hidden="false" customHeight="false" outlineLevel="0" collapsed="false">
      <c r="B57" s="17"/>
      <c r="C57" s="5"/>
      <c r="D57" s="5"/>
      <c r="E57" s="5"/>
      <c r="F57" s="5"/>
      <c r="G57" s="5"/>
      <c r="H57" s="16"/>
      <c r="I57" s="7" t="str">
        <f aca="false">IF(OR(G57="",H57=""),"",IFERROR(INDEX('TDS Rates'!$D$6:$D$40,MATCH(G57,'TDS Rates'!$B$6:$B$40,0)),"Check nature"))</f>
        <v/>
      </c>
      <c r="J57" s="7" t="str">
        <f aca="false">IF(OR(G57="",H57=""),"",IFERROR(INDEX('TDS Rates'!$C$6:$C$40,MATCH(G57,'TDS Rates'!$B$6:$B$40,0)),""))</f>
        <v/>
      </c>
      <c r="K57" s="7" t="str">
        <f aca="false">IF(OR(G57="",H57=""),"",IFERROR(INDEX('TDS Rates'!$E$6:$E$40,MATCH(G57,'TDS Rates'!$B$6:$B$40,0)),""))</f>
        <v/>
      </c>
      <c r="L57" s="29" t="str">
        <f aca="false">IF(OR(G57="",H57=""),"",SUMIFS(H$6:H56,AA$6:AA56,AA57,G$6:G56,G57))</f>
        <v/>
      </c>
      <c r="M57" s="29" t="str">
        <f aca="false">IF(OR(G57="",H57=""),"",SUMIFS(H$6:H56,AA$6:AA56,AA57,G$6:G56,G57,N$6:N56,0))</f>
        <v/>
      </c>
      <c r="N57" s="29" t="str">
        <f aca="false">IF(OR(G57="",H57=""),"",IFERROR(IF(INDEX('TDS Rates'!$F$6:$F$40,MATCH(G57,'TDS Rates'!$B$6:$B$40,0))="NONE",H57,IF(INDEX('TDS Rates'!$F$6:$F$40,MATCH(G57,'TDS Rates'!$B$6:$B$40,0))="PER",IF(H57&gt;INDEX('TDS Rates'!$G$6:$G$40,MATCH(G57,'TDS Rates'!$B$6:$B$40,0)),H57,0),IF(INDEX('TDS Rates'!$F$6:$F$40,MATCH(G57,'TDS Rates'!$B$6:$B$40,0))="EXCESS",MAX(0,L57+H57-INDEX('TDS Rates'!$H$6:$H$40,MATCH(G57,'TDS Rates'!$B$6:$B$40,0)))-MAX(0,L57-INDEX('TDS Rates'!$H$6:$H$40,MATCH(G57,'TDS Rates'!$B$6:$B$40,0))),IF(INDEX('TDS Rates'!$F$6:$F$40,MATCH(G57,'TDS Rates'!$B$6:$B$40,0))="SA",IF(L57+H57&gt;INDEX('TDS Rates'!$H$6:$H$40,MATCH(G57,'TDS Rates'!$B$6:$B$40,0)),H57+M57,IF(H57&gt;INDEX('TDS Rates'!$G$6:$G$40,MATCH(G57,'TDS Rates'!$B$6:$B$40,0)),H57,0)),IF(L57+H57&gt;INDEX('TDS Rates'!$H$6:$H$40,MATCH(G57,'TDS Rates'!$B$6:$B$40,0)),H57+M57,0))))),0))</f>
        <v/>
      </c>
      <c r="O57" s="33" t="str">
        <f aca="false">IF(OR(G57="",H57=""),"",IFERROR(IF(F57="No",IF(INDEX('TDS Rates'!$C$6:$C$40,MATCH(G57,'TDS Rates'!$B$6:$B$40,0))="194Q",Settings!$C$14,MAX(Settings!$C$13,IF(E57="Individual / HUF",INDEX('TDS Rates'!$I$6:$I$40,MATCH(G57,'TDS Rates'!$B$6:$B$40,0)),IF(E57="Company",INDEX('TDS Rates'!$J$6:$J$40,MATCH(G57,'TDS Rates'!$B$6:$B$40,0)),INDEX('TDS Rates'!$K$6:$K$40,MATCH(G57,'TDS Rates'!$B$6:$B$40,0)))))),IF(E57="Individual / HUF",INDEX('TDS Rates'!$I$6:$I$40,MATCH(G57,'TDS Rates'!$B$6:$B$40,0)),IF(E57="Company",INDEX('TDS Rates'!$J$6:$J$40,MATCH(G57,'TDS Rates'!$B$6:$B$40,0)),INDEX('TDS Rates'!$K$6:$K$40,MATCH(G57,'TDS Rates'!$B$6:$B$40,0))))),0))</f>
        <v/>
      </c>
      <c r="P57" s="34" t="str">
        <f aca="false">IF(OR(G57="",H57=""),"",ROUND(N57*O57,0))</f>
        <v/>
      </c>
      <c r="Q57" s="27" t="str">
        <f aca="false">IF(OR(G57="",H57=""),"",IFERROR(IF(INDEX('TDS Rates'!$E$6:$E$40,MATCH(G57,'TDS Rates'!$B$6:$B$40,0))="Form 141",EOMONTH(IF(R57="",B57,R57),0)+30,IF(MONTH(IF(R57="",B57,R57))=3,DATE(YEAR(IF(R57="",B57,R57)),4,30),DATE(YEAR(IF(R57="",B57,R57)),MONTH(IF(R57="",B57,R57))+1,7))),""))</f>
        <v/>
      </c>
      <c r="R57" s="17"/>
      <c r="S57" s="17"/>
      <c r="T57" s="5"/>
      <c r="U57" s="28" t="str">
        <f aca="false">IF(OR(G57="",H57=""),"",IF(P57=0,0,IF(IF(R57="",Settings!$C$9,R57)&lt;=B57,0,((YEAR(IF(R57="",Settings!$C$9,R57))-YEAR(B57))*12+MONTH(IF(R57="",Settings!$C$9,R57))-MONTH(B57)+1))))</f>
        <v/>
      </c>
      <c r="V57" s="29" t="str">
        <f aca="false">IF(OR(G57="",H57=""),"",ROUND(P57*Settings!$C$10*U57,0))</f>
        <v/>
      </c>
      <c r="W57" s="28" t="str">
        <f aca="false">IF(OR(G57="",H57=""),"",IF(OR(P57=0,R57=""),0,IF(IF(S57="",Settings!$C$9,S57)&lt;=Q57,0,((YEAR(IF(S57="",Settings!$C$9,S57))-YEAR(R57))*12+MONTH(IF(S57="",Settings!$C$9,S57))-MONTH(R57)+1))))</f>
        <v/>
      </c>
      <c r="X57" s="29" t="str">
        <f aca="false">IF(OR(G57="",H57=""),"",ROUND(P57*Settings!$C$11*W57,0))</f>
        <v/>
      </c>
      <c r="Y57" s="29" t="str">
        <f aca="false">IF(OR(G57="",H57=""),"",V57+X57)</f>
        <v/>
      </c>
      <c r="Z57" s="7" t="str">
        <f aca="false">IF(OR(G57="",H57=""),"",IF(P57=0,"Below threshold",IF(R57="","Not yet deducted",IF(S57="",IF(Settings!$C$9&gt;Q57,"Overdue — pay now","Deducted, due "&amp;TEXT(Q57,"dd-mmm")),IF(S57&lt;=Q57,IF(N(U57)&gt;0,"Deducted late, paid on time","Paid on time"),"Paid late")))))</f>
        <v/>
      </c>
      <c r="AA57" s="35" t="str">
        <f aca="false">IF(OR(G57="",H57=""),"",IF(D57&lt;&gt;"",UPPER(TRIM(D57)),UPPER(TRIM(C57))))</f>
        <v/>
      </c>
    </row>
    <row r="58" customFormat="false" ht="15" hidden="false" customHeight="false" outlineLevel="0" collapsed="false">
      <c r="B58" s="17"/>
      <c r="C58" s="5"/>
      <c r="D58" s="5"/>
      <c r="E58" s="5"/>
      <c r="F58" s="5"/>
      <c r="G58" s="5"/>
      <c r="H58" s="16"/>
      <c r="I58" s="7" t="str">
        <f aca="false">IF(OR(G58="",H58=""),"",IFERROR(INDEX('TDS Rates'!$D$6:$D$40,MATCH(G58,'TDS Rates'!$B$6:$B$40,0)),"Check nature"))</f>
        <v/>
      </c>
      <c r="J58" s="7" t="str">
        <f aca="false">IF(OR(G58="",H58=""),"",IFERROR(INDEX('TDS Rates'!$C$6:$C$40,MATCH(G58,'TDS Rates'!$B$6:$B$40,0)),""))</f>
        <v/>
      </c>
      <c r="K58" s="7" t="str">
        <f aca="false">IF(OR(G58="",H58=""),"",IFERROR(INDEX('TDS Rates'!$E$6:$E$40,MATCH(G58,'TDS Rates'!$B$6:$B$40,0)),""))</f>
        <v/>
      </c>
      <c r="L58" s="29" t="str">
        <f aca="false">IF(OR(G58="",H58=""),"",SUMIFS(H$6:H57,AA$6:AA57,AA58,G$6:G57,G58))</f>
        <v/>
      </c>
      <c r="M58" s="29" t="str">
        <f aca="false">IF(OR(G58="",H58=""),"",SUMIFS(H$6:H57,AA$6:AA57,AA58,G$6:G57,G58,N$6:N57,0))</f>
        <v/>
      </c>
      <c r="N58" s="29" t="str">
        <f aca="false">IF(OR(G58="",H58=""),"",IFERROR(IF(INDEX('TDS Rates'!$F$6:$F$40,MATCH(G58,'TDS Rates'!$B$6:$B$40,0))="NONE",H58,IF(INDEX('TDS Rates'!$F$6:$F$40,MATCH(G58,'TDS Rates'!$B$6:$B$40,0))="PER",IF(H58&gt;INDEX('TDS Rates'!$G$6:$G$40,MATCH(G58,'TDS Rates'!$B$6:$B$40,0)),H58,0),IF(INDEX('TDS Rates'!$F$6:$F$40,MATCH(G58,'TDS Rates'!$B$6:$B$40,0))="EXCESS",MAX(0,L58+H58-INDEX('TDS Rates'!$H$6:$H$40,MATCH(G58,'TDS Rates'!$B$6:$B$40,0)))-MAX(0,L58-INDEX('TDS Rates'!$H$6:$H$40,MATCH(G58,'TDS Rates'!$B$6:$B$40,0))),IF(INDEX('TDS Rates'!$F$6:$F$40,MATCH(G58,'TDS Rates'!$B$6:$B$40,0))="SA",IF(L58+H58&gt;INDEX('TDS Rates'!$H$6:$H$40,MATCH(G58,'TDS Rates'!$B$6:$B$40,0)),H58+M58,IF(H58&gt;INDEX('TDS Rates'!$G$6:$G$40,MATCH(G58,'TDS Rates'!$B$6:$B$40,0)),H58,0)),IF(L58+H58&gt;INDEX('TDS Rates'!$H$6:$H$40,MATCH(G58,'TDS Rates'!$B$6:$B$40,0)),H58+M58,0))))),0))</f>
        <v/>
      </c>
      <c r="O58" s="33" t="str">
        <f aca="false">IF(OR(G58="",H58=""),"",IFERROR(IF(F58="No",IF(INDEX('TDS Rates'!$C$6:$C$40,MATCH(G58,'TDS Rates'!$B$6:$B$40,0))="194Q",Settings!$C$14,MAX(Settings!$C$13,IF(E58="Individual / HUF",INDEX('TDS Rates'!$I$6:$I$40,MATCH(G58,'TDS Rates'!$B$6:$B$40,0)),IF(E58="Company",INDEX('TDS Rates'!$J$6:$J$40,MATCH(G58,'TDS Rates'!$B$6:$B$40,0)),INDEX('TDS Rates'!$K$6:$K$40,MATCH(G58,'TDS Rates'!$B$6:$B$40,0)))))),IF(E58="Individual / HUF",INDEX('TDS Rates'!$I$6:$I$40,MATCH(G58,'TDS Rates'!$B$6:$B$40,0)),IF(E58="Company",INDEX('TDS Rates'!$J$6:$J$40,MATCH(G58,'TDS Rates'!$B$6:$B$40,0)),INDEX('TDS Rates'!$K$6:$K$40,MATCH(G58,'TDS Rates'!$B$6:$B$40,0))))),0))</f>
        <v/>
      </c>
      <c r="P58" s="34" t="str">
        <f aca="false">IF(OR(G58="",H58=""),"",ROUND(N58*O58,0))</f>
        <v/>
      </c>
      <c r="Q58" s="27" t="str">
        <f aca="false">IF(OR(G58="",H58=""),"",IFERROR(IF(INDEX('TDS Rates'!$E$6:$E$40,MATCH(G58,'TDS Rates'!$B$6:$B$40,0))="Form 141",EOMONTH(IF(R58="",B58,R58),0)+30,IF(MONTH(IF(R58="",B58,R58))=3,DATE(YEAR(IF(R58="",B58,R58)),4,30),DATE(YEAR(IF(R58="",B58,R58)),MONTH(IF(R58="",B58,R58))+1,7))),""))</f>
        <v/>
      </c>
      <c r="R58" s="17"/>
      <c r="S58" s="17"/>
      <c r="T58" s="5"/>
      <c r="U58" s="28" t="str">
        <f aca="false">IF(OR(G58="",H58=""),"",IF(P58=0,0,IF(IF(R58="",Settings!$C$9,R58)&lt;=B58,0,((YEAR(IF(R58="",Settings!$C$9,R58))-YEAR(B58))*12+MONTH(IF(R58="",Settings!$C$9,R58))-MONTH(B58)+1))))</f>
        <v/>
      </c>
      <c r="V58" s="29" t="str">
        <f aca="false">IF(OR(G58="",H58=""),"",ROUND(P58*Settings!$C$10*U58,0))</f>
        <v/>
      </c>
      <c r="W58" s="28" t="str">
        <f aca="false">IF(OR(G58="",H58=""),"",IF(OR(P58=0,R58=""),0,IF(IF(S58="",Settings!$C$9,S58)&lt;=Q58,0,((YEAR(IF(S58="",Settings!$C$9,S58))-YEAR(R58))*12+MONTH(IF(S58="",Settings!$C$9,S58))-MONTH(R58)+1))))</f>
        <v/>
      </c>
      <c r="X58" s="29" t="str">
        <f aca="false">IF(OR(G58="",H58=""),"",ROUND(P58*Settings!$C$11*W58,0))</f>
        <v/>
      </c>
      <c r="Y58" s="29" t="str">
        <f aca="false">IF(OR(G58="",H58=""),"",V58+X58)</f>
        <v/>
      </c>
      <c r="Z58" s="7" t="str">
        <f aca="false">IF(OR(G58="",H58=""),"",IF(P58=0,"Below threshold",IF(R58="","Not yet deducted",IF(S58="",IF(Settings!$C$9&gt;Q58,"Overdue — pay now","Deducted, due "&amp;TEXT(Q58,"dd-mmm")),IF(S58&lt;=Q58,IF(N(U58)&gt;0,"Deducted late, paid on time","Paid on time"),"Paid late")))))</f>
        <v/>
      </c>
      <c r="AA58" s="35" t="str">
        <f aca="false">IF(OR(G58="",H58=""),"",IF(D58&lt;&gt;"",UPPER(TRIM(D58)),UPPER(TRIM(C58))))</f>
        <v/>
      </c>
    </row>
    <row r="59" customFormat="false" ht="15" hidden="false" customHeight="false" outlineLevel="0" collapsed="false">
      <c r="B59" s="17"/>
      <c r="C59" s="5"/>
      <c r="D59" s="5"/>
      <c r="E59" s="5"/>
      <c r="F59" s="5"/>
      <c r="G59" s="5"/>
      <c r="H59" s="16"/>
      <c r="I59" s="7" t="str">
        <f aca="false">IF(OR(G59="",H59=""),"",IFERROR(INDEX('TDS Rates'!$D$6:$D$40,MATCH(G59,'TDS Rates'!$B$6:$B$40,0)),"Check nature"))</f>
        <v/>
      </c>
      <c r="J59" s="7" t="str">
        <f aca="false">IF(OR(G59="",H59=""),"",IFERROR(INDEX('TDS Rates'!$C$6:$C$40,MATCH(G59,'TDS Rates'!$B$6:$B$40,0)),""))</f>
        <v/>
      </c>
      <c r="K59" s="7" t="str">
        <f aca="false">IF(OR(G59="",H59=""),"",IFERROR(INDEX('TDS Rates'!$E$6:$E$40,MATCH(G59,'TDS Rates'!$B$6:$B$40,0)),""))</f>
        <v/>
      </c>
      <c r="L59" s="29" t="str">
        <f aca="false">IF(OR(G59="",H59=""),"",SUMIFS(H$6:H58,AA$6:AA58,AA59,G$6:G58,G59))</f>
        <v/>
      </c>
      <c r="M59" s="29" t="str">
        <f aca="false">IF(OR(G59="",H59=""),"",SUMIFS(H$6:H58,AA$6:AA58,AA59,G$6:G58,G59,N$6:N58,0))</f>
        <v/>
      </c>
      <c r="N59" s="29" t="str">
        <f aca="false">IF(OR(G59="",H59=""),"",IFERROR(IF(INDEX('TDS Rates'!$F$6:$F$40,MATCH(G59,'TDS Rates'!$B$6:$B$40,0))="NONE",H59,IF(INDEX('TDS Rates'!$F$6:$F$40,MATCH(G59,'TDS Rates'!$B$6:$B$40,0))="PER",IF(H59&gt;INDEX('TDS Rates'!$G$6:$G$40,MATCH(G59,'TDS Rates'!$B$6:$B$40,0)),H59,0),IF(INDEX('TDS Rates'!$F$6:$F$40,MATCH(G59,'TDS Rates'!$B$6:$B$40,0))="EXCESS",MAX(0,L59+H59-INDEX('TDS Rates'!$H$6:$H$40,MATCH(G59,'TDS Rates'!$B$6:$B$40,0)))-MAX(0,L59-INDEX('TDS Rates'!$H$6:$H$40,MATCH(G59,'TDS Rates'!$B$6:$B$40,0))),IF(INDEX('TDS Rates'!$F$6:$F$40,MATCH(G59,'TDS Rates'!$B$6:$B$40,0))="SA",IF(L59+H59&gt;INDEX('TDS Rates'!$H$6:$H$40,MATCH(G59,'TDS Rates'!$B$6:$B$40,0)),H59+M59,IF(H59&gt;INDEX('TDS Rates'!$G$6:$G$40,MATCH(G59,'TDS Rates'!$B$6:$B$40,0)),H59,0)),IF(L59+H59&gt;INDEX('TDS Rates'!$H$6:$H$40,MATCH(G59,'TDS Rates'!$B$6:$B$40,0)),H59+M59,0))))),0))</f>
        <v/>
      </c>
      <c r="O59" s="33" t="str">
        <f aca="false">IF(OR(G59="",H59=""),"",IFERROR(IF(F59="No",IF(INDEX('TDS Rates'!$C$6:$C$40,MATCH(G59,'TDS Rates'!$B$6:$B$40,0))="194Q",Settings!$C$14,MAX(Settings!$C$13,IF(E59="Individual / HUF",INDEX('TDS Rates'!$I$6:$I$40,MATCH(G59,'TDS Rates'!$B$6:$B$40,0)),IF(E59="Company",INDEX('TDS Rates'!$J$6:$J$40,MATCH(G59,'TDS Rates'!$B$6:$B$40,0)),INDEX('TDS Rates'!$K$6:$K$40,MATCH(G59,'TDS Rates'!$B$6:$B$40,0)))))),IF(E59="Individual / HUF",INDEX('TDS Rates'!$I$6:$I$40,MATCH(G59,'TDS Rates'!$B$6:$B$40,0)),IF(E59="Company",INDEX('TDS Rates'!$J$6:$J$40,MATCH(G59,'TDS Rates'!$B$6:$B$40,0)),INDEX('TDS Rates'!$K$6:$K$40,MATCH(G59,'TDS Rates'!$B$6:$B$40,0))))),0))</f>
        <v/>
      </c>
      <c r="P59" s="34" t="str">
        <f aca="false">IF(OR(G59="",H59=""),"",ROUND(N59*O59,0))</f>
        <v/>
      </c>
      <c r="Q59" s="27" t="str">
        <f aca="false">IF(OR(G59="",H59=""),"",IFERROR(IF(INDEX('TDS Rates'!$E$6:$E$40,MATCH(G59,'TDS Rates'!$B$6:$B$40,0))="Form 141",EOMONTH(IF(R59="",B59,R59),0)+30,IF(MONTH(IF(R59="",B59,R59))=3,DATE(YEAR(IF(R59="",B59,R59)),4,30),DATE(YEAR(IF(R59="",B59,R59)),MONTH(IF(R59="",B59,R59))+1,7))),""))</f>
        <v/>
      </c>
      <c r="R59" s="17"/>
      <c r="S59" s="17"/>
      <c r="T59" s="5"/>
      <c r="U59" s="28" t="str">
        <f aca="false">IF(OR(G59="",H59=""),"",IF(P59=0,0,IF(IF(R59="",Settings!$C$9,R59)&lt;=B59,0,((YEAR(IF(R59="",Settings!$C$9,R59))-YEAR(B59))*12+MONTH(IF(R59="",Settings!$C$9,R59))-MONTH(B59)+1))))</f>
        <v/>
      </c>
      <c r="V59" s="29" t="str">
        <f aca="false">IF(OR(G59="",H59=""),"",ROUND(P59*Settings!$C$10*U59,0))</f>
        <v/>
      </c>
      <c r="W59" s="28" t="str">
        <f aca="false">IF(OR(G59="",H59=""),"",IF(OR(P59=0,R59=""),0,IF(IF(S59="",Settings!$C$9,S59)&lt;=Q59,0,((YEAR(IF(S59="",Settings!$C$9,S59))-YEAR(R59))*12+MONTH(IF(S59="",Settings!$C$9,S59))-MONTH(R59)+1))))</f>
        <v/>
      </c>
      <c r="X59" s="29" t="str">
        <f aca="false">IF(OR(G59="",H59=""),"",ROUND(P59*Settings!$C$11*W59,0))</f>
        <v/>
      </c>
      <c r="Y59" s="29" t="str">
        <f aca="false">IF(OR(G59="",H59=""),"",V59+X59)</f>
        <v/>
      </c>
      <c r="Z59" s="7" t="str">
        <f aca="false">IF(OR(G59="",H59=""),"",IF(P59=0,"Below threshold",IF(R59="","Not yet deducted",IF(S59="",IF(Settings!$C$9&gt;Q59,"Overdue — pay now","Deducted, due "&amp;TEXT(Q59,"dd-mmm")),IF(S59&lt;=Q59,IF(N(U59)&gt;0,"Deducted late, paid on time","Paid on time"),"Paid late")))))</f>
        <v/>
      </c>
      <c r="AA59" s="35" t="str">
        <f aca="false">IF(OR(G59="",H59=""),"",IF(D59&lt;&gt;"",UPPER(TRIM(D59)),UPPER(TRIM(C59))))</f>
        <v/>
      </c>
    </row>
    <row r="60" customFormat="false" ht="15" hidden="false" customHeight="false" outlineLevel="0" collapsed="false">
      <c r="B60" s="17"/>
      <c r="C60" s="5"/>
      <c r="D60" s="5"/>
      <c r="E60" s="5"/>
      <c r="F60" s="5"/>
      <c r="G60" s="5"/>
      <c r="H60" s="16"/>
      <c r="I60" s="7" t="str">
        <f aca="false">IF(OR(G60="",H60=""),"",IFERROR(INDEX('TDS Rates'!$D$6:$D$40,MATCH(G60,'TDS Rates'!$B$6:$B$40,0)),"Check nature"))</f>
        <v/>
      </c>
      <c r="J60" s="7" t="str">
        <f aca="false">IF(OR(G60="",H60=""),"",IFERROR(INDEX('TDS Rates'!$C$6:$C$40,MATCH(G60,'TDS Rates'!$B$6:$B$40,0)),""))</f>
        <v/>
      </c>
      <c r="K60" s="7" t="str">
        <f aca="false">IF(OR(G60="",H60=""),"",IFERROR(INDEX('TDS Rates'!$E$6:$E$40,MATCH(G60,'TDS Rates'!$B$6:$B$40,0)),""))</f>
        <v/>
      </c>
      <c r="L60" s="29" t="str">
        <f aca="false">IF(OR(G60="",H60=""),"",SUMIFS(H$6:H59,AA$6:AA59,AA60,G$6:G59,G60))</f>
        <v/>
      </c>
      <c r="M60" s="29" t="str">
        <f aca="false">IF(OR(G60="",H60=""),"",SUMIFS(H$6:H59,AA$6:AA59,AA60,G$6:G59,G60,N$6:N59,0))</f>
        <v/>
      </c>
      <c r="N60" s="29" t="str">
        <f aca="false">IF(OR(G60="",H60=""),"",IFERROR(IF(INDEX('TDS Rates'!$F$6:$F$40,MATCH(G60,'TDS Rates'!$B$6:$B$40,0))="NONE",H60,IF(INDEX('TDS Rates'!$F$6:$F$40,MATCH(G60,'TDS Rates'!$B$6:$B$40,0))="PER",IF(H60&gt;INDEX('TDS Rates'!$G$6:$G$40,MATCH(G60,'TDS Rates'!$B$6:$B$40,0)),H60,0),IF(INDEX('TDS Rates'!$F$6:$F$40,MATCH(G60,'TDS Rates'!$B$6:$B$40,0))="EXCESS",MAX(0,L60+H60-INDEX('TDS Rates'!$H$6:$H$40,MATCH(G60,'TDS Rates'!$B$6:$B$40,0)))-MAX(0,L60-INDEX('TDS Rates'!$H$6:$H$40,MATCH(G60,'TDS Rates'!$B$6:$B$40,0))),IF(INDEX('TDS Rates'!$F$6:$F$40,MATCH(G60,'TDS Rates'!$B$6:$B$40,0))="SA",IF(L60+H60&gt;INDEX('TDS Rates'!$H$6:$H$40,MATCH(G60,'TDS Rates'!$B$6:$B$40,0)),H60+M60,IF(H60&gt;INDEX('TDS Rates'!$G$6:$G$40,MATCH(G60,'TDS Rates'!$B$6:$B$40,0)),H60,0)),IF(L60+H60&gt;INDEX('TDS Rates'!$H$6:$H$40,MATCH(G60,'TDS Rates'!$B$6:$B$40,0)),H60+M60,0))))),0))</f>
        <v/>
      </c>
      <c r="O60" s="33" t="str">
        <f aca="false">IF(OR(G60="",H60=""),"",IFERROR(IF(F60="No",IF(INDEX('TDS Rates'!$C$6:$C$40,MATCH(G60,'TDS Rates'!$B$6:$B$40,0))="194Q",Settings!$C$14,MAX(Settings!$C$13,IF(E60="Individual / HUF",INDEX('TDS Rates'!$I$6:$I$40,MATCH(G60,'TDS Rates'!$B$6:$B$40,0)),IF(E60="Company",INDEX('TDS Rates'!$J$6:$J$40,MATCH(G60,'TDS Rates'!$B$6:$B$40,0)),INDEX('TDS Rates'!$K$6:$K$40,MATCH(G60,'TDS Rates'!$B$6:$B$40,0)))))),IF(E60="Individual / HUF",INDEX('TDS Rates'!$I$6:$I$40,MATCH(G60,'TDS Rates'!$B$6:$B$40,0)),IF(E60="Company",INDEX('TDS Rates'!$J$6:$J$40,MATCH(G60,'TDS Rates'!$B$6:$B$40,0)),INDEX('TDS Rates'!$K$6:$K$40,MATCH(G60,'TDS Rates'!$B$6:$B$40,0))))),0))</f>
        <v/>
      </c>
      <c r="P60" s="34" t="str">
        <f aca="false">IF(OR(G60="",H60=""),"",ROUND(N60*O60,0))</f>
        <v/>
      </c>
      <c r="Q60" s="27" t="str">
        <f aca="false">IF(OR(G60="",H60=""),"",IFERROR(IF(INDEX('TDS Rates'!$E$6:$E$40,MATCH(G60,'TDS Rates'!$B$6:$B$40,0))="Form 141",EOMONTH(IF(R60="",B60,R60),0)+30,IF(MONTH(IF(R60="",B60,R60))=3,DATE(YEAR(IF(R60="",B60,R60)),4,30),DATE(YEAR(IF(R60="",B60,R60)),MONTH(IF(R60="",B60,R60))+1,7))),""))</f>
        <v/>
      </c>
      <c r="R60" s="17"/>
      <c r="S60" s="17"/>
      <c r="T60" s="5"/>
      <c r="U60" s="28" t="str">
        <f aca="false">IF(OR(G60="",H60=""),"",IF(P60=0,0,IF(IF(R60="",Settings!$C$9,R60)&lt;=B60,0,((YEAR(IF(R60="",Settings!$C$9,R60))-YEAR(B60))*12+MONTH(IF(R60="",Settings!$C$9,R60))-MONTH(B60)+1))))</f>
        <v/>
      </c>
      <c r="V60" s="29" t="str">
        <f aca="false">IF(OR(G60="",H60=""),"",ROUND(P60*Settings!$C$10*U60,0))</f>
        <v/>
      </c>
      <c r="W60" s="28" t="str">
        <f aca="false">IF(OR(G60="",H60=""),"",IF(OR(P60=0,R60=""),0,IF(IF(S60="",Settings!$C$9,S60)&lt;=Q60,0,((YEAR(IF(S60="",Settings!$C$9,S60))-YEAR(R60))*12+MONTH(IF(S60="",Settings!$C$9,S60))-MONTH(R60)+1))))</f>
        <v/>
      </c>
      <c r="X60" s="29" t="str">
        <f aca="false">IF(OR(G60="",H60=""),"",ROUND(P60*Settings!$C$11*W60,0))</f>
        <v/>
      </c>
      <c r="Y60" s="29" t="str">
        <f aca="false">IF(OR(G60="",H60=""),"",V60+X60)</f>
        <v/>
      </c>
      <c r="Z60" s="7" t="str">
        <f aca="false">IF(OR(G60="",H60=""),"",IF(P60=0,"Below threshold",IF(R60="","Not yet deducted",IF(S60="",IF(Settings!$C$9&gt;Q60,"Overdue — pay now","Deducted, due "&amp;TEXT(Q60,"dd-mmm")),IF(S60&lt;=Q60,IF(N(U60)&gt;0,"Deducted late, paid on time","Paid on time"),"Paid late")))))</f>
        <v/>
      </c>
      <c r="AA60" s="35" t="str">
        <f aca="false">IF(OR(G60="",H60=""),"",IF(D60&lt;&gt;"",UPPER(TRIM(D60)),UPPER(TRIM(C60))))</f>
        <v/>
      </c>
    </row>
    <row r="61" customFormat="false" ht="15" hidden="false" customHeight="false" outlineLevel="0" collapsed="false">
      <c r="B61" s="17"/>
      <c r="C61" s="5"/>
      <c r="D61" s="5"/>
      <c r="E61" s="5"/>
      <c r="F61" s="5"/>
      <c r="G61" s="5"/>
      <c r="H61" s="16"/>
      <c r="I61" s="7" t="str">
        <f aca="false">IF(OR(G61="",H61=""),"",IFERROR(INDEX('TDS Rates'!$D$6:$D$40,MATCH(G61,'TDS Rates'!$B$6:$B$40,0)),"Check nature"))</f>
        <v/>
      </c>
      <c r="J61" s="7" t="str">
        <f aca="false">IF(OR(G61="",H61=""),"",IFERROR(INDEX('TDS Rates'!$C$6:$C$40,MATCH(G61,'TDS Rates'!$B$6:$B$40,0)),""))</f>
        <v/>
      </c>
      <c r="K61" s="7" t="str">
        <f aca="false">IF(OR(G61="",H61=""),"",IFERROR(INDEX('TDS Rates'!$E$6:$E$40,MATCH(G61,'TDS Rates'!$B$6:$B$40,0)),""))</f>
        <v/>
      </c>
      <c r="L61" s="29" t="str">
        <f aca="false">IF(OR(G61="",H61=""),"",SUMIFS(H$6:H60,AA$6:AA60,AA61,G$6:G60,G61))</f>
        <v/>
      </c>
      <c r="M61" s="29" t="str">
        <f aca="false">IF(OR(G61="",H61=""),"",SUMIFS(H$6:H60,AA$6:AA60,AA61,G$6:G60,G61,N$6:N60,0))</f>
        <v/>
      </c>
      <c r="N61" s="29" t="str">
        <f aca="false">IF(OR(G61="",H61=""),"",IFERROR(IF(INDEX('TDS Rates'!$F$6:$F$40,MATCH(G61,'TDS Rates'!$B$6:$B$40,0))="NONE",H61,IF(INDEX('TDS Rates'!$F$6:$F$40,MATCH(G61,'TDS Rates'!$B$6:$B$40,0))="PER",IF(H61&gt;INDEX('TDS Rates'!$G$6:$G$40,MATCH(G61,'TDS Rates'!$B$6:$B$40,0)),H61,0),IF(INDEX('TDS Rates'!$F$6:$F$40,MATCH(G61,'TDS Rates'!$B$6:$B$40,0))="EXCESS",MAX(0,L61+H61-INDEX('TDS Rates'!$H$6:$H$40,MATCH(G61,'TDS Rates'!$B$6:$B$40,0)))-MAX(0,L61-INDEX('TDS Rates'!$H$6:$H$40,MATCH(G61,'TDS Rates'!$B$6:$B$40,0))),IF(INDEX('TDS Rates'!$F$6:$F$40,MATCH(G61,'TDS Rates'!$B$6:$B$40,0))="SA",IF(L61+H61&gt;INDEX('TDS Rates'!$H$6:$H$40,MATCH(G61,'TDS Rates'!$B$6:$B$40,0)),H61+M61,IF(H61&gt;INDEX('TDS Rates'!$G$6:$G$40,MATCH(G61,'TDS Rates'!$B$6:$B$40,0)),H61,0)),IF(L61+H61&gt;INDEX('TDS Rates'!$H$6:$H$40,MATCH(G61,'TDS Rates'!$B$6:$B$40,0)),H61+M61,0))))),0))</f>
        <v/>
      </c>
      <c r="O61" s="33" t="str">
        <f aca="false">IF(OR(G61="",H61=""),"",IFERROR(IF(F61="No",IF(INDEX('TDS Rates'!$C$6:$C$40,MATCH(G61,'TDS Rates'!$B$6:$B$40,0))="194Q",Settings!$C$14,MAX(Settings!$C$13,IF(E61="Individual / HUF",INDEX('TDS Rates'!$I$6:$I$40,MATCH(G61,'TDS Rates'!$B$6:$B$40,0)),IF(E61="Company",INDEX('TDS Rates'!$J$6:$J$40,MATCH(G61,'TDS Rates'!$B$6:$B$40,0)),INDEX('TDS Rates'!$K$6:$K$40,MATCH(G61,'TDS Rates'!$B$6:$B$40,0)))))),IF(E61="Individual / HUF",INDEX('TDS Rates'!$I$6:$I$40,MATCH(G61,'TDS Rates'!$B$6:$B$40,0)),IF(E61="Company",INDEX('TDS Rates'!$J$6:$J$40,MATCH(G61,'TDS Rates'!$B$6:$B$40,0)),INDEX('TDS Rates'!$K$6:$K$40,MATCH(G61,'TDS Rates'!$B$6:$B$40,0))))),0))</f>
        <v/>
      </c>
      <c r="P61" s="34" t="str">
        <f aca="false">IF(OR(G61="",H61=""),"",ROUND(N61*O61,0))</f>
        <v/>
      </c>
      <c r="Q61" s="27" t="str">
        <f aca="false">IF(OR(G61="",H61=""),"",IFERROR(IF(INDEX('TDS Rates'!$E$6:$E$40,MATCH(G61,'TDS Rates'!$B$6:$B$40,0))="Form 141",EOMONTH(IF(R61="",B61,R61),0)+30,IF(MONTH(IF(R61="",B61,R61))=3,DATE(YEAR(IF(R61="",B61,R61)),4,30),DATE(YEAR(IF(R61="",B61,R61)),MONTH(IF(R61="",B61,R61))+1,7))),""))</f>
        <v/>
      </c>
      <c r="R61" s="17"/>
      <c r="S61" s="17"/>
      <c r="T61" s="5"/>
      <c r="U61" s="28" t="str">
        <f aca="false">IF(OR(G61="",H61=""),"",IF(P61=0,0,IF(IF(R61="",Settings!$C$9,R61)&lt;=B61,0,((YEAR(IF(R61="",Settings!$C$9,R61))-YEAR(B61))*12+MONTH(IF(R61="",Settings!$C$9,R61))-MONTH(B61)+1))))</f>
        <v/>
      </c>
      <c r="V61" s="29" t="str">
        <f aca="false">IF(OR(G61="",H61=""),"",ROUND(P61*Settings!$C$10*U61,0))</f>
        <v/>
      </c>
      <c r="W61" s="28" t="str">
        <f aca="false">IF(OR(G61="",H61=""),"",IF(OR(P61=0,R61=""),0,IF(IF(S61="",Settings!$C$9,S61)&lt;=Q61,0,((YEAR(IF(S61="",Settings!$C$9,S61))-YEAR(R61))*12+MONTH(IF(S61="",Settings!$C$9,S61))-MONTH(R61)+1))))</f>
        <v/>
      </c>
      <c r="X61" s="29" t="str">
        <f aca="false">IF(OR(G61="",H61=""),"",ROUND(P61*Settings!$C$11*W61,0))</f>
        <v/>
      </c>
      <c r="Y61" s="29" t="str">
        <f aca="false">IF(OR(G61="",H61=""),"",V61+X61)</f>
        <v/>
      </c>
      <c r="Z61" s="7" t="str">
        <f aca="false">IF(OR(G61="",H61=""),"",IF(P61=0,"Below threshold",IF(R61="","Not yet deducted",IF(S61="",IF(Settings!$C$9&gt;Q61,"Overdue — pay now","Deducted, due "&amp;TEXT(Q61,"dd-mmm")),IF(S61&lt;=Q61,IF(N(U61)&gt;0,"Deducted late, paid on time","Paid on time"),"Paid late")))))</f>
        <v/>
      </c>
      <c r="AA61" s="35" t="str">
        <f aca="false">IF(OR(G61="",H61=""),"",IF(D61&lt;&gt;"",UPPER(TRIM(D61)),UPPER(TRIM(C61))))</f>
        <v/>
      </c>
    </row>
    <row r="62" customFormat="false" ht="15" hidden="false" customHeight="false" outlineLevel="0" collapsed="false">
      <c r="B62" s="17"/>
      <c r="C62" s="5"/>
      <c r="D62" s="5"/>
      <c r="E62" s="5"/>
      <c r="F62" s="5"/>
      <c r="G62" s="5"/>
      <c r="H62" s="16"/>
      <c r="I62" s="7" t="str">
        <f aca="false">IF(OR(G62="",H62=""),"",IFERROR(INDEX('TDS Rates'!$D$6:$D$40,MATCH(G62,'TDS Rates'!$B$6:$B$40,0)),"Check nature"))</f>
        <v/>
      </c>
      <c r="J62" s="7" t="str">
        <f aca="false">IF(OR(G62="",H62=""),"",IFERROR(INDEX('TDS Rates'!$C$6:$C$40,MATCH(G62,'TDS Rates'!$B$6:$B$40,0)),""))</f>
        <v/>
      </c>
      <c r="K62" s="7" t="str">
        <f aca="false">IF(OR(G62="",H62=""),"",IFERROR(INDEX('TDS Rates'!$E$6:$E$40,MATCH(G62,'TDS Rates'!$B$6:$B$40,0)),""))</f>
        <v/>
      </c>
      <c r="L62" s="29" t="str">
        <f aca="false">IF(OR(G62="",H62=""),"",SUMIFS(H$6:H61,AA$6:AA61,AA62,G$6:G61,G62))</f>
        <v/>
      </c>
      <c r="M62" s="29" t="str">
        <f aca="false">IF(OR(G62="",H62=""),"",SUMIFS(H$6:H61,AA$6:AA61,AA62,G$6:G61,G62,N$6:N61,0))</f>
        <v/>
      </c>
      <c r="N62" s="29" t="str">
        <f aca="false">IF(OR(G62="",H62=""),"",IFERROR(IF(INDEX('TDS Rates'!$F$6:$F$40,MATCH(G62,'TDS Rates'!$B$6:$B$40,0))="NONE",H62,IF(INDEX('TDS Rates'!$F$6:$F$40,MATCH(G62,'TDS Rates'!$B$6:$B$40,0))="PER",IF(H62&gt;INDEX('TDS Rates'!$G$6:$G$40,MATCH(G62,'TDS Rates'!$B$6:$B$40,0)),H62,0),IF(INDEX('TDS Rates'!$F$6:$F$40,MATCH(G62,'TDS Rates'!$B$6:$B$40,0))="EXCESS",MAX(0,L62+H62-INDEX('TDS Rates'!$H$6:$H$40,MATCH(G62,'TDS Rates'!$B$6:$B$40,0)))-MAX(0,L62-INDEX('TDS Rates'!$H$6:$H$40,MATCH(G62,'TDS Rates'!$B$6:$B$40,0))),IF(INDEX('TDS Rates'!$F$6:$F$40,MATCH(G62,'TDS Rates'!$B$6:$B$40,0))="SA",IF(L62+H62&gt;INDEX('TDS Rates'!$H$6:$H$40,MATCH(G62,'TDS Rates'!$B$6:$B$40,0)),H62+M62,IF(H62&gt;INDEX('TDS Rates'!$G$6:$G$40,MATCH(G62,'TDS Rates'!$B$6:$B$40,0)),H62,0)),IF(L62+H62&gt;INDEX('TDS Rates'!$H$6:$H$40,MATCH(G62,'TDS Rates'!$B$6:$B$40,0)),H62+M62,0))))),0))</f>
        <v/>
      </c>
      <c r="O62" s="33" t="str">
        <f aca="false">IF(OR(G62="",H62=""),"",IFERROR(IF(F62="No",IF(INDEX('TDS Rates'!$C$6:$C$40,MATCH(G62,'TDS Rates'!$B$6:$B$40,0))="194Q",Settings!$C$14,MAX(Settings!$C$13,IF(E62="Individual / HUF",INDEX('TDS Rates'!$I$6:$I$40,MATCH(G62,'TDS Rates'!$B$6:$B$40,0)),IF(E62="Company",INDEX('TDS Rates'!$J$6:$J$40,MATCH(G62,'TDS Rates'!$B$6:$B$40,0)),INDEX('TDS Rates'!$K$6:$K$40,MATCH(G62,'TDS Rates'!$B$6:$B$40,0)))))),IF(E62="Individual / HUF",INDEX('TDS Rates'!$I$6:$I$40,MATCH(G62,'TDS Rates'!$B$6:$B$40,0)),IF(E62="Company",INDEX('TDS Rates'!$J$6:$J$40,MATCH(G62,'TDS Rates'!$B$6:$B$40,0)),INDEX('TDS Rates'!$K$6:$K$40,MATCH(G62,'TDS Rates'!$B$6:$B$40,0))))),0))</f>
        <v/>
      </c>
      <c r="P62" s="34" t="str">
        <f aca="false">IF(OR(G62="",H62=""),"",ROUND(N62*O62,0))</f>
        <v/>
      </c>
      <c r="Q62" s="27" t="str">
        <f aca="false">IF(OR(G62="",H62=""),"",IFERROR(IF(INDEX('TDS Rates'!$E$6:$E$40,MATCH(G62,'TDS Rates'!$B$6:$B$40,0))="Form 141",EOMONTH(IF(R62="",B62,R62),0)+30,IF(MONTH(IF(R62="",B62,R62))=3,DATE(YEAR(IF(R62="",B62,R62)),4,30),DATE(YEAR(IF(R62="",B62,R62)),MONTH(IF(R62="",B62,R62))+1,7))),""))</f>
        <v/>
      </c>
      <c r="R62" s="17"/>
      <c r="S62" s="17"/>
      <c r="T62" s="5"/>
      <c r="U62" s="28" t="str">
        <f aca="false">IF(OR(G62="",H62=""),"",IF(P62=0,0,IF(IF(R62="",Settings!$C$9,R62)&lt;=B62,0,((YEAR(IF(R62="",Settings!$C$9,R62))-YEAR(B62))*12+MONTH(IF(R62="",Settings!$C$9,R62))-MONTH(B62)+1))))</f>
        <v/>
      </c>
      <c r="V62" s="29" t="str">
        <f aca="false">IF(OR(G62="",H62=""),"",ROUND(P62*Settings!$C$10*U62,0))</f>
        <v/>
      </c>
      <c r="W62" s="28" t="str">
        <f aca="false">IF(OR(G62="",H62=""),"",IF(OR(P62=0,R62=""),0,IF(IF(S62="",Settings!$C$9,S62)&lt;=Q62,0,((YEAR(IF(S62="",Settings!$C$9,S62))-YEAR(R62))*12+MONTH(IF(S62="",Settings!$C$9,S62))-MONTH(R62)+1))))</f>
        <v/>
      </c>
      <c r="X62" s="29" t="str">
        <f aca="false">IF(OR(G62="",H62=""),"",ROUND(P62*Settings!$C$11*W62,0))</f>
        <v/>
      </c>
      <c r="Y62" s="29" t="str">
        <f aca="false">IF(OR(G62="",H62=""),"",V62+X62)</f>
        <v/>
      </c>
      <c r="Z62" s="7" t="str">
        <f aca="false">IF(OR(G62="",H62=""),"",IF(P62=0,"Below threshold",IF(R62="","Not yet deducted",IF(S62="",IF(Settings!$C$9&gt;Q62,"Overdue — pay now","Deducted, due "&amp;TEXT(Q62,"dd-mmm")),IF(S62&lt;=Q62,IF(N(U62)&gt;0,"Deducted late, paid on time","Paid on time"),"Paid late")))))</f>
        <v/>
      </c>
      <c r="AA62" s="35" t="str">
        <f aca="false">IF(OR(G62="",H62=""),"",IF(D62&lt;&gt;"",UPPER(TRIM(D62)),UPPER(TRIM(C62))))</f>
        <v/>
      </c>
    </row>
    <row r="63" customFormat="false" ht="15" hidden="false" customHeight="false" outlineLevel="0" collapsed="false">
      <c r="B63" s="17"/>
      <c r="C63" s="5"/>
      <c r="D63" s="5"/>
      <c r="E63" s="5"/>
      <c r="F63" s="5"/>
      <c r="G63" s="5"/>
      <c r="H63" s="16"/>
      <c r="I63" s="7" t="str">
        <f aca="false">IF(OR(G63="",H63=""),"",IFERROR(INDEX('TDS Rates'!$D$6:$D$40,MATCH(G63,'TDS Rates'!$B$6:$B$40,0)),"Check nature"))</f>
        <v/>
      </c>
      <c r="J63" s="7" t="str">
        <f aca="false">IF(OR(G63="",H63=""),"",IFERROR(INDEX('TDS Rates'!$C$6:$C$40,MATCH(G63,'TDS Rates'!$B$6:$B$40,0)),""))</f>
        <v/>
      </c>
      <c r="K63" s="7" t="str">
        <f aca="false">IF(OR(G63="",H63=""),"",IFERROR(INDEX('TDS Rates'!$E$6:$E$40,MATCH(G63,'TDS Rates'!$B$6:$B$40,0)),""))</f>
        <v/>
      </c>
      <c r="L63" s="29" t="str">
        <f aca="false">IF(OR(G63="",H63=""),"",SUMIFS(H$6:H62,AA$6:AA62,AA63,G$6:G62,G63))</f>
        <v/>
      </c>
      <c r="M63" s="29" t="str">
        <f aca="false">IF(OR(G63="",H63=""),"",SUMIFS(H$6:H62,AA$6:AA62,AA63,G$6:G62,G63,N$6:N62,0))</f>
        <v/>
      </c>
      <c r="N63" s="29" t="str">
        <f aca="false">IF(OR(G63="",H63=""),"",IFERROR(IF(INDEX('TDS Rates'!$F$6:$F$40,MATCH(G63,'TDS Rates'!$B$6:$B$40,0))="NONE",H63,IF(INDEX('TDS Rates'!$F$6:$F$40,MATCH(G63,'TDS Rates'!$B$6:$B$40,0))="PER",IF(H63&gt;INDEX('TDS Rates'!$G$6:$G$40,MATCH(G63,'TDS Rates'!$B$6:$B$40,0)),H63,0),IF(INDEX('TDS Rates'!$F$6:$F$40,MATCH(G63,'TDS Rates'!$B$6:$B$40,0))="EXCESS",MAX(0,L63+H63-INDEX('TDS Rates'!$H$6:$H$40,MATCH(G63,'TDS Rates'!$B$6:$B$40,0)))-MAX(0,L63-INDEX('TDS Rates'!$H$6:$H$40,MATCH(G63,'TDS Rates'!$B$6:$B$40,0))),IF(INDEX('TDS Rates'!$F$6:$F$40,MATCH(G63,'TDS Rates'!$B$6:$B$40,0))="SA",IF(L63+H63&gt;INDEX('TDS Rates'!$H$6:$H$40,MATCH(G63,'TDS Rates'!$B$6:$B$40,0)),H63+M63,IF(H63&gt;INDEX('TDS Rates'!$G$6:$G$40,MATCH(G63,'TDS Rates'!$B$6:$B$40,0)),H63,0)),IF(L63+H63&gt;INDEX('TDS Rates'!$H$6:$H$40,MATCH(G63,'TDS Rates'!$B$6:$B$40,0)),H63+M63,0))))),0))</f>
        <v/>
      </c>
      <c r="O63" s="33" t="str">
        <f aca="false">IF(OR(G63="",H63=""),"",IFERROR(IF(F63="No",IF(INDEX('TDS Rates'!$C$6:$C$40,MATCH(G63,'TDS Rates'!$B$6:$B$40,0))="194Q",Settings!$C$14,MAX(Settings!$C$13,IF(E63="Individual / HUF",INDEX('TDS Rates'!$I$6:$I$40,MATCH(G63,'TDS Rates'!$B$6:$B$40,0)),IF(E63="Company",INDEX('TDS Rates'!$J$6:$J$40,MATCH(G63,'TDS Rates'!$B$6:$B$40,0)),INDEX('TDS Rates'!$K$6:$K$40,MATCH(G63,'TDS Rates'!$B$6:$B$40,0)))))),IF(E63="Individual / HUF",INDEX('TDS Rates'!$I$6:$I$40,MATCH(G63,'TDS Rates'!$B$6:$B$40,0)),IF(E63="Company",INDEX('TDS Rates'!$J$6:$J$40,MATCH(G63,'TDS Rates'!$B$6:$B$40,0)),INDEX('TDS Rates'!$K$6:$K$40,MATCH(G63,'TDS Rates'!$B$6:$B$40,0))))),0))</f>
        <v/>
      </c>
      <c r="P63" s="34" t="str">
        <f aca="false">IF(OR(G63="",H63=""),"",ROUND(N63*O63,0))</f>
        <v/>
      </c>
      <c r="Q63" s="27" t="str">
        <f aca="false">IF(OR(G63="",H63=""),"",IFERROR(IF(INDEX('TDS Rates'!$E$6:$E$40,MATCH(G63,'TDS Rates'!$B$6:$B$40,0))="Form 141",EOMONTH(IF(R63="",B63,R63),0)+30,IF(MONTH(IF(R63="",B63,R63))=3,DATE(YEAR(IF(R63="",B63,R63)),4,30),DATE(YEAR(IF(R63="",B63,R63)),MONTH(IF(R63="",B63,R63))+1,7))),""))</f>
        <v/>
      </c>
      <c r="R63" s="17"/>
      <c r="S63" s="17"/>
      <c r="T63" s="5"/>
      <c r="U63" s="28" t="str">
        <f aca="false">IF(OR(G63="",H63=""),"",IF(P63=0,0,IF(IF(R63="",Settings!$C$9,R63)&lt;=B63,0,((YEAR(IF(R63="",Settings!$C$9,R63))-YEAR(B63))*12+MONTH(IF(R63="",Settings!$C$9,R63))-MONTH(B63)+1))))</f>
        <v/>
      </c>
      <c r="V63" s="29" t="str">
        <f aca="false">IF(OR(G63="",H63=""),"",ROUND(P63*Settings!$C$10*U63,0))</f>
        <v/>
      </c>
      <c r="W63" s="28" t="str">
        <f aca="false">IF(OR(G63="",H63=""),"",IF(OR(P63=0,R63=""),0,IF(IF(S63="",Settings!$C$9,S63)&lt;=Q63,0,((YEAR(IF(S63="",Settings!$C$9,S63))-YEAR(R63))*12+MONTH(IF(S63="",Settings!$C$9,S63))-MONTH(R63)+1))))</f>
        <v/>
      </c>
      <c r="X63" s="29" t="str">
        <f aca="false">IF(OR(G63="",H63=""),"",ROUND(P63*Settings!$C$11*W63,0))</f>
        <v/>
      </c>
      <c r="Y63" s="29" t="str">
        <f aca="false">IF(OR(G63="",H63=""),"",V63+X63)</f>
        <v/>
      </c>
      <c r="Z63" s="7" t="str">
        <f aca="false">IF(OR(G63="",H63=""),"",IF(P63=0,"Below threshold",IF(R63="","Not yet deducted",IF(S63="",IF(Settings!$C$9&gt;Q63,"Overdue — pay now","Deducted, due "&amp;TEXT(Q63,"dd-mmm")),IF(S63&lt;=Q63,IF(N(U63)&gt;0,"Deducted late, paid on time","Paid on time"),"Paid late")))))</f>
        <v/>
      </c>
      <c r="AA63" s="35" t="str">
        <f aca="false">IF(OR(G63="",H63=""),"",IF(D63&lt;&gt;"",UPPER(TRIM(D63)),UPPER(TRIM(C63))))</f>
        <v/>
      </c>
    </row>
    <row r="64" customFormat="false" ht="15" hidden="false" customHeight="false" outlineLevel="0" collapsed="false">
      <c r="B64" s="17"/>
      <c r="C64" s="5"/>
      <c r="D64" s="5"/>
      <c r="E64" s="5"/>
      <c r="F64" s="5"/>
      <c r="G64" s="5"/>
      <c r="H64" s="16"/>
      <c r="I64" s="7" t="str">
        <f aca="false">IF(OR(G64="",H64=""),"",IFERROR(INDEX('TDS Rates'!$D$6:$D$40,MATCH(G64,'TDS Rates'!$B$6:$B$40,0)),"Check nature"))</f>
        <v/>
      </c>
      <c r="J64" s="7" t="str">
        <f aca="false">IF(OR(G64="",H64=""),"",IFERROR(INDEX('TDS Rates'!$C$6:$C$40,MATCH(G64,'TDS Rates'!$B$6:$B$40,0)),""))</f>
        <v/>
      </c>
      <c r="K64" s="7" t="str">
        <f aca="false">IF(OR(G64="",H64=""),"",IFERROR(INDEX('TDS Rates'!$E$6:$E$40,MATCH(G64,'TDS Rates'!$B$6:$B$40,0)),""))</f>
        <v/>
      </c>
      <c r="L64" s="29" t="str">
        <f aca="false">IF(OR(G64="",H64=""),"",SUMIFS(H$6:H63,AA$6:AA63,AA64,G$6:G63,G64))</f>
        <v/>
      </c>
      <c r="M64" s="29" t="str">
        <f aca="false">IF(OR(G64="",H64=""),"",SUMIFS(H$6:H63,AA$6:AA63,AA64,G$6:G63,G64,N$6:N63,0))</f>
        <v/>
      </c>
      <c r="N64" s="29" t="str">
        <f aca="false">IF(OR(G64="",H64=""),"",IFERROR(IF(INDEX('TDS Rates'!$F$6:$F$40,MATCH(G64,'TDS Rates'!$B$6:$B$40,0))="NONE",H64,IF(INDEX('TDS Rates'!$F$6:$F$40,MATCH(G64,'TDS Rates'!$B$6:$B$40,0))="PER",IF(H64&gt;INDEX('TDS Rates'!$G$6:$G$40,MATCH(G64,'TDS Rates'!$B$6:$B$40,0)),H64,0),IF(INDEX('TDS Rates'!$F$6:$F$40,MATCH(G64,'TDS Rates'!$B$6:$B$40,0))="EXCESS",MAX(0,L64+H64-INDEX('TDS Rates'!$H$6:$H$40,MATCH(G64,'TDS Rates'!$B$6:$B$40,0)))-MAX(0,L64-INDEX('TDS Rates'!$H$6:$H$40,MATCH(G64,'TDS Rates'!$B$6:$B$40,0))),IF(INDEX('TDS Rates'!$F$6:$F$40,MATCH(G64,'TDS Rates'!$B$6:$B$40,0))="SA",IF(L64+H64&gt;INDEX('TDS Rates'!$H$6:$H$40,MATCH(G64,'TDS Rates'!$B$6:$B$40,0)),H64+M64,IF(H64&gt;INDEX('TDS Rates'!$G$6:$G$40,MATCH(G64,'TDS Rates'!$B$6:$B$40,0)),H64,0)),IF(L64+H64&gt;INDEX('TDS Rates'!$H$6:$H$40,MATCH(G64,'TDS Rates'!$B$6:$B$40,0)),H64+M64,0))))),0))</f>
        <v/>
      </c>
      <c r="O64" s="33" t="str">
        <f aca="false">IF(OR(G64="",H64=""),"",IFERROR(IF(F64="No",IF(INDEX('TDS Rates'!$C$6:$C$40,MATCH(G64,'TDS Rates'!$B$6:$B$40,0))="194Q",Settings!$C$14,MAX(Settings!$C$13,IF(E64="Individual / HUF",INDEX('TDS Rates'!$I$6:$I$40,MATCH(G64,'TDS Rates'!$B$6:$B$40,0)),IF(E64="Company",INDEX('TDS Rates'!$J$6:$J$40,MATCH(G64,'TDS Rates'!$B$6:$B$40,0)),INDEX('TDS Rates'!$K$6:$K$40,MATCH(G64,'TDS Rates'!$B$6:$B$40,0)))))),IF(E64="Individual / HUF",INDEX('TDS Rates'!$I$6:$I$40,MATCH(G64,'TDS Rates'!$B$6:$B$40,0)),IF(E64="Company",INDEX('TDS Rates'!$J$6:$J$40,MATCH(G64,'TDS Rates'!$B$6:$B$40,0)),INDEX('TDS Rates'!$K$6:$K$40,MATCH(G64,'TDS Rates'!$B$6:$B$40,0))))),0))</f>
        <v/>
      </c>
      <c r="P64" s="34" t="str">
        <f aca="false">IF(OR(G64="",H64=""),"",ROUND(N64*O64,0))</f>
        <v/>
      </c>
      <c r="Q64" s="27" t="str">
        <f aca="false">IF(OR(G64="",H64=""),"",IFERROR(IF(INDEX('TDS Rates'!$E$6:$E$40,MATCH(G64,'TDS Rates'!$B$6:$B$40,0))="Form 141",EOMONTH(IF(R64="",B64,R64),0)+30,IF(MONTH(IF(R64="",B64,R64))=3,DATE(YEAR(IF(R64="",B64,R64)),4,30),DATE(YEAR(IF(R64="",B64,R64)),MONTH(IF(R64="",B64,R64))+1,7))),""))</f>
        <v/>
      </c>
      <c r="R64" s="17"/>
      <c r="S64" s="17"/>
      <c r="T64" s="5"/>
      <c r="U64" s="28" t="str">
        <f aca="false">IF(OR(G64="",H64=""),"",IF(P64=0,0,IF(IF(R64="",Settings!$C$9,R64)&lt;=B64,0,((YEAR(IF(R64="",Settings!$C$9,R64))-YEAR(B64))*12+MONTH(IF(R64="",Settings!$C$9,R64))-MONTH(B64)+1))))</f>
        <v/>
      </c>
      <c r="V64" s="29" t="str">
        <f aca="false">IF(OR(G64="",H64=""),"",ROUND(P64*Settings!$C$10*U64,0))</f>
        <v/>
      </c>
      <c r="W64" s="28" t="str">
        <f aca="false">IF(OR(G64="",H64=""),"",IF(OR(P64=0,R64=""),0,IF(IF(S64="",Settings!$C$9,S64)&lt;=Q64,0,((YEAR(IF(S64="",Settings!$C$9,S64))-YEAR(R64))*12+MONTH(IF(S64="",Settings!$C$9,S64))-MONTH(R64)+1))))</f>
        <v/>
      </c>
      <c r="X64" s="29" t="str">
        <f aca="false">IF(OR(G64="",H64=""),"",ROUND(P64*Settings!$C$11*W64,0))</f>
        <v/>
      </c>
      <c r="Y64" s="29" t="str">
        <f aca="false">IF(OR(G64="",H64=""),"",V64+X64)</f>
        <v/>
      </c>
      <c r="Z64" s="7" t="str">
        <f aca="false">IF(OR(G64="",H64=""),"",IF(P64=0,"Below threshold",IF(R64="","Not yet deducted",IF(S64="",IF(Settings!$C$9&gt;Q64,"Overdue — pay now","Deducted, due "&amp;TEXT(Q64,"dd-mmm")),IF(S64&lt;=Q64,IF(N(U64)&gt;0,"Deducted late, paid on time","Paid on time"),"Paid late")))))</f>
        <v/>
      </c>
      <c r="AA64" s="35" t="str">
        <f aca="false">IF(OR(G64="",H64=""),"",IF(D64&lt;&gt;"",UPPER(TRIM(D64)),UPPER(TRIM(C64))))</f>
        <v/>
      </c>
    </row>
    <row r="65" customFormat="false" ht="15" hidden="false" customHeight="false" outlineLevel="0" collapsed="false">
      <c r="B65" s="17"/>
      <c r="C65" s="5"/>
      <c r="D65" s="5"/>
      <c r="E65" s="5"/>
      <c r="F65" s="5"/>
      <c r="G65" s="5"/>
      <c r="H65" s="16"/>
      <c r="I65" s="7" t="str">
        <f aca="false">IF(OR(G65="",H65=""),"",IFERROR(INDEX('TDS Rates'!$D$6:$D$40,MATCH(G65,'TDS Rates'!$B$6:$B$40,0)),"Check nature"))</f>
        <v/>
      </c>
      <c r="J65" s="7" t="str">
        <f aca="false">IF(OR(G65="",H65=""),"",IFERROR(INDEX('TDS Rates'!$C$6:$C$40,MATCH(G65,'TDS Rates'!$B$6:$B$40,0)),""))</f>
        <v/>
      </c>
      <c r="K65" s="7" t="str">
        <f aca="false">IF(OR(G65="",H65=""),"",IFERROR(INDEX('TDS Rates'!$E$6:$E$40,MATCH(G65,'TDS Rates'!$B$6:$B$40,0)),""))</f>
        <v/>
      </c>
      <c r="L65" s="29" t="str">
        <f aca="false">IF(OR(G65="",H65=""),"",SUMIFS(H$6:H64,AA$6:AA64,AA65,G$6:G64,G65))</f>
        <v/>
      </c>
      <c r="M65" s="29" t="str">
        <f aca="false">IF(OR(G65="",H65=""),"",SUMIFS(H$6:H64,AA$6:AA64,AA65,G$6:G64,G65,N$6:N64,0))</f>
        <v/>
      </c>
      <c r="N65" s="29" t="str">
        <f aca="false">IF(OR(G65="",H65=""),"",IFERROR(IF(INDEX('TDS Rates'!$F$6:$F$40,MATCH(G65,'TDS Rates'!$B$6:$B$40,0))="NONE",H65,IF(INDEX('TDS Rates'!$F$6:$F$40,MATCH(G65,'TDS Rates'!$B$6:$B$40,0))="PER",IF(H65&gt;INDEX('TDS Rates'!$G$6:$G$40,MATCH(G65,'TDS Rates'!$B$6:$B$40,0)),H65,0),IF(INDEX('TDS Rates'!$F$6:$F$40,MATCH(G65,'TDS Rates'!$B$6:$B$40,0))="EXCESS",MAX(0,L65+H65-INDEX('TDS Rates'!$H$6:$H$40,MATCH(G65,'TDS Rates'!$B$6:$B$40,0)))-MAX(0,L65-INDEX('TDS Rates'!$H$6:$H$40,MATCH(G65,'TDS Rates'!$B$6:$B$40,0))),IF(INDEX('TDS Rates'!$F$6:$F$40,MATCH(G65,'TDS Rates'!$B$6:$B$40,0))="SA",IF(L65+H65&gt;INDEX('TDS Rates'!$H$6:$H$40,MATCH(G65,'TDS Rates'!$B$6:$B$40,0)),H65+M65,IF(H65&gt;INDEX('TDS Rates'!$G$6:$G$40,MATCH(G65,'TDS Rates'!$B$6:$B$40,0)),H65,0)),IF(L65+H65&gt;INDEX('TDS Rates'!$H$6:$H$40,MATCH(G65,'TDS Rates'!$B$6:$B$40,0)),H65+M65,0))))),0))</f>
        <v/>
      </c>
      <c r="O65" s="33" t="str">
        <f aca="false">IF(OR(G65="",H65=""),"",IFERROR(IF(F65="No",IF(INDEX('TDS Rates'!$C$6:$C$40,MATCH(G65,'TDS Rates'!$B$6:$B$40,0))="194Q",Settings!$C$14,MAX(Settings!$C$13,IF(E65="Individual / HUF",INDEX('TDS Rates'!$I$6:$I$40,MATCH(G65,'TDS Rates'!$B$6:$B$40,0)),IF(E65="Company",INDEX('TDS Rates'!$J$6:$J$40,MATCH(G65,'TDS Rates'!$B$6:$B$40,0)),INDEX('TDS Rates'!$K$6:$K$40,MATCH(G65,'TDS Rates'!$B$6:$B$40,0)))))),IF(E65="Individual / HUF",INDEX('TDS Rates'!$I$6:$I$40,MATCH(G65,'TDS Rates'!$B$6:$B$40,0)),IF(E65="Company",INDEX('TDS Rates'!$J$6:$J$40,MATCH(G65,'TDS Rates'!$B$6:$B$40,0)),INDEX('TDS Rates'!$K$6:$K$40,MATCH(G65,'TDS Rates'!$B$6:$B$40,0))))),0))</f>
        <v/>
      </c>
      <c r="P65" s="34" t="str">
        <f aca="false">IF(OR(G65="",H65=""),"",ROUND(N65*O65,0))</f>
        <v/>
      </c>
      <c r="Q65" s="27" t="str">
        <f aca="false">IF(OR(G65="",H65=""),"",IFERROR(IF(INDEX('TDS Rates'!$E$6:$E$40,MATCH(G65,'TDS Rates'!$B$6:$B$40,0))="Form 141",EOMONTH(IF(R65="",B65,R65),0)+30,IF(MONTH(IF(R65="",B65,R65))=3,DATE(YEAR(IF(R65="",B65,R65)),4,30),DATE(YEAR(IF(R65="",B65,R65)),MONTH(IF(R65="",B65,R65))+1,7))),""))</f>
        <v/>
      </c>
      <c r="R65" s="17"/>
      <c r="S65" s="17"/>
      <c r="T65" s="5"/>
      <c r="U65" s="28" t="str">
        <f aca="false">IF(OR(G65="",H65=""),"",IF(P65=0,0,IF(IF(R65="",Settings!$C$9,R65)&lt;=B65,0,((YEAR(IF(R65="",Settings!$C$9,R65))-YEAR(B65))*12+MONTH(IF(R65="",Settings!$C$9,R65))-MONTH(B65)+1))))</f>
        <v/>
      </c>
      <c r="V65" s="29" t="str">
        <f aca="false">IF(OR(G65="",H65=""),"",ROUND(P65*Settings!$C$10*U65,0))</f>
        <v/>
      </c>
      <c r="W65" s="28" t="str">
        <f aca="false">IF(OR(G65="",H65=""),"",IF(OR(P65=0,R65=""),0,IF(IF(S65="",Settings!$C$9,S65)&lt;=Q65,0,((YEAR(IF(S65="",Settings!$C$9,S65))-YEAR(R65))*12+MONTH(IF(S65="",Settings!$C$9,S65))-MONTH(R65)+1))))</f>
        <v/>
      </c>
      <c r="X65" s="29" t="str">
        <f aca="false">IF(OR(G65="",H65=""),"",ROUND(P65*Settings!$C$11*W65,0))</f>
        <v/>
      </c>
      <c r="Y65" s="29" t="str">
        <f aca="false">IF(OR(G65="",H65=""),"",V65+X65)</f>
        <v/>
      </c>
      <c r="Z65" s="7" t="str">
        <f aca="false">IF(OR(G65="",H65=""),"",IF(P65=0,"Below threshold",IF(R65="","Not yet deducted",IF(S65="",IF(Settings!$C$9&gt;Q65,"Overdue — pay now","Deducted, due "&amp;TEXT(Q65,"dd-mmm")),IF(S65&lt;=Q65,IF(N(U65)&gt;0,"Deducted late, paid on time","Paid on time"),"Paid late")))))</f>
        <v/>
      </c>
      <c r="AA65" s="35" t="str">
        <f aca="false">IF(OR(G65="",H65=""),"",IF(D65&lt;&gt;"",UPPER(TRIM(D65)),UPPER(TRIM(C65))))</f>
        <v/>
      </c>
    </row>
    <row r="66" customFormat="false" ht="15" hidden="false" customHeight="false" outlineLevel="0" collapsed="false">
      <c r="B66" s="17"/>
      <c r="C66" s="5"/>
      <c r="D66" s="5"/>
      <c r="E66" s="5"/>
      <c r="F66" s="5"/>
      <c r="G66" s="5"/>
      <c r="H66" s="16"/>
      <c r="I66" s="7" t="str">
        <f aca="false">IF(OR(G66="",H66=""),"",IFERROR(INDEX('TDS Rates'!$D$6:$D$40,MATCH(G66,'TDS Rates'!$B$6:$B$40,0)),"Check nature"))</f>
        <v/>
      </c>
      <c r="J66" s="7" t="str">
        <f aca="false">IF(OR(G66="",H66=""),"",IFERROR(INDEX('TDS Rates'!$C$6:$C$40,MATCH(G66,'TDS Rates'!$B$6:$B$40,0)),""))</f>
        <v/>
      </c>
      <c r="K66" s="7" t="str">
        <f aca="false">IF(OR(G66="",H66=""),"",IFERROR(INDEX('TDS Rates'!$E$6:$E$40,MATCH(G66,'TDS Rates'!$B$6:$B$40,0)),""))</f>
        <v/>
      </c>
      <c r="L66" s="29" t="str">
        <f aca="false">IF(OR(G66="",H66=""),"",SUMIFS(H$6:H65,AA$6:AA65,AA66,G$6:G65,G66))</f>
        <v/>
      </c>
      <c r="M66" s="29" t="str">
        <f aca="false">IF(OR(G66="",H66=""),"",SUMIFS(H$6:H65,AA$6:AA65,AA66,G$6:G65,G66,N$6:N65,0))</f>
        <v/>
      </c>
      <c r="N66" s="29" t="str">
        <f aca="false">IF(OR(G66="",H66=""),"",IFERROR(IF(INDEX('TDS Rates'!$F$6:$F$40,MATCH(G66,'TDS Rates'!$B$6:$B$40,0))="NONE",H66,IF(INDEX('TDS Rates'!$F$6:$F$40,MATCH(G66,'TDS Rates'!$B$6:$B$40,0))="PER",IF(H66&gt;INDEX('TDS Rates'!$G$6:$G$40,MATCH(G66,'TDS Rates'!$B$6:$B$40,0)),H66,0),IF(INDEX('TDS Rates'!$F$6:$F$40,MATCH(G66,'TDS Rates'!$B$6:$B$40,0))="EXCESS",MAX(0,L66+H66-INDEX('TDS Rates'!$H$6:$H$40,MATCH(G66,'TDS Rates'!$B$6:$B$40,0)))-MAX(0,L66-INDEX('TDS Rates'!$H$6:$H$40,MATCH(G66,'TDS Rates'!$B$6:$B$40,0))),IF(INDEX('TDS Rates'!$F$6:$F$40,MATCH(G66,'TDS Rates'!$B$6:$B$40,0))="SA",IF(L66+H66&gt;INDEX('TDS Rates'!$H$6:$H$40,MATCH(G66,'TDS Rates'!$B$6:$B$40,0)),H66+M66,IF(H66&gt;INDEX('TDS Rates'!$G$6:$G$40,MATCH(G66,'TDS Rates'!$B$6:$B$40,0)),H66,0)),IF(L66+H66&gt;INDEX('TDS Rates'!$H$6:$H$40,MATCH(G66,'TDS Rates'!$B$6:$B$40,0)),H66+M66,0))))),0))</f>
        <v/>
      </c>
      <c r="O66" s="33" t="str">
        <f aca="false">IF(OR(G66="",H66=""),"",IFERROR(IF(F66="No",IF(INDEX('TDS Rates'!$C$6:$C$40,MATCH(G66,'TDS Rates'!$B$6:$B$40,0))="194Q",Settings!$C$14,MAX(Settings!$C$13,IF(E66="Individual / HUF",INDEX('TDS Rates'!$I$6:$I$40,MATCH(G66,'TDS Rates'!$B$6:$B$40,0)),IF(E66="Company",INDEX('TDS Rates'!$J$6:$J$40,MATCH(G66,'TDS Rates'!$B$6:$B$40,0)),INDEX('TDS Rates'!$K$6:$K$40,MATCH(G66,'TDS Rates'!$B$6:$B$40,0)))))),IF(E66="Individual / HUF",INDEX('TDS Rates'!$I$6:$I$40,MATCH(G66,'TDS Rates'!$B$6:$B$40,0)),IF(E66="Company",INDEX('TDS Rates'!$J$6:$J$40,MATCH(G66,'TDS Rates'!$B$6:$B$40,0)),INDEX('TDS Rates'!$K$6:$K$40,MATCH(G66,'TDS Rates'!$B$6:$B$40,0))))),0))</f>
        <v/>
      </c>
      <c r="P66" s="34" t="str">
        <f aca="false">IF(OR(G66="",H66=""),"",ROUND(N66*O66,0))</f>
        <v/>
      </c>
      <c r="Q66" s="27" t="str">
        <f aca="false">IF(OR(G66="",H66=""),"",IFERROR(IF(INDEX('TDS Rates'!$E$6:$E$40,MATCH(G66,'TDS Rates'!$B$6:$B$40,0))="Form 141",EOMONTH(IF(R66="",B66,R66),0)+30,IF(MONTH(IF(R66="",B66,R66))=3,DATE(YEAR(IF(R66="",B66,R66)),4,30),DATE(YEAR(IF(R66="",B66,R66)),MONTH(IF(R66="",B66,R66))+1,7))),""))</f>
        <v/>
      </c>
      <c r="R66" s="17"/>
      <c r="S66" s="17"/>
      <c r="T66" s="5"/>
      <c r="U66" s="28" t="str">
        <f aca="false">IF(OR(G66="",H66=""),"",IF(P66=0,0,IF(IF(R66="",Settings!$C$9,R66)&lt;=B66,0,((YEAR(IF(R66="",Settings!$C$9,R66))-YEAR(B66))*12+MONTH(IF(R66="",Settings!$C$9,R66))-MONTH(B66)+1))))</f>
        <v/>
      </c>
      <c r="V66" s="29" t="str">
        <f aca="false">IF(OR(G66="",H66=""),"",ROUND(P66*Settings!$C$10*U66,0))</f>
        <v/>
      </c>
      <c r="W66" s="28" t="str">
        <f aca="false">IF(OR(G66="",H66=""),"",IF(OR(P66=0,R66=""),0,IF(IF(S66="",Settings!$C$9,S66)&lt;=Q66,0,((YEAR(IF(S66="",Settings!$C$9,S66))-YEAR(R66))*12+MONTH(IF(S66="",Settings!$C$9,S66))-MONTH(R66)+1))))</f>
        <v/>
      </c>
      <c r="X66" s="29" t="str">
        <f aca="false">IF(OR(G66="",H66=""),"",ROUND(P66*Settings!$C$11*W66,0))</f>
        <v/>
      </c>
      <c r="Y66" s="29" t="str">
        <f aca="false">IF(OR(G66="",H66=""),"",V66+X66)</f>
        <v/>
      </c>
      <c r="Z66" s="7" t="str">
        <f aca="false">IF(OR(G66="",H66=""),"",IF(P66=0,"Below threshold",IF(R66="","Not yet deducted",IF(S66="",IF(Settings!$C$9&gt;Q66,"Overdue — pay now","Deducted, due "&amp;TEXT(Q66,"dd-mmm")),IF(S66&lt;=Q66,IF(N(U66)&gt;0,"Deducted late, paid on time","Paid on time"),"Paid late")))))</f>
        <v/>
      </c>
      <c r="AA66" s="35" t="str">
        <f aca="false">IF(OR(G66="",H66=""),"",IF(D66&lt;&gt;"",UPPER(TRIM(D66)),UPPER(TRIM(C66))))</f>
        <v/>
      </c>
    </row>
    <row r="67" customFormat="false" ht="15" hidden="false" customHeight="false" outlineLevel="0" collapsed="false">
      <c r="B67" s="17"/>
      <c r="C67" s="5"/>
      <c r="D67" s="5"/>
      <c r="E67" s="5"/>
      <c r="F67" s="5"/>
      <c r="G67" s="5"/>
      <c r="H67" s="16"/>
      <c r="I67" s="7" t="str">
        <f aca="false">IF(OR(G67="",H67=""),"",IFERROR(INDEX('TDS Rates'!$D$6:$D$40,MATCH(G67,'TDS Rates'!$B$6:$B$40,0)),"Check nature"))</f>
        <v/>
      </c>
      <c r="J67" s="7" t="str">
        <f aca="false">IF(OR(G67="",H67=""),"",IFERROR(INDEX('TDS Rates'!$C$6:$C$40,MATCH(G67,'TDS Rates'!$B$6:$B$40,0)),""))</f>
        <v/>
      </c>
      <c r="K67" s="7" t="str">
        <f aca="false">IF(OR(G67="",H67=""),"",IFERROR(INDEX('TDS Rates'!$E$6:$E$40,MATCH(G67,'TDS Rates'!$B$6:$B$40,0)),""))</f>
        <v/>
      </c>
      <c r="L67" s="29" t="str">
        <f aca="false">IF(OR(G67="",H67=""),"",SUMIFS(H$6:H66,AA$6:AA66,AA67,G$6:G66,G67))</f>
        <v/>
      </c>
      <c r="M67" s="29" t="str">
        <f aca="false">IF(OR(G67="",H67=""),"",SUMIFS(H$6:H66,AA$6:AA66,AA67,G$6:G66,G67,N$6:N66,0))</f>
        <v/>
      </c>
      <c r="N67" s="29" t="str">
        <f aca="false">IF(OR(G67="",H67=""),"",IFERROR(IF(INDEX('TDS Rates'!$F$6:$F$40,MATCH(G67,'TDS Rates'!$B$6:$B$40,0))="NONE",H67,IF(INDEX('TDS Rates'!$F$6:$F$40,MATCH(G67,'TDS Rates'!$B$6:$B$40,0))="PER",IF(H67&gt;INDEX('TDS Rates'!$G$6:$G$40,MATCH(G67,'TDS Rates'!$B$6:$B$40,0)),H67,0),IF(INDEX('TDS Rates'!$F$6:$F$40,MATCH(G67,'TDS Rates'!$B$6:$B$40,0))="EXCESS",MAX(0,L67+H67-INDEX('TDS Rates'!$H$6:$H$40,MATCH(G67,'TDS Rates'!$B$6:$B$40,0)))-MAX(0,L67-INDEX('TDS Rates'!$H$6:$H$40,MATCH(G67,'TDS Rates'!$B$6:$B$40,0))),IF(INDEX('TDS Rates'!$F$6:$F$40,MATCH(G67,'TDS Rates'!$B$6:$B$40,0))="SA",IF(L67+H67&gt;INDEX('TDS Rates'!$H$6:$H$40,MATCH(G67,'TDS Rates'!$B$6:$B$40,0)),H67+M67,IF(H67&gt;INDEX('TDS Rates'!$G$6:$G$40,MATCH(G67,'TDS Rates'!$B$6:$B$40,0)),H67,0)),IF(L67+H67&gt;INDEX('TDS Rates'!$H$6:$H$40,MATCH(G67,'TDS Rates'!$B$6:$B$40,0)),H67+M67,0))))),0))</f>
        <v/>
      </c>
      <c r="O67" s="33" t="str">
        <f aca="false">IF(OR(G67="",H67=""),"",IFERROR(IF(F67="No",IF(INDEX('TDS Rates'!$C$6:$C$40,MATCH(G67,'TDS Rates'!$B$6:$B$40,0))="194Q",Settings!$C$14,MAX(Settings!$C$13,IF(E67="Individual / HUF",INDEX('TDS Rates'!$I$6:$I$40,MATCH(G67,'TDS Rates'!$B$6:$B$40,0)),IF(E67="Company",INDEX('TDS Rates'!$J$6:$J$40,MATCH(G67,'TDS Rates'!$B$6:$B$40,0)),INDEX('TDS Rates'!$K$6:$K$40,MATCH(G67,'TDS Rates'!$B$6:$B$40,0)))))),IF(E67="Individual / HUF",INDEX('TDS Rates'!$I$6:$I$40,MATCH(G67,'TDS Rates'!$B$6:$B$40,0)),IF(E67="Company",INDEX('TDS Rates'!$J$6:$J$40,MATCH(G67,'TDS Rates'!$B$6:$B$40,0)),INDEX('TDS Rates'!$K$6:$K$40,MATCH(G67,'TDS Rates'!$B$6:$B$40,0))))),0))</f>
        <v/>
      </c>
      <c r="P67" s="34" t="str">
        <f aca="false">IF(OR(G67="",H67=""),"",ROUND(N67*O67,0))</f>
        <v/>
      </c>
      <c r="Q67" s="27" t="str">
        <f aca="false">IF(OR(G67="",H67=""),"",IFERROR(IF(INDEX('TDS Rates'!$E$6:$E$40,MATCH(G67,'TDS Rates'!$B$6:$B$40,0))="Form 141",EOMONTH(IF(R67="",B67,R67),0)+30,IF(MONTH(IF(R67="",B67,R67))=3,DATE(YEAR(IF(R67="",B67,R67)),4,30),DATE(YEAR(IF(R67="",B67,R67)),MONTH(IF(R67="",B67,R67))+1,7))),""))</f>
        <v/>
      </c>
      <c r="R67" s="17"/>
      <c r="S67" s="17"/>
      <c r="T67" s="5"/>
      <c r="U67" s="28" t="str">
        <f aca="false">IF(OR(G67="",H67=""),"",IF(P67=0,0,IF(IF(R67="",Settings!$C$9,R67)&lt;=B67,0,((YEAR(IF(R67="",Settings!$C$9,R67))-YEAR(B67))*12+MONTH(IF(R67="",Settings!$C$9,R67))-MONTH(B67)+1))))</f>
        <v/>
      </c>
      <c r="V67" s="29" t="str">
        <f aca="false">IF(OR(G67="",H67=""),"",ROUND(P67*Settings!$C$10*U67,0))</f>
        <v/>
      </c>
      <c r="W67" s="28" t="str">
        <f aca="false">IF(OR(G67="",H67=""),"",IF(OR(P67=0,R67=""),0,IF(IF(S67="",Settings!$C$9,S67)&lt;=Q67,0,((YEAR(IF(S67="",Settings!$C$9,S67))-YEAR(R67))*12+MONTH(IF(S67="",Settings!$C$9,S67))-MONTH(R67)+1))))</f>
        <v/>
      </c>
      <c r="X67" s="29" t="str">
        <f aca="false">IF(OR(G67="",H67=""),"",ROUND(P67*Settings!$C$11*W67,0))</f>
        <v/>
      </c>
      <c r="Y67" s="29" t="str">
        <f aca="false">IF(OR(G67="",H67=""),"",V67+X67)</f>
        <v/>
      </c>
      <c r="Z67" s="7" t="str">
        <f aca="false">IF(OR(G67="",H67=""),"",IF(P67=0,"Below threshold",IF(R67="","Not yet deducted",IF(S67="",IF(Settings!$C$9&gt;Q67,"Overdue — pay now","Deducted, due "&amp;TEXT(Q67,"dd-mmm")),IF(S67&lt;=Q67,IF(N(U67)&gt;0,"Deducted late, paid on time","Paid on time"),"Paid late")))))</f>
        <v/>
      </c>
      <c r="AA67" s="35" t="str">
        <f aca="false">IF(OR(G67="",H67=""),"",IF(D67&lt;&gt;"",UPPER(TRIM(D67)),UPPER(TRIM(C67))))</f>
        <v/>
      </c>
    </row>
    <row r="68" customFormat="false" ht="15" hidden="false" customHeight="false" outlineLevel="0" collapsed="false">
      <c r="B68" s="17"/>
      <c r="C68" s="5"/>
      <c r="D68" s="5"/>
      <c r="E68" s="5"/>
      <c r="F68" s="5"/>
      <c r="G68" s="5"/>
      <c r="H68" s="16"/>
      <c r="I68" s="7" t="str">
        <f aca="false">IF(OR(G68="",H68=""),"",IFERROR(INDEX('TDS Rates'!$D$6:$D$40,MATCH(G68,'TDS Rates'!$B$6:$B$40,0)),"Check nature"))</f>
        <v/>
      </c>
      <c r="J68" s="7" t="str">
        <f aca="false">IF(OR(G68="",H68=""),"",IFERROR(INDEX('TDS Rates'!$C$6:$C$40,MATCH(G68,'TDS Rates'!$B$6:$B$40,0)),""))</f>
        <v/>
      </c>
      <c r="K68" s="7" t="str">
        <f aca="false">IF(OR(G68="",H68=""),"",IFERROR(INDEX('TDS Rates'!$E$6:$E$40,MATCH(G68,'TDS Rates'!$B$6:$B$40,0)),""))</f>
        <v/>
      </c>
      <c r="L68" s="29" t="str">
        <f aca="false">IF(OR(G68="",H68=""),"",SUMIFS(H$6:H67,AA$6:AA67,AA68,G$6:G67,G68))</f>
        <v/>
      </c>
      <c r="M68" s="29" t="str">
        <f aca="false">IF(OR(G68="",H68=""),"",SUMIFS(H$6:H67,AA$6:AA67,AA68,G$6:G67,G68,N$6:N67,0))</f>
        <v/>
      </c>
      <c r="N68" s="29" t="str">
        <f aca="false">IF(OR(G68="",H68=""),"",IFERROR(IF(INDEX('TDS Rates'!$F$6:$F$40,MATCH(G68,'TDS Rates'!$B$6:$B$40,0))="NONE",H68,IF(INDEX('TDS Rates'!$F$6:$F$40,MATCH(G68,'TDS Rates'!$B$6:$B$40,0))="PER",IF(H68&gt;INDEX('TDS Rates'!$G$6:$G$40,MATCH(G68,'TDS Rates'!$B$6:$B$40,0)),H68,0),IF(INDEX('TDS Rates'!$F$6:$F$40,MATCH(G68,'TDS Rates'!$B$6:$B$40,0))="EXCESS",MAX(0,L68+H68-INDEX('TDS Rates'!$H$6:$H$40,MATCH(G68,'TDS Rates'!$B$6:$B$40,0)))-MAX(0,L68-INDEX('TDS Rates'!$H$6:$H$40,MATCH(G68,'TDS Rates'!$B$6:$B$40,0))),IF(INDEX('TDS Rates'!$F$6:$F$40,MATCH(G68,'TDS Rates'!$B$6:$B$40,0))="SA",IF(L68+H68&gt;INDEX('TDS Rates'!$H$6:$H$40,MATCH(G68,'TDS Rates'!$B$6:$B$40,0)),H68+M68,IF(H68&gt;INDEX('TDS Rates'!$G$6:$G$40,MATCH(G68,'TDS Rates'!$B$6:$B$40,0)),H68,0)),IF(L68+H68&gt;INDEX('TDS Rates'!$H$6:$H$40,MATCH(G68,'TDS Rates'!$B$6:$B$40,0)),H68+M68,0))))),0))</f>
        <v/>
      </c>
      <c r="O68" s="33" t="str">
        <f aca="false">IF(OR(G68="",H68=""),"",IFERROR(IF(F68="No",IF(INDEX('TDS Rates'!$C$6:$C$40,MATCH(G68,'TDS Rates'!$B$6:$B$40,0))="194Q",Settings!$C$14,MAX(Settings!$C$13,IF(E68="Individual / HUF",INDEX('TDS Rates'!$I$6:$I$40,MATCH(G68,'TDS Rates'!$B$6:$B$40,0)),IF(E68="Company",INDEX('TDS Rates'!$J$6:$J$40,MATCH(G68,'TDS Rates'!$B$6:$B$40,0)),INDEX('TDS Rates'!$K$6:$K$40,MATCH(G68,'TDS Rates'!$B$6:$B$40,0)))))),IF(E68="Individual / HUF",INDEX('TDS Rates'!$I$6:$I$40,MATCH(G68,'TDS Rates'!$B$6:$B$40,0)),IF(E68="Company",INDEX('TDS Rates'!$J$6:$J$40,MATCH(G68,'TDS Rates'!$B$6:$B$40,0)),INDEX('TDS Rates'!$K$6:$K$40,MATCH(G68,'TDS Rates'!$B$6:$B$40,0))))),0))</f>
        <v/>
      </c>
      <c r="P68" s="34" t="str">
        <f aca="false">IF(OR(G68="",H68=""),"",ROUND(N68*O68,0))</f>
        <v/>
      </c>
      <c r="Q68" s="27" t="str">
        <f aca="false">IF(OR(G68="",H68=""),"",IFERROR(IF(INDEX('TDS Rates'!$E$6:$E$40,MATCH(G68,'TDS Rates'!$B$6:$B$40,0))="Form 141",EOMONTH(IF(R68="",B68,R68),0)+30,IF(MONTH(IF(R68="",B68,R68))=3,DATE(YEAR(IF(R68="",B68,R68)),4,30),DATE(YEAR(IF(R68="",B68,R68)),MONTH(IF(R68="",B68,R68))+1,7))),""))</f>
        <v/>
      </c>
      <c r="R68" s="17"/>
      <c r="S68" s="17"/>
      <c r="T68" s="5"/>
      <c r="U68" s="28" t="str">
        <f aca="false">IF(OR(G68="",H68=""),"",IF(P68=0,0,IF(IF(R68="",Settings!$C$9,R68)&lt;=B68,0,((YEAR(IF(R68="",Settings!$C$9,R68))-YEAR(B68))*12+MONTH(IF(R68="",Settings!$C$9,R68))-MONTH(B68)+1))))</f>
        <v/>
      </c>
      <c r="V68" s="29" t="str">
        <f aca="false">IF(OR(G68="",H68=""),"",ROUND(P68*Settings!$C$10*U68,0))</f>
        <v/>
      </c>
      <c r="W68" s="28" t="str">
        <f aca="false">IF(OR(G68="",H68=""),"",IF(OR(P68=0,R68=""),0,IF(IF(S68="",Settings!$C$9,S68)&lt;=Q68,0,((YEAR(IF(S68="",Settings!$C$9,S68))-YEAR(R68))*12+MONTH(IF(S68="",Settings!$C$9,S68))-MONTH(R68)+1))))</f>
        <v/>
      </c>
      <c r="X68" s="29" t="str">
        <f aca="false">IF(OR(G68="",H68=""),"",ROUND(P68*Settings!$C$11*W68,0))</f>
        <v/>
      </c>
      <c r="Y68" s="29" t="str">
        <f aca="false">IF(OR(G68="",H68=""),"",V68+X68)</f>
        <v/>
      </c>
      <c r="Z68" s="7" t="str">
        <f aca="false">IF(OR(G68="",H68=""),"",IF(P68=0,"Below threshold",IF(R68="","Not yet deducted",IF(S68="",IF(Settings!$C$9&gt;Q68,"Overdue — pay now","Deducted, due "&amp;TEXT(Q68,"dd-mmm")),IF(S68&lt;=Q68,IF(N(U68)&gt;0,"Deducted late, paid on time","Paid on time"),"Paid late")))))</f>
        <v/>
      </c>
      <c r="AA68" s="35" t="str">
        <f aca="false">IF(OR(G68="",H68=""),"",IF(D68&lt;&gt;"",UPPER(TRIM(D68)),UPPER(TRIM(C68))))</f>
        <v/>
      </c>
    </row>
    <row r="69" customFormat="false" ht="15" hidden="false" customHeight="false" outlineLevel="0" collapsed="false">
      <c r="B69" s="17"/>
      <c r="C69" s="5"/>
      <c r="D69" s="5"/>
      <c r="E69" s="5"/>
      <c r="F69" s="5"/>
      <c r="G69" s="5"/>
      <c r="H69" s="16"/>
      <c r="I69" s="7" t="str">
        <f aca="false">IF(OR(G69="",H69=""),"",IFERROR(INDEX('TDS Rates'!$D$6:$D$40,MATCH(G69,'TDS Rates'!$B$6:$B$40,0)),"Check nature"))</f>
        <v/>
      </c>
      <c r="J69" s="7" t="str">
        <f aca="false">IF(OR(G69="",H69=""),"",IFERROR(INDEX('TDS Rates'!$C$6:$C$40,MATCH(G69,'TDS Rates'!$B$6:$B$40,0)),""))</f>
        <v/>
      </c>
      <c r="K69" s="7" t="str">
        <f aca="false">IF(OR(G69="",H69=""),"",IFERROR(INDEX('TDS Rates'!$E$6:$E$40,MATCH(G69,'TDS Rates'!$B$6:$B$40,0)),""))</f>
        <v/>
      </c>
      <c r="L69" s="29" t="str">
        <f aca="false">IF(OR(G69="",H69=""),"",SUMIFS(H$6:H68,AA$6:AA68,AA69,G$6:G68,G69))</f>
        <v/>
      </c>
      <c r="M69" s="29" t="str">
        <f aca="false">IF(OR(G69="",H69=""),"",SUMIFS(H$6:H68,AA$6:AA68,AA69,G$6:G68,G69,N$6:N68,0))</f>
        <v/>
      </c>
      <c r="N69" s="29" t="str">
        <f aca="false">IF(OR(G69="",H69=""),"",IFERROR(IF(INDEX('TDS Rates'!$F$6:$F$40,MATCH(G69,'TDS Rates'!$B$6:$B$40,0))="NONE",H69,IF(INDEX('TDS Rates'!$F$6:$F$40,MATCH(G69,'TDS Rates'!$B$6:$B$40,0))="PER",IF(H69&gt;INDEX('TDS Rates'!$G$6:$G$40,MATCH(G69,'TDS Rates'!$B$6:$B$40,0)),H69,0),IF(INDEX('TDS Rates'!$F$6:$F$40,MATCH(G69,'TDS Rates'!$B$6:$B$40,0))="EXCESS",MAX(0,L69+H69-INDEX('TDS Rates'!$H$6:$H$40,MATCH(G69,'TDS Rates'!$B$6:$B$40,0)))-MAX(0,L69-INDEX('TDS Rates'!$H$6:$H$40,MATCH(G69,'TDS Rates'!$B$6:$B$40,0))),IF(INDEX('TDS Rates'!$F$6:$F$40,MATCH(G69,'TDS Rates'!$B$6:$B$40,0))="SA",IF(L69+H69&gt;INDEX('TDS Rates'!$H$6:$H$40,MATCH(G69,'TDS Rates'!$B$6:$B$40,0)),H69+M69,IF(H69&gt;INDEX('TDS Rates'!$G$6:$G$40,MATCH(G69,'TDS Rates'!$B$6:$B$40,0)),H69,0)),IF(L69+H69&gt;INDEX('TDS Rates'!$H$6:$H$40,MATCH(G69,'TDS Rates'!$B$6:$B$40,0)),H69+M69,0))))),0))</f>
        <v/>
      </c>
      <c r="O69" s="33" t="str">
        <f aca="false">IF(OR(G69="",H69=""),"",IFERROR(IF(F69="No",IF(INDEX('TDS Rates'!$C$6:$C$40,MATCH(G69,'TDS Rates'!$B$6:$B$40,0))="194Q",Settings!$C$14,MAX(Settings!$C$13,IF(E69="Individual / HUF",INDEX('TDS Rates'!$I$6:$I$40,MATCH(G69,'TDS Rates'!$B$6:$B$40,0)),IF(E69="Company",INDEX('TDS Rates'!$J$6:$J$40,MATCH(G69,'TDS Rates'!$B$6:$B$40,0)),INDEX('TDS Rates'!$K$6:$K$40,MATCH(G69,'TDS Rates'!$B$6:$B$40,0)))))),IF(E69="Individual / HUF",INDEX('TDS Rates'!$I$6:$I$40,MATCH(G69,'TDS Rates'!$B$6:$B$40,0)),IF(E69="Company",INDEX('TDS Rates'!$J$6:$J$40,MATCH(G69,'TDS Rates'!$B$6:$B$40,0)),INDEX('TDS Rates'!$K$6:$K$40,MATCH(G69,'TDS Rates'!$B$6:$B$40,0))))),0))</f>
        <v/>
      </c>
      <c r="P69" s="34" t="str">
        <f aca="false">IF(OR(G69="",H69=""),"",ROUND(N69*O69,0))</f>
        <v/>
      </c>
      <c r="Q69" s="27" t="str">
        <f aca="false">IF(OR(G69="",H69=""),"",IFERROR(IF(INDEX('TDS Rates'!$E$6:$E$40,MATCH(G69,'TDS Rates'!$B$6:$B$40,0))="Form 141",EOMONTH(IF(R69="",B69,R69),0)+30,IF(MONTH(IF(R69="",B69,R69))=3,DATE(YEAR(IF(R69="",B69,R69)),4,30),DATE(YEAR(IF(R69="",B69,R69)),MONTH(IF(R69="",B69,R69))+1,7))),""))</f>
        <v/>
      </c>
      <c r="R69" s="17"/>
      <c r="S69" s="17"/>
      <c r="T69" s="5"/>
      <c r="U69" s="28" t="str">
        <f aca="false">IF(OR(G69="",H69=""),"",IF(P69=0,0,IF(IF(R69="",Settings!$C$9,R69)&lt;=B69,0,((YEAR(IF(R69="",Settings!$C$9,R69))-YEAR(B69))*12+MONTH(IF(R69="",Settings!$C$9,R69))-MONTH(B69)+1))))</f>
        <v/>
      </c>
      <c r="V69" s="29" t="str">
        <f aca="false">IF(OR(G69="",H69=""),"",ROUND(P69*Settings!$C$10*U69,0))</f>
        <v/>
      </c>
      <c r="W69" s="28" t="str">
        <f aca="false">IF(OR(G69="",H69=""),"",IF(OR(P69=0,R69=""),0,IF(IF(S69="",Settings!$C$9,S69)&lt;=Q69,0,((YEAR(IF(S69="",Settings!$C$9,S69))-YEAR(R69))*12+MONTH(IF(S69="",Settings!$C$9,S69))-MONTH(R69)+1))))</f>
        <v/>
      </c>
      <c r="X69" s="29" t="str">
        <f aca="false">IF(OR(G69="",H69=""),"",ROUND(P69*Settings!$C$11*W69,0))</f>
        <v/>
      </c>
      <c r="Y69" s="29" t="str">
        <f aca="false">IF(OR(G69="",H69=""),"",V69+X69)</f>
        <v/>
      </c>
      <c r="Z69" s="7" t="str">
        <f aca="false">IF(OR(G69="",H69=""),"",IF(P69=0,"Below threshold",IF(R69="","Not yet deducted",IF(S69="",IF(Settings!$C$9&gt;Q69,"Overdue — pay now","Deducted, due "&amp;TEXT(Q69,"dd-mmm")),IF(S69&lt;=Q69,IF(N(U69)&gt;0,"Deducted late, paid on time","Paid on time"),"Paid late")))))</f>
        <v/>
      </c>
      <c r="AA69" s="35" t="str">
        <f aca="false">IF(OR(G69="",H69=""),"",IF(D69&lt;&gt;"",UPPER(TRIM(D69)),UPPER(TRIM(C69))))</f>
        <v/>
      </c>
    </row>
    <row r="70" customFormat="false" ht="15" hidden="false" customHeight="false" outlineLevel="0" collapsed="false">
      <c r="B70" s="17"/>
      <c r="C70" s="5"/>
      <c r="D70" s="5"/>
      <c r="E70" s="5"/>
      <c r="F70" s="5"/>
      <c r="G70" s="5"/>
      <c r="H70" s="16"/>
      <c r="I70" s="7" t="str">
        <f aca="false">IF(OR(G70="",H70=""),"",IFERROR(INDEX('TDS Rates'!$D$6:$D$40,MATCH(G70,'TDS Rates'!$B$6:$B$40,0)),"Check nature"))</f>
        <v/>
      </c>
      <c r="J70" s="7" t="str">
        <f aca="false">IF(OR(G70="",H70=""),"",IFERROR(INDEX('TDS Rates'!$C$6:$C$40,MATCH(G70,'TDS Rates'!$B$6:$B$40,0)),""))</f>
        <v/>
      </c>
      <c r="K70" s="7" t="str">
        <f aca="false">IF(OR(G70="",H70=""),"",IFERROR(INDEX('TDS Rates'!$E$6:$E$40,MATCH(G70,'TDS Rates'!$B$6:$B$40,0)),""))</f>
        <v/>
      </c>
      <c r="L70" s="29" t="str">
        <f aca="false">IF(OR(G70="",H70=""),"",SUMIFS(H$6:H69,AA$6:AA69,AA70,G$6:G69,G70))</f>
        <v/>
      </c>
      <c r="M70" s="29" t="str">
        <f aca="false">IF(OR(G70="",H70=""),"",SUMIFS(H$6:H69,AA$6:AA69,AA70,G$6:G69,G70,N$6:N69,0))</f>
        <v/>
      </c>
      <c r="N70" s="29" t="str">
        <f aca="false">IF(OR(G70="",H70=""),"",IFERROR(IF(INDEX('TDS Rates'!$F$6:$F$40,MATCH(G70,'TDS Rates'!$B$6:$B$40,0))="NONE",H70,IF(INDEX('TDS Rates'!$F$6:$F$40,MATCH(G70,'TDS Rates'!$B$6:$B$40,0))="PER",IF(H70&gt;INDEX('TDS Rates'!$G$6:$G$40,MATCH(G70,'TDS Rates'!$B$6:$B$40,0)),H70,0),IF(INDEX('TDS Rates'!$F$6:$F$40,MATCH(G70,'TDS Rates'!$B$6:$B$40,0))="EXCESS",MAX(0,L70+H70-INDEX('TDS Rates'!$H$6:$H$40,MATCH(G70,'TDS Rates'!$B$6:$B$40,0)))-MAX(0,L70-INDEX('TDS Rates'!$H$6:$H$40,MATCH(G70,'TDS Rates'!$B$6:$B$40,0))),IF(INDEX('TDS Rates'!$F$6:$F$40,MATCH(G70,'TDS Rates'!$B$6:$B$40,0))="SA",IF(L70+H70&gt;INDEX('TDS Rates'!$H$6:$H$40,MATCH(G70,'TDS Rates'!$B$6:$B$40,0)),H70+M70,IF(H70&gt;INDEX('TDS Rates'!$G$6:$G$40,MATCH(G70,'TDS Rates'!$B$6:$B$40,0)),H70,0)),IF(L70+H70&gt;INDEX('TDS Rates'!$H$6:$H$40,MATCH(G70,'TDS Rates'!$B$6:$B$40,0)),H70+M70,0))))),0))</f>
        <v/>
      </c>
      <c r="O70" s="33" t="str">
        <f aca="false">IF(OR(G70="",H70=""),"",IFERROR(IF(F70="No",IF(INDEX('TDS Rates'!$C$6:$C$40,MATCH(G70,'TDS Rates'!$B$6:$B$40,0))="194Q",Settings!$C$14,MAX(Settings!$C$13,IF(E70="Individual / HUF",INDEX('TDS Rates'!$I$6:$I$40,MATCH(G70,'TDS Rates'!$B$6:$B$40,0)),IF(E70="Company",INDEX('TDS Rates'!$J$6:$J$40,MATCH(G70,'TDS Rates'!$B$6:$B$40,0)),INDEX('TDS Rates'!$K$6:$K$40,MATCH(G70,'TDS Rates'!$B$6:$B$40,0)))))),IF(E70="Individual / HUF",INDEX('TDS Rates'!$I$6:$I$40,MATCH(G70,'TDS Rates'!$B$6:$B$40,0)),IF(E70="Company",INDEX('TDS Rates'!$J$6:$J$40,MATCH(G70,'TDS Rates'!$B$6:$B$40,0)),INDEX('TDS Rates'!$K$6:$K$40,MATCH(G70,'TDS Rates'!$B$6:$B$40,0))))),0))</f>
        <v/>
      </c>
      <c r="P70" s="34" t="str">
        <f aca="false">IF(OR(G70="",H70=""),"",ROUND(N70*O70,0))</f>
        <v/>
      </c>
      <c r="Q70" s="27" t="str">
        <f aca="false">IF(OR(G70="",H70=""),"",IFERROR(IF(INDEX('TDS Rates'!$E$6:$E$40,MATCH(G70,'TDS Rates'!$B$6:$B$40,0))="Form 141",EOMONTH(IF(R70="",B70,R70),0)+30,IF(MONTH(IF(R70="",B70,R70))=3,DATE(YEAR(IF(R70="",B70,R70)),4,30),DATE(YEAR(IF(R70="",B70,R70)),MONTH(IF(R70="",B70,R70))+1,7))),""))</f>
        <v/>
      </c>
      <c r="R70" s="17"/>
      <c r="S70" s="17"/>
      <c r="T70" s="5"/>
      <c r="U70" s="28" t="str">
        <f aca="false">IF(OR(G70="",H70=""),"",IF(P70=0,0,IF(IF(R70="",Settings!$C$9,R70)&lt;=B70,0,((YEAR(IF(R70="",Settings!$C$9,R70))-YEAR(B70))*12+MONTH(IF(R70="",Settings!$C$9,R70))-MONTH(B70)+1))))</f>
        <v/>
      </c>
      <c r="V70" s="29" t="str">
        <f aca="false">IF(OR(G70="",H70=""),"",ROUND(P70*Settings!$C$10*U70,0))</f>
        <v/>
      </c>
      <c r="W70" s="28" t="str">
        <f aca="false">IF(OR(G70="",H70=""),"",IF(OR(P70=0,R70=""),0,IF(IF(S70="",Settings!$C$9,S70)&lt;=Q70,0,((YEAR(IF(S70="",Settings!$C$9,S70))-YEAR(R70))*12+MONTH(IF(S70="",Settings!$C$9,S70))-MONTH(R70)+1))))</f>
        <v/>
      </c>
      <c r="X70" s="29" t="str">
        <f aca="false">IF(OR(G70="",H70=""),"",ROUND(P70*Settings!$C$11*W70,0))</f>
        <v/>
      </c>
      <c r="Y70" s="29" t="str">
        <f aca="false">IF(OR(G70="",H70=""),"",V70+X70)</f>
        <v/>
      </c>
      <c r="Z70" s="7" t="str">
        <f aca="false">IF(OR(G70="",H70=""),"",IF(P70=0,"Below threshold",IF(R70="","Not yet deducted",IF(S70="",IF(Settings!$C$9&gt;Q70,"Overdue — pay now","Deducted, due "&amp;TEXT(Q70,"dd-mmm")),IF(S70&lt;=Q70,IF(N(U70)&gt;0,"Deducted late, paid on time","Paid on time"),"Paid late")))))</f>
        <v/>
      </c>
      <c r="AA70" s="35" t="str">
        <f aca="false">IF(OR(G70="",H70=""),"",IF(D70&lt;&gt;"",UPPER(TRIM(D70)),UPPER(TRIM(C70))))</f>
        <v/>
      </c>
    </row>
    <row r="71" customFormat="false" ht="15" hidden="false" customHeight="false" outlineLevel="0" collapsed="false">
      <c r="B71" s="17"/>
      <c r="C71" s="5"/>
      <c r="D71" s="5"/>
      <c r="E71" s="5"/>
      <c r="F71" s="5"/>
      <c r="G71" s="5"/>
      <c r="H71" s="16"/>
      <c r="I71" s="7" t="str">
        <f aca="false">IF(OR(G71="",H71=""),"",IFERROR(INDEX('TDS Rates'!$D$6:$D$40,MATCH(G71,'TDS Rates'!$B$6:$B$40,0)),"Check nature"))</f>
        <v/>
      </c>
      <c r="J71" s="7" t="str">
        <f aca="false">IF(OR(G71="",H71=""),"",IFERROR(INDEX('TDS Rates'!$C$6:$C$40,MATCH(G71,'TDS Rates'!$B$6:$B$40,0)),""))</f>
        <v/>
      </c>
      <c r="K71" s="7" t="str">
        <f aca="false">IF(OR(G71="",H71=""),"",IFERROR(INDEX('TDS Rates'!$E$6:$E$40,MATCH(G71,'TDS Rates'!$B$6:$B$40,0)),""))</f>
        <v/>
      </c>
      <c r="L71" s="29" t="str">
        <f aca="false">IF(OR(G71="",H71=""),"",SUMIFS(H$6:H70,AA$6:AA70,AA71,G$6:G70,G71))</f>
        <v/>
      </c>
      <c r="M71" s="29" t="str">
        <f aca="false">IF(OR(G71="",H71=""),"",SUMIFS(H$6:H70,AA$6:AA70,AA71,G$6:G70,G71,N$6:N70,0))</f>
        <v/>
      </c>
      <c r="N71" s="29" t="str">
        <f aca="false">IF(OR(G71="",H71=""),"",IFERROR(IF(INDEX('TDS Rates'!$F$6:$F$40,MATCH(G71,'TDS Rates'!$B$6:$B$40,0))="NONE",H71,IF(INDEX('TDS Rates'!$F$6:$F$40,MATCH(G71,'TDS Rates'!$B$6:$B$40,0))="PER",IF(H71&gt;INDEX('TDS Rates'!$G$6:$G$40,MATCH(G71,'TDS Rates'!$B$6:$B$40,0)),H71,0),IF(INDEX('TDS Rates'!$F$6:$F$40,MATCH(G71,'TDS Rates'!$B$6:$B$40,0))="EXCESS",MAX(0,L71+H71-INDEX('TDS Rates'!$H$6:$H$40,MATCH(G71,'TDS Rates'!$B$6:$B$40,0)))-MAX(0,L71-INDEX('TDS Rates'!$H$6:$H$40,MATCH(G71,'TDS Rates'!$B$6:$B$40,0))),IF(INDEX('TDS Rates'!$F$6:$F$40,MATCH(G71,'TDS Rates'!$B$6:$B$40,0))="SA",IF(L71+H71&gt;INDEX('TDS Rates'!$H$6:$H$40,MATCH(G71,'TDS Rates'!$B$6:$B$40,0)),H71+M71,IF(H71&gt;INDEX('TDS Rates'!$G$6:$G$40,MATCH(G71,'TDS Rates'!$B$6:$B$40,0)),H71,0)),IF(L71+H71&gt;INDEX('TDS Rates'!$H$6:$H$40,MATCH(G71,'TDS Rates'!$B$6:$B$40,0)),H71+M71,0))))),0))</f>
        <v/>
      </c>
      <c r="O71" s="33" t="str">
        <f aca="false">IF(OR(G71="",H71=""),"",IFERROR(IF(F71="No",IF(INDEX('TDS Rates'!$C$6:$C$40,MATCH(G71,'TDS Rates'!$B$6:$B$40,0))="194Q",Settings!$C$14,MAX(Settings!$C$13,IF(E71="Individual / HUF",INDEX('TDS Rates'!$I$6:$I$40,MATCH(G71,'TDS Rates'!$B$6:$B$40,0)),IF(E71="Company",INDEX('TDS Rates'!$J$6:$J$40,MATCH(G71,'TDS Rates'!$B$6:$B$40,0)),INDEX('TDS Rates'!$K$6:$K$40,MATCH(G71,'TDS Rates'!$B$6:$B$40,0)))))),IF(E71="Individual / HUF",INDEX('TDS Rates'!$I$6:$I$40,MATCH(G71,'TDS Rates'!$B$6:$B$40,0)),IF(E71="Company",INDEX('TDS Rates'!$J$6:$J$40,MATCH(G71,'TDS Rates'!$B$6:$B$40,0)),INDEX('TDS Rates'!$K$6:$K$40,MATCH(G71,'TDS Rates'!$B$6:$B$40,0))))),0))</f>
        <v/>
      </c>
      <c r="P71" s="34" t="str">
        <f aca="false">IF(OR(G71="",H71=""),"",ROUND(N71*O71,0))</f>
        <v/>
      </c>
      <c r="Q71" s="27" t="str">
        <f aca="false">IF(OR(G71="",H71=""),"",IFERROR(IF(INDEX('TDS Rates'!$E$6:$E$40,MATCH(G71,'TDS Rates'!$B$6:$B$40,0))="Form 141",EOMONTH(IF(R71="",B71,R71),0)+30,IF(MONTH(IF(R71="",B71,R71))=3,DATE(YEAR(IF(R71="",B71,R71)),4,30),DATE(YEAR(IF(R71="",B71,R71)),MONTH(IF(R71="",B71,R71))+1,7))),""))</f>
        <v/>
      </c>
      <c r="R71" s="17"/>
      <c r="S71" s="17"/>
      <c r="T71" s="5"/>
      <c r="U71" s="28" t="str">
        <f aca="false">IF(OR(G71="",H71=""),"",IF(P71=0,0,IF(IF(R71="",Settings!$C$9,R71)&lt;=B71,0,((YEAR(IF(R71="",Settings!$C$9,R71))-YEAR(B71))*12+MONTH(IF(R71="",Settings!$C$9,R71))-MONTH(B71)+1))))</f>
        <v/>
      </c>
      <c r="V71" s="29" t="str">
        <f aca="false">IF(OR(G71="",H71=""),"",ROUND(P71*Settings!$C$10*U71,0))</f>
        <v/>
      </c>
      <c r="W71" s="28" t="str">
        <f aca="false">IF(OR(G71="",H71=""),"",IF(OR(P71=0,R71=""),0,IF(IF(S71="",Settings!$C$9,S71)&lt;=Q71,0,((YEAR(IF(S71="",Settings!$C$9,S71))-YEAR(R71))*12+MONTH(IF(S71="",Settings!$C$9,S71))-MONTH(R71)+1))))</f>
        <v/>
      </c>
      <c r="X71" s="29" t="str">
        <f aca="false">IF(OR(G71="",H71=""),"",ROUND(P71*Settings!$C$11*W71,0))</f>
        <v/>
      </c>
      <c r="Y71" s="29" t="str">
        <f aca="false">IF(OR(G71="",H71=""),"",V71+X71)</f>
        <v/>
      </c>
      <c r="Z71" s="7" t="str">
        <f aca="false">IF(OR(G71="",H71=""),"",IF(P71=0,"Below threshold",IF(R71="","Not yet deducted",IF(S71="",IF(Settings!$C$9&gt;Q71,"Overdue — pay now","Deducted, due "&amp;TEXT(Q71,"dd-mmm")),IF(S71&lt;=Q71,IF(N(U71)&gt;0,"Deducted late, paid on time","Paid on time"),"Paid late")))))</f>
        <v/>
      </c>
      <c r="AA71" s="35" t="str">
        <f aca="false">IF(OR(G71="",H71=""),"",IF(D71&lt;&gt;"",UPPER(TRIM(D71)),UPPER(TRIM(C71))))</f>
        <v/>
      </c>
    </row>
    <row r="72" customFormat="false" ht="15" hidden="false" customHeight="false" outlineLevel="0" collapsed="false">
      <c r="B72" s="17"/>
      <c r="C72" s="5"/>
      <c r="D72" s="5"/>
      <c r="E72" s="5"/>
      <c r="F72" s="5"/>
      <c r="G72" s="5"/>
      <c r="H72" s="16"/>
      <c r="I72" s="7" t="str">
        <f aca="false">IF(OR(G72="",H72=""),"",IFERROR(INDEX('TDS Rates'!$D$6:$D$40,MATCH(G72,'TDS Rates'!$B$6:$B$40,0)),"Check nature"))</f>
        <v/>
      </c>
      <c r="J72" s="7" t="str">
        <f aca="false">IF(OR(G72="",H72=""),"",IFERROR(INDEX('TDS Rates'!$C$6:$C$40,MATCH(G72,'TDS Rates'!$B$6:$B$40,0)),""))</f>
        <v/>
      </c>
      <c r="K72" s="7" t="str">
        <f aca="false">IF(OR(G72="",H72=""),"",IFERROR(INDEX('TDS Rates'!$E$6:$E$40,MATCH(G72,'TDS Rates'!$B$6:$B$40,0)),""))</f>
        <v/>
      </c>
      <c r="L72" s="29" t="str">
        <f aca="false">IF(OR(G72="",H72=""),"",SUMIFS(H$6:H71,AA$6:AA71,AA72,G$6:G71,G72))</f>
        <v/>
      </c>
      <c r="M72" s="29" t="str">
        <f aca="false">IF(OR(G72="",H72=""),"",SUMIFS(H$6:H71,AA$6:AA71,AA72,G$6:G71,G72,N$6:N71,0))</f>
        <v/>
      </c>
      <c r="N72" s="29" t="str">
        <f aca="false">IF(OR(G72="",H72=""),"",IFERROR(IF(INDEX('TDS Rates'!$F$6:$F$40,MATCH(G72,'TDS Rates'!$B$6:$B$40,0))="NONE",H72,IF(INDEX('TDS Rates'!$F$6:$F$40,MATCH(G72,'TDS Rates'!$B$6:$B$40,0))="PER",IF(H72&gt;INDEX('TDS Rates'!$G$6:$G$40,MATCH(G72,'TDS Rates'!$B$6:$B$40,0)),H72,0),IF(INDEX('TDS Rates'!$F$6:$F$40,MATCH(G72,'TDS Rates'!$B$6:$B$40,0))="EXCESS",MAX(0,L72+H72-INDEX('TDS Rates'!$H$6:$H$40,MATCH(G72,'TDS Rates'!$B$6:$B$40,0)))-MAX(0,L72-INDEX('TDS Rates'!$H$6:$H$40,MATCH(G72,'TDS Rates'!$B$6:$B$40,0))),IF(INDEX('TDS Rates'!$F$6:$F$40,MATCH(G72,'TDS Rates'!$B$6:$B$40,0))="SA",IF(L72+H72&gt;INDEX('TDS Rates'!$H$6:$H$40,MATCH(G72,'TDS Rates'!$B$6:$B$40,0)),H72+M72,IF(H72&gt;INDEX('TDS Rates'!$G$6:$G$40,MATCH(G72,'TDS Rates'!$B$6:$B$40,0)),H72,0)),IF(L72+H72&gt;INDEX('TDS Rates'!$H$6:$H$40,MATCH(G72,'TDS Rates'!$B$6:$B$40,0)),H72+M72,0))))),0))</f>
        <v/>
      </c>
      <c r="O72" s="33" t="str">
        <f aca="false">IF(OR(G72="",H72=""),"",IFERROR(IF(F72="No",IF(INDEX('TDS Rates'!$C$6:$C$40,MATCH(G72,'TDS Rates'!$B$6:$B$40,0))="194Q",Settings!$C$14,MAX(Settings!$C$13,IF(E72="Individual / HUF",INDEX('TDS Rates'!$I$6:$I$40,MATCH(G72,'TDS Rates'!$B$6:$B$40,0)),IF(E72="Company",INDEX('TDS Rates'!$J$6:$J$40,MATCH(G72,'TDS Rates'!$B$6:$B$40,0)),INDEX('TDS Rates'!$K$6:$K$40,MATCH(G72,'TDS Rates'!$B$6:$B$40,0)))))),IF(E72="Individual / HUF",INDEX('TDS Rates'!$I$6:$I$40,MATCH(G72,'TDS Rates'!$B$6:$B$40,0)),IF(E72="Company",INDEX('TDS Rates'!$J$6:$J$40,MATCH(G72,'TDS Rates'!$B$6:$B$40,0)),INDEX('TDS Rates'!$K$6:$K$40,MATCH(G72,'TDS Rates'!$B$6:$B$40,0))))),0))</f>
        <v/>
      </c>
      <c r="P72" s="34" t="str">
        <f aca="false">IF(OR(G72="",H72=""),"",ROUND(N72*O72,0))</f>
        <v/>
      </c>
      <c r="Q72" s="27" t="str">
        <f aca="false">IF(OR(G72="",H72=""),"",IFERROR(IF(INDEX('TDS Rates'!$E$6:$E$40,MATCH(G72,'TDS Rates'!$B$6:$B$40,0))="Form 141",EOMONTH(IF(R72="",B72,R72),0)+30,IF(MONTH(IF(R72="",B72,R72))=3,DATE(YEAR(IF(R72="",B72,R72)),4,30),DATE(YEAR(IF(R72="",B72,R72)),MONTH(IF(R72="",B72,R72))+1,7))),""))</f>
        <v/>
      </c>
      <c r="R72" s="17"/>
      <c r="S72" s="17"/>
      <c r="T72" s="5"/>
      <c r="U72" s="28" t="str">
        <f aca="false">IF(OR(G72="",H72=""),"",IF(P72=0,0,IF(IF(R72="",Settings!$C$9,R72)&lt;=B72,0,((YEAR(IF(R72="",Settings!$C$9,R72))-YEAR(B72))*12+MONTH(IF(R72="",Settings!$C$9,R72))-MONTH(B72)+1))))</f>
        <v/>
      </c>
      <c r="V72" s="29" t="str">
        <f aca="false">IF(OR(G72="",H72=""),"",ROUND(P72*Settings!$C$10*U72,0))</f>
        <v/>
      </c>
      <c r="W72" s="28" t="str">
        <f aca="false">IF(OR(G72="",H72=""),"",IF(OR(P72=0,R72=""),0,IF(IF(S72="",Settings!$C$9,S72)&lt;=Q72,0,((YEAR(IF(S72="",Settings!$C$9,S72))-YEAR(R72))*12+MONTH(IF(S72="",Settings!$C$9,S72))-MONTH(R72)+1))))</f>
        <v/>
      </c>
      <c r="X72" s="29" t="str">
        <f aca="false">IF(OR(G72="",H72=""),"",ROUND(P72*Settings!$C$11*W72,0))</f>
        <v/>
      </c>
      <c r="Y72" s="29" t="str">
        <f aca="false">IF(OR(G72="",H72=""),"",V72+X72)</f>
        <v/>
      </c>
      <c r="Z72" s="7" t="str">
        <f aca="false">IF(OR(G72="",H72=""),"",IF(P72=0,"Below threshold",IF(R72="","Not yet deducted",IF(S72="",IF(Settings!$C$9&gt;Q72,"Overdue — pay now","Deducted, due "&amp;TEXT(Q72,"dd-mmm")),IF(S72&lt;=Q72,IF(N(U72)&gt;0,"Deducted late, paid on time","Paid on time"),"Paid late")))))</f>
        <v/>
      </c>
      <c r="AA72" s="35" t="str">
        <f aca="false">IF(OR(G72="",H72=""),"",IF(D72&lt;&gt;"",UPPER(TRIM(D72)),UPPER(TRIM(C72))))</f>
        <v/>
      </c>
    </row>
    <row r="73" customFormat="false" ht="15" hidden="false" customHeight="false" outlineLevel="0" collapsed="false">
      <c r="B73" s="17"/>
      <c r="C73" s="5"/>
      <c r="D73" s="5"/>
      <c r="E73" s="5"/>
      <c r="F73" s="5"/>
      <c r="G73" s="5"/>
      <c r="H73" s="16"/>
      <c r="I73" s="7" t="str">
        <f aca="false">IF(OR(G73="",H73=""),"",IFERROR(INDEX('TDS Rates'!$D$6:$D$40,MATCH(G73,'TDS Rates'!$B$6:$B$40,0)),"Check nature"))</f>
        <v/>
      </c>
      <c r="J73" s="7" t="str">
        <f aca="false">IF(OR(G73="",H73=""),"",IFERROR(INDEX('TDS Rates'!$C$6:$C$40,MATCH(G73,'TDS Rates'!$B$6:$B$40,0)),""))</f>
        <v/>
      </c>
      <c r="K73" s="7" t="str">
        <f aca="false">IF(OR(G73="",H73=""),"",IFERROR(INDEX('TDS Rates'!$E$6:$E$40,MATCH(G73,'TDS Rates'!$B$6:$B$40,0)),""))</f>
        <v/>
      </c>
      <c r="L73" s="29" t="str">
        <f aca="false">IF(OR(G73="",H73=""),"",SUMIFS(H$6:H72,AA$6:AA72,AA73,G$6:G72,G73))</f>
        <v/>
      </c>
      <c r="M73" s="29" t="str">
        <f aca="false">IF(OR(G73="",H73=""),"",SUMIFS(H$6:H72,AA$6:AA72,AA73,G$6:G72,G73,N$6:N72,0))</f>
        <v/>
      </c>
      <c r="N73" s="29" t="str">
        <f aca="false">IF(OR(G73="",H73=""),"",IFERROR(IF(INDEX('TDS Rates'!$F$6:$F$40,MATCH(G73,'TDS Rates'!$B$6:$B$40,0))="NONE",H73,IF(INDEX('TDS Rates'!$F$6:$F$40,MATCH(G73,'TDS Rates'!$B$6:$B$40,0))="PER",IF(H73&gt;INDEX('TDS Rates'!$G$6:$G$40,MATCH(G73,'TDS Rates'!$B$6:$B$40,0)),H73,0),IF(INDEX('TDS Rates'!$F$6:$F$40,MATCH(G73,'TDS Rates'!$B$6:$B$40,0))="EXCESS",MAX(0,L73+H73-INDEX('TDS Rates'!$H$6:$H$40,MATCH(G73,'TDS Rates'!$B$6:$B$40,0)))-MAX(0,L73-INDEX('TDS Rates'!$H$6:$H$40,MATCH(G73,'TDS Rates'!$B$6:$B$40,0))),IF(INDEX('TDS Rates'!$F$6:$F$40,MATCH(G73,'TDS Rates'!$B$6:$B$40,0))="SA",IF(L73+H73&gt;INDEX('TDS Rates'!$H$6:$H$40,MATCH(G73,'TDS Rates'!$B$6:$B$40,0)),H73+M73,IF(H73&gt;INDEX('TDS Rates'!$G$6:$G$40,MATCH(G73,'TDS Rates'!$B$6:$B$40,0)),H73,0)),IF(L73+H73&gt;INDEX('TDS Rates'!$H$6:$H$40,MATCH(G73,'TDS Rates'!$B$6:$B$40,0)),H73+M73,0))))),0))</f>
        <v/>
      </c>
      <c r="O73" s="33" t="str">
        <f aca="false">IF(OR(G73="",H73=""),"",IFERROR(IF(F73="No",IF(INDEX('TDS Rates'!$C$6:$C$40,MATCH(G73,'TDS Rates'!$B$6:$B$40,0))="194Q",Settings!$C$14,MAX(Settings!$C$13,IF(E73="Individual / HUF",INDEX('TDS Rates'!$I$6:$I$40,MATCH(G73,'TDS Rates'!$B$6:$B$40,0)),IF(E73="Company",INDEX('TDS Rates'!$J$6:$J$40,MATCH(G73,'TDS Rates'!$B$6:$B$40,0)),INDEX('TDS Rates'!$K$6:$K$40,MATCH(G73,'TDS Rates'!$B$6:$B$40,0)))))),IF(E73="Individual / HUF",INDEX('TDS Rates'!$I$6:$I$40,MATCH(G73,'TDS Rates'!$B$6:$B$40,0)),IF(E73="Company",INDEX('TDS Rates'!$J$6:$J$40,MATCH(G73,'TDS Rates'!$B$6:$B$40,0)),INDEX('TDS Rates'!$K$6:$K$40,MATCH(G73,'TDS Rates'!$B$6:$B$40,0))))),0))</f>
        <v/>
      </c>
      <c r="P73" s="34" t="str">
        <f aca="false">IF(OR(G73="",H73=""),"",ROUND(N73*O73,0))</f>
        <v/>
      </c>
      <c r="Q73" s="27" t="str">
        <f aca="false">IF(OR(G73="",H73=""),"",IFERROR(IF(INDEX('TDS Rates'!$E$6:$E$40,MATCH(G73,'TDS Rates'!$B$6:$B$40,0))="Form 141",EOMONTH(IF(R73="",B73,R73),0)+30,IF(MONTH(IF(R73="",B73,R73))=3,DATE(YEAR(IF(R73="",B73,R73)),4,30),DATE(YEAR(IF(R73="",B73,R73)),MONTH(IF(R73="",B73,R73))+1,7))),""))</f>
        <v/>
      </c>
      <c r="R73" s="17"/>
      <c r="S73" s="17"/>
      <c r="T73" s="5"/>
      <c r="U73" s="28" t="str">
        <f aca="false">IF(OR(G73="",H73=""),"",IF(P73=0,0,IF(IF(R73="",Settings!$C$9,R73)&lt;=B73,0,((YEAR(IF(R73="",Settings!$C$9,R73))-YEAR(B73))*12+MONTH(IF(R73="",Settings!$C$9,R73))-MONTH(B73)+1))))</f>
        <v/>
      </c>
      <c r="V73" s="29" t="str">
        <f aca="false">IF(OR(G73="",H73=""),"",ROUND(P73*Settings!$C$10*U73,0))</f>
        <v/>
      </c>
      <c r="W73" s="28" t="str">
        <f aca="false">IF(OR(G73="",H73=""),"",IF(OR(P73=0,R73=""),0,IF(IF(S73="",Settings!$C$9,S73)&lt;=Q73,0,((YEAR(IF(S73="",Settings!$C$9,S73))-YEAR(R73))*12+MONTH(IF(S73="",Settings!$C$9,S73))-MONTH(R73)+1))))</f>
        <v/>
      </c>
      <c r="X73" s="29" t="str">
        <f aca="false">IF(OR(G73="",H73=""),"",ROUND(P73*Settings!$C$11*W73,0))</f>
        <v/>
      </c>
      <c r="Y73" s="29" t="str">
        <f aca="false">IF(OR(G73="",H73=""),"",V73+X73)</f>
        <v/>
      </c>
      <c r="Z73" s="7" t="str">
        <f aca="false">IF(OR(G73="",H73=""),"",IF(P73=0,"Below threshold",IF(R73="","Not yet deducted",IF(S73="",IF(Settings!$C$9&gt;Q73,"Overdue — pay now","Deducted, due "&amp;TEXT(Q73,"dd-mmm")),IF(S73&lt;=Q73,IF(N(U73)&gt;0,"Deducted late, paid on time","Paid on time"),"Paid late")))))</f>
        <v/>
      </c>
      <c r="AA73" s="35" t="str">
        <f aca="false">IF(OR(G73="",H73=""),"",IF(D73&lt;&gt;"",UPPER(TRIM(D73)),UPPER(TRIM(C73))))</f>
        <v/>
      </c>
    </row>
    <row r="74" customFormat="false" ht="15" hidden="false" customHeight="false" outlineLevel="0" collapsed="false">
      <c r="B74" s="17"/>
      <c r="C74" s="5"/>
      <c r="D74" s="5"/>
      <c r="E74" s="5"/>
      <c r="F74" s="5"/>
      <c r="G74" s="5"/>
      <c r="H74" s="16"/>
      <c r="I74" s="7" t="str">
        <f aca="false">IF(OR(G74="",H74=""),"",IFERROR(INDEX('TDS Rates'!$D$6:$D$40,MATCH(G74,'TDS Rates'!$B$6:$B$40,0)),"Check nature"))</f>
        <v/>
      </c>
      <c r="J74" s="7" t="str">
        <f aca="false">IF(OR(G74="",H74=""),"",IFERROR(INDEX('TDS Rates'!$C$6:$C$40,MATCH(G74,'TDS Rates'!$B$6:$B$40,0)),""))</f>
        <v/>
      </c>
      <c r="K74" s="7" t="str">
        <f aca="false">IF(OR(G74="",H74=""),"",IFERROR(INDEX('TDS Rates'!$E$6:$E$40,MATCH(G74,'TDS Rates'!$B$6:$B$40,0)),""))</f>
        <v/>
      </c>
      <c r="L74" s="29" t="str">
        <f aca="false">IF(OR(G74="",H74=""),"",SUMIFS(H$6:H73,AA$6:AA73,AA74,G$6:G73,G74))</f>
        <v/>
      </c>
      <c r="M74" s="29" t="str">
        <f aca="false">IF(OR(G74="",H74=""),"",SUMIFS(H$6:H73,AA$6:AA73,AA74,G$6:G73,G74,N$6:N73,0))</f>
        <v/>
      </c>
      <c r="N74" s="29" t="str">
        <f aca="false">IF(OR(G74="",H74=""),"",IFERROR(IF(INDEX('TDS Rates'!$F$6:$F$40,MATCH(G74,'TDS Rates'!$B$6:$B$40,0))="NONE",H74,IF(INDEX('TDS Rates'!$F$6:$F$40,MATCH(G74,'TDS Rates'!$B$6:$B$40,0))="PER",IF(H74&gt;INDEX('TDS Rates'!$G$6:$G$40,MATCH(G74,'TDS Rates'!$B$6:$B$40,0)),H74,0),IF(INDEX('TDS Rates'!$F$6:$F$40,MATCH(G74,'TDS Rates'!$B$6:$B$40,0))="EXCESS",MAX(0,L74+H74-INDEX('TDS Rates'!$H$6:$H$40,MATCH(G74,'TDS Rates'!$B$6:$B$40,0)))-MAX(0,L74-INDEX('TDS Rates'!$H$6:$H$40,MATCH(G74,'TDS Rates'!$B$6:$B$40,0))),IF(INDEX('TDS Rates'!$F$6:$F$40,MATCH(G74,'TDS Rates'!$B$6:$B$40,0))="SA",IF(L74+H74&gt;INDEX('TDS Rates'!$H$6:$H$40,MATCH(G74,'TDS Rates'!$B$6:$B$40,0)),H74+M74,IF(H74&gt;INDEX('TDS Rates'!$G$6:$G$40,MATCH(G74,'TDS Rates'!$B$6:$B$40,0)),H74,0)),IF(L74+H74&gt;INDEX('TDS Rates'!$H$6:$H$40,MATCH(G74,'TDS Rates'!$B$6:$B$40,0)),H74+M74,0))))),0))</f>
        <v/>
      </c>
      <c r="O74" s="33" t="str">
        <f aca="false">IF(OR(G74="",H74=""),"",IFERROR(IF(F74="No",IF(INDEX('TDS Rates'!$C$6:$C$40,MATCH(G74,'TDS Rates'!$B$6:$B$40,0))="194Q",Settings!$C$14,MAX(Settings!$C$13,IF(E74="Individual / HUF",INDEX('TDS Rates'!$I$6:$I$40,MATCH(G74,'TDS Rates'!$B$6:$B$40,0)),IF(E74="Company",INDEX('TDS Rates'!$J$6:$J$40,MATCH(G74,'TDS Rates'!$B$6:$B$40,0)),INDEX('TDS Rates'!$K$6:$K$40,MATCH(G74,'TDS Rates'!$B$6:$B$40,0)))))),IF(E74="Individual / HUF",INDEX('TDS Rates'!$I$6:$I$40,MATCH(G74,'TDS Rates'!$B$6:$B$40,0)),IF(E74="Company",INDEX('TDS Rates'!$J$6:$J$40,MATCH(G74,'TDS Rates'!$B$6:$B$40,0)),INDEX('TDS Rates'!$K$6:$K$40,MATCH(G74,'TDS Rates'!$B$6:$B$40,0))))),0))</f>
        <v/>
      </c>
      <c r="P74" s="34" t="str">
        <f aca="false">IF(OR(G74="",H74=""),"",ROUND(N74*O74,0))</f>
        <v/>
      </c>
      <c r="Q74" s="27" t="str">
        <f aca="false">IF(OR(G74="",H74=""),"",IFERROR(IF(INDEX('TDS Rates'!$E$6:$E$40,MATCH(G74,'TDS Rates'!$B$6:$B$40,0))="Form 141",EOMONTH(IF(R74="",B74,R74),0)+30,IF(MONTH(IF(R74="",B74,R74))=3,DATE(YEAR(IF(R74="",B74,R74)),4,30),DATE(YEAR(IF(R74="",B74,R74)),MONTH(IF(R74="",B74,R74))+1,7))),""))</f>
        <v/>
      </c>
      <c r="R74" s="17"/>
      <c r="S74" s="17"/>
      <c r="T74" s="5"/>
      <c r="U74" s="28" t="str">
        <f aca="false">IF(OR(G74="",H74=""),"",IF(P74=0,0,IF(IF(R74="",Settings!$C$9,R74)&lt;=B74,0,((YEAR(IF(R74="",Settings!$C$9,R74))-YEAR(B74))*12+MONTH(IF(R74="",Settings!$C$9,R74))-MONTH(B74)+1))))</f>
        <v/>
      </c>
      <c r="V74" s="29" t="str">
        <f aca="false">IF(OR(G74="",H74=""),"",ROUND(P74*Settings!$C$10*U74,0))</f>
        <v/>
      </c>
      <c r="W74" s="28" t="str">
        <f aca="false">IF(OR(G74="",H74=""),"",IF(OR(P74=0,R74=""),0,IF(IF(S74="",Settings!$C$9,S74)&lt;=Q74,0,((YEAR(IF(S74="",Settings!$C$9,S74))-YEAR(R74))*12+MONTH(IF(S74="",Settings!$C$9,S74))-MONTH(R74)+1))))</f>
        <v/>
      </c>
      <c r="X74" s="29" t="str">
        <f aca="false">IF(OR(G74="",H74=""),"",ROUND(P74*Settings!$C$11*W74,0))</f>
        <v/>
      </c>
      <c r="Y74" s="29" t="str">
        <f aca="false">IF(OR(G74="",H74=""),"",V74+X74)</f>
        <v/>
      </c>
      <c r="Z74" s="7" t="str">
        <f aca="false">IF(OR(G74="",H74=""),"",IF(P74=0,"Below threshold",IF(R74="","Not yet deducted",IF(S74="",IF(Settings!$C$9&gt;Q74,"Overdue — pay now","Deducted, due "&amp;TEXT(Q74,"dd-mmm")),IF(S74&lt;=Q74,IF(N(U74)&gt;0,"Deducted late, paid on time","Paid on time"),"Paid late")))))</f>
        <v/>
      </c>
      <c r="AA74" s="35" t="str">
        <f aca="false">IF(OR(G74="",H74=""),"",IF(D74&lt;&gt;"",UPPER(TRIM(D74)),UPPER(TRIM(C74))))</f>
        <v/>
      </c>
    </row>
    <row r="75" customFormat="false" ht="15" hidden="false" customHeight="false" outlineLevel="0" collapsed="false">
      <c r="B75" s="17"/>
      <c r="C75" s="5"/>
      <c r="D75" s="5"/>
      <c r="E75" s="5"/>
      <c r="F75" s="5"/>
      <c r="G75" s="5"/>
      <c r="H75" s="16"/>
      <c r="I75" s="7" t="str">
        <f aca="false">IF(OR(G75="",H75=""),"",IFERROR(INDEX('TDS Rates'!$D$6:$D$40,MATCH(G75,'TDS Rates'!$B$6:$B$40,0)),"Check nature"))</f>
        <v/>
      </c>
      <c r="J75" s="7" t="str">
        <f aca="false">IF(OR(G75="",H75=""),"",IFERROR(INDEX('TDS Rates'!$C$6:$C$40,MATCH(G75,'TDS Rates'!$B$6:$B$40,0)),""))</f>
        <v/>
      </c>
      <c r="K75" s="7" t="str">
        <f aca="false">IF(OR(G75="",H75=""),"",IFERROR(INDEX('TDS Rates'!$E$6:$E$40,MATCH(G75,'TDS Rates'!$B$6:$B$40,0)),""))</f>
        <v/>
      </c>
      <c r="L75" s="29" t="str">
        <f aca="false">IF(OR(G75="",H75=""),"",SUMIFS(H$6:H74,AA$6:AA74,AA75,G$6:G74,G75))</f>
        <v/>
      </c>
      <c r="M75" s="29" t="str">
        <f aca="false">IF(OR(G75="",H75=""),"",SUMIFS(H$6:H74,AA$6:AA74,AA75,G$6:G74,G75,N$6:N74,0))</f>
        <v/>
      </c>
      <c r="N75" s="29" t="str">
        <f aca="false">IF(OR(G75="",H75=""),"",IFERROR(IF(INDEX('TDS Rates'!$F$6:$F$40,MATCH(G75,'TDS Rates'!$B$6:$B$40,0))="NONE",H75,IF(INDEX('TDS Rates'!$F$6:$F$40,MATCH(G75,'TDS Rates'!$B$6:$B$40,0))="PER",IF(H75&gt;INDEX('TDS Rates'!$G$6:$G$40,MATCH(G75,'TDS Rates'!$B$6:$B$40,0)),H75,0),IF(INDEX('TDS Rates'!$F$6:$F$40,MATCH(G75,'TDS Rates'!$B$6:$B$40,0))="EXCESS",MAX(0,L75+H75-INDEX('TDS Rates'!$H$6:$H$40,MATCH(G75,'TDS Rates'!$B$6:$B$40,0)))-MAX(0,L75-INDEX('TDS Rates'!$H$6:$H$40,MATCH(G75,'TDS Rates'!$B$6:$B$40,0))),IF(INDEX('TDS Rates'!$F$6:$F$40,MATCH(G75,'TDS Rates'!$B$6:$B$40,0))="SA",IF(L75+H75&gt;INDEX('TDS Rates'!$H$6:$H$40,MATCH(G75,'TDS Rates'!$B$6:$B$40,0)),H75+M75,IF(H75&gt;INDEX('TDS Rates'!$G$6:$G$40,MATCH(G75,'TDS Rates'!$B$6:$B$40,0)),H75,0)),IF(L75+H75&gt;INDEX('TDS Rates'!$H$6:$H$40,MATCH(G75,'TDS Rates'!$B$6:$B$40,0)),H75+M75,0))))),0))</f>
        <v/>
      </c>
      <c r="O75" s="33" t="str">
        <f aca="false">IF(OR(G75="",H75=""),"",IFERROR(IF(F75="No",IF(INDEX('TDS Rates'!$C$6:$C$40,MATCH(G75,'TDS Rates'!$B$6:$B$40,0))="194Q",Settings!$C$14,MAX(Settings!$C$13,IF(E75="Individual / HUF",INDEX('TDS Rates'!$I$6:$I$40,MATCH(G75,'TDS Rates'!$B$6:$B$40,0)),IF(E75="Company",INDEX('TDS Rates'!$J$6:$J$40,MATCH(G75,'TDS Rates'!$B$6:$B$40,0)),INDEX('TDS Rates'!$K$6:$K$40,MATCH(G75,'TDS Rates'!$B$6:$B$40,0)))))),IF(E75="Individual / HUF",INDEX('TDS Rates'!$I$6:$I$40,MATCH(G75,'TDS Rates'!$B$6:$B$40,0)),IF(E75="Company",INDEX('TDS Rates'!$J$6:$J$40,MATCH(G75,'TDS Rates'!$B$6:$B$40,0)),INDEX('TDS Rates'!$K$6:$K$40,MATCH(G75,'TDS Rates'!$B$6:$B$40,0))))),0))</f>
        <v/>
      </c>
      <c r="P75" s="34" t="str">
        <f aca="false">IF(OR(G75="",H75=""),"",ROUND(N75*O75,0))</f>
        <v/>
      </c>
      <c r="Q75" s="27" t="str">
        <f aca="false">IF(OR(G75="",H75=""),"",IFERROR(IF(INDEX('TDS Rates'!$E$6:$E$40,MATCH(G75,'TDS Rates'!$B$6:$B$40,0))="Form 141",EOMONTH(IF(R75="",B75,R75),0)+30,IF(MONTH(IF(R75="",B75,R75))=3,DATE(YEAR(IF(R75="",B75,R75)),4,30),DATE(YEAR(IF(R75="",B75,R75)),MONTH(IF(R75="",B75,R75))+1,7))),""))</f>
        <v/>
      </c>
      <c r="R75" s="17"/>
      <c r="S75" s="17"/>
      <c r="T75" s="5"/>
      <c r="U75" s="28" t="str">
        <f aca="false">IF(OR(G75="",H75=""),"",IF(P75=0,0,IF(IF(R75="",Settings!$C$9,R75)&lt;=B75,0,((YEAR(IF(R75="",Settings!$C$9,R75))-YEAR(B75))*12+MONTH(IF(R75="",Settings!$C$9,R75))-MONTH(B75)+1))))</f>
        <v/>
      </c>
      <c r="V75" s="29" t="str">
        <f aca="false">IF(OR(G75="",H75=""),"",ROUND(P75*Settings!$C$10*U75,0))</f>
        <v/>
      </c>
      <c r="W75" s="28" t="str">
        <f aca="false">IF(OR(G75="",H75=""),"",IF(OR(P75=0,R75=""),0,IF(IF(S75="",Settings!$C$9,S75)&lt;=Q75,0,((YEAR(IF(S75="",Settings!$C$9,S75))-YEAR(R75))*12+MONTH(IF(S75="",Settings!$C$9,S75))-MONTH(R75)+1))))</f>
        <v/>
      </c>
      <c r="X75" s="29" t="str">
        <f aca="false">IF(OR(G75="",H75=""),"",ROUND(P75*Settings!$C$11*W75,0))</f>
        <v/>
      </c>
      <c r="Y75" s="29" t="str">
        <f aca="false">IF(OR(G75="",H75=""),"",V75+X75)</f>
        <v/>
      </c>
      <c r="Z75" s="7" t="str">
        <f aca="false">IF(OR(G75="",H75=""),"",IF(P75=0,"Below threshold",IF(R75="","Not yet deducted",IF(S75="",IF(Settings!$C$9&gt;Q75,"Overdue — pay now","Deducted, due "&amp;TEXT(Q75,"dd-mmm")),IF(S75&lt;=Q75,IF(N(U75)&gt;0,"Deducted late, paid on time","Paid on time"),"Paid late")))))</f>
        <v/>
      </c>
      <c r="AA75" s="35" t="str">
        <f aca="false">IF(OR(G75="",H75=""),"",IF(D75&lt;&gt;"",UPPER(TRIM(D75)),UPPER(TRIM(C75))))</f>
        <v/>
      </c>
    </row>
    <row r="76" customFormat="false" ht="15" hidden="false" customHeight="false" outlineLevel="0" collapsed="false">
      <c r="B76" s="17"/>
      <c r="C76" s="5"/>
      <c r="D76" s="5"/>
      <c r="E76" s="5"/>
      <c r="F76" s="5"/>
      <c r="G76" s="5"/>
      <c r="H76" s="16"/>
      <c r="I76" s="7" t="str">
        <f aca="false">IF(OR(G76="",H76=""),"",IFERROR(INDEX('TDS Rates'!$D$6:$D$40,MATCH(G76,'TDS Rates'!$B$6:$B$40,0)),"Check nature"))</f>
        <v/>
      </c>
      <c r="J76" s="7" t="str">
        <f aca="false">IF(OR(G76="",H76=""),"",IFERROR(INDEX('TDS Rates'!$C$6:$C$40,MATCH(G76,'TDS Rates'!$B$6:$B$40,0)),""))</f>
        <v/>
      </c>
      <c r="K76" s="7" t="str">
        <f aca="false">IF(OR(G76="",H76=""),"",IFERROR(INDEX('TDS Rates'!$E$6:$E$40,MATCH(G76,'TDS Rates'!$B$6:$B$40,0)),""))</f>
        <v/>
      </c>
      <c r="L76" s="29" t="str">
        <f aca="false">IF(OR(G76="",H76=""),"",SUMIFS(H$6:H75,AA$6:AA75,AA76,G$6:G75,G76))</f>
        <v/>
      </c>
      <c r="M76" s="29" t="str">
        <f aca="false">IF(OR(G76="",H76=""),"",SUMIFS(H$6:H75,AA$6:AA75,AA76,G$6:G75,G76,N$6:N75,0))</f>
        <v/>
      </c>
      <c r="N76" s="29" t="str">
        <f aca="false">IF(OR(G76="",H76=""),"",IFERROR(IF(INDEX('TDS Rates'!$F$6:$F$40,MATCH(G76,'TDS Rates'!$B$6:$B$40,0))="NONE",H76,IF(INDEX('TDS Rates'!$F$6:$F$40,MATCH(G76,'TDS Rates'!$B$6:$B$40,0))="PER",IF(H76&gt;INDEX('TDS Rates'!$G$6:$G$40,MATCH(G76,'TDS Rates'!$B$6:$B$40,0)),H76,0),IF(INDEX('TDS Rates'!$F$6:$F$40,MATCH(G76,'TDS Rates'!$B$6:$B$40,0))="EXCESS",MAX(0,L76+H76-INDEX('TDS Rates'!$H$6:$H$40,MATCH(G76,'TDS Rates'!$B$6:$B$40,0)))-MAX(0,L76-INDEX('TDS Rates'!$H$6:$H$40,MATCH(G76,'TDS Rates'!$B$6:$B$40,0))),IF(INDEX('TDS Rates'!$F$6:$F$40,MATCH(G76,'TDS Rates'!$B$6:$B$40,0))="SA",IF(L76+H76&gt;INDEX('TDS Rates'!$H$6:$H$40,MATCH(G76,'TDS Rates'!$B$6:$B$40,0)),H76+M76,IF(H76&gt;INDEX('TDS Rates'!$G$6:$G$40,MATCH(G76,'TDS Rates'!$B$6:$B$40,0)),H76,0)),IF(L76+H76&gt;INDEX('TDS Rates'!$H$6:$H$40,MATCH(G76,'TDS Rates'!$B$6:$B$40,0)),H76+M76,0))))),0))</f>
        <v/>
      </c>
      <c r="O76" s="33" t="str">
        <f aca="false">IF(OR(G76="",H76=""),"",IFERROR(IF(F76="No",IF(INDEX('TDS Rates'!$C$6:$C$40,MATCH(G76,'TDS Rates'!$B$6:$B$40,0))="194Q",Settings!$C$14,MAX(Settings!$C$13,IF(E76="Individual / HUF",INDEX('TDS Rates'!$I$6:$I$40,MATCH(G76,'TDS Rates'!$B$6:$B$40,0)),IF(E76="Company",INDEX('TDS Rates'!$J$6:$J$40,MATCH(G76,'TDS Rates'!$B$6:$B$40,0)),INDEX('TDS Rates'!$K$6:$K$40,MATCH(G76,'TDS Rates'!$B$6:$B$40,0)))))),IF(E76="Individual / HUF",INDEX('TDS Rates'!$I$6:$I$40,MATCH(G76,'TDS Rates'!$B$6:$B$40,0)),IF(E76="Company",INDEX('TDS Rates'!$J$6:$J$40,MATCH(G76,'TDS Rates'!$B$6:$B$40,0)),INDEX('TDS Rates'!$K$6:$K$40,MATCH(G76,'TDS Rates'!$B$6:$B$40,0))))),0))</f>
        <v/>
      </c>
      <c r="P76" s="34" t="str">
        <f aca="false">IF(OR(G76="",H76=""),"",ROUND(N76*O76,0))</f>
        <v/>
      </c>
      <c r="Q76" s="27" t="str">
        <f aca="false">IF(OR(G76="",H76=""),"",IFERROR(IF(INDEX('TDS Rates'!$E$6:$E$40,MATCH(G76,'TDS Rates'!$B$6:$B$40,0))="Form 141",EOMONTH(IF(R76="",B76,R76),0)+30,IF(MONTH(IF(R76="",B76,R76))=3,DATE(YEAR(IF(R76="",B76,R76)),4,30),DATE(YEAR(IF(R76="",B76,R76)),MONTH(IF(R76="",B76,R76))+1,7))),""))</f>
        <v/>
      </c>
      <c r="R76" s="17"/>
      <c r="S76" s="17"/>
      <c r="T76" s="5"/>
      <c r="U76" s="28" t="str">
        <f aca="false">IF(OR(G76="",H76=""),"",IF(P76=0,0,IF(IF(R76="",Settings!$C$9,R76)&lt;=B76,0,((YEAR(IF(R76="",Settings!$C$9,R76))-YEAR(B76))*12+MONTH(IF(R76="",Settings!$C$9,R76))-MONTH(B76)+1))))</f>
        <v/>
      </c>
      <c r="V76" s="29" t="str">
        <f aca="false">IF(OR(G76="",H76=""),"",ROUND(P76*Settings!$C$10*U76,0))</f>
        <v/>
      </c>
      <c r="W76" s="28" t="str">
        <f aca="false">IF(OR(G76="",H76=""),"",IF(OR(P76=0,R76=""),0,IF(IF(S76="",Settings!$C$9,S76)&lt;=Q76,0,((YEAR(IF(S76="",Settings!$C$9,S76))-YEAR(R76))*12+MONTH(IF(S76="",Settings!$C$9,S76))-MONTH(R76)+1))))</f>
        <v/>
      </c>
      <c r="X76" s="29" t="str">
        <f aca="false">IF(OR(G76="",H76=""),"",ROUND(P76*Settings!$C$11*W76,0))</f>
        <v/>
      </c>
      <c r="Y76" s="29" t="str">
        <f aca="false">IF(OR(G76="",H76=""),"",V76+X76)</f>
        <v/>
      </c>
      <c r="Z76" s="7" t="str">
        <f aca="false">IF(OR(G76="",H76=""),"",IF(P76=0,"Below threshold",IF(R76="","Not yet deducted",IF(S76="",IF(Settings!$C$9&gt;Q76,"Overdue — pay now","Deducted, due "&amp;TEXT(Q76,"dd-mmm")),IF(S76&lt;=Q76,IF(N(U76)&gt;0,"Deducted late, paid on time","Paid on time"),"Paid late")))))</f>
        <v/>
      </c>
      <c r="AA76" s="35" t="str">
        <f aca="false">IF(OR(G76="",H76=""),"",IF(D76&lt;&gt;"",UPPER(TRIM(D76)),UPPER(TRIM(C76))))</f>
        <v/>
      </c>
    </row>
    <row r="77" customFormat="false" ht="15" hidden="false" customHeight="false" outlineLevel="0" collapsed="false">
      <c r="B77" s="17"/>
      <c r="C77" s="5"/>
      <c r="D77" s="5"/>
      <c r="E77" s="5"/>
      <c r="F77" s="5"/>
      <c r="G77" s="5"/>
      <c r="H77" s="16"/>
      <c r="I77" s="7" t="str">
        <f aca="false">IF(OR(G77="",H77=""),"",IFERROR(INDEX('TDS Rates'!$D$6:$D$40,MATCH(G77,'TDS Rates'!$B$6:$B$40,0)),"Check nature"))</f>
        <v/>
      </c>
      <c r="J77" s="7" t="str">
        <f aca="false">IF(OR(G77="",H77=""),"",IFERROR(INDEX('TDS Rates'!$C$6:$C$40,MATCH(G77,'TDS Rates'!$B$6:$B$40,0)),""))</f>
        <v/>
      </c>
      <c r="K77" s="7" t="str">
        <f aca="false">IF(OR(G77="",H77=""),"",IFERROR(INDEX('TDS Rates'!$E$6:$E$40,MATCH(G77,'TDS Rates'!$B$6:$B$40,0)),""))</f>
        <v/>
      </c>
      <c r="L77" s="29" t="str">
        <f aca="false">IF(OR(G77="",H77=""),"",SUMIFS(H$6:H76,AA$6:AA76,AA77,G$6:G76,G77))</f>
        <v/>
      </c>
      <c r="M77" s="29" t="str">
        <f aca="false">IF(OR(G77="",H77=""),"",SUMIFS(H$6:H76,AA$6:AA76,AA77,G$6:G76,G77,N$6:N76,0))</f>
        <v/>
      </c>
      <c r="N77" s="29" t="str">
        <f aca="false">IF(OR(G77="",H77=""),"",IFERROR(IF(INDEX('TDS Rates'!$F$6:$F$40,MATCH(G77,'TDS Rates'!$B$6:$B$40,0))="NONE",H77,IF(INDEX('TDS Rates'!$F$6:$F$40,MATCH(G77,'TDS Rates'!$B$6:$B$40,0))="PER",IF(H77&gt;INDEX('TDS Rates'!$G$6:$G$40,MATCH(G77,'TDS Rates'!$B$6:$B$40,0)),H77,0),IF(INDEX('TDS Rates'!$F$6:$F$40,MATCH(G77,'TDS Rates'!$B$6:$B$40,0))="EXCESS",MAX(0,L77+H77-INDEX('TDS Rates'!$H$6:$H$40,MATCH(G77,'TDS Rates'!$B$6:$B$40,0)))-MAX(0,L77-INDEX('TDS Rates'!$H$6:$H$40,MATCH(G77,'TDS Rates'!$B$6:$B$40,0))),IF(INDEX('TDS Rates'!$F$6:$F$40,MATCH(G77,'TDS Rates'!$B$6:$B$40,0))="SA",IF(L77+H77&gt;INDEX('TDS Rates'!$H$6:$H$40,MATCH(G77,'TDS Rates'!$B$6:$B$40,0)),H77+M77,IF(H77&gt;INDEX('TDS Rates'!$G$6:$G$40,MATCH(G77,'TDS Rates'!$B$6:$B$40,0)),H77,0)),IF(L77+H77&gt;INDEX('TDS Rates'!$H$6:$H$40,MATCH(G77,'TDS Rates'!$B$6:$B$40,0)),H77+M77,0))))),0))</f>
        <v/>
      </c>
      <c r="O77" s="33" t="str">
        <f aca="false">IF(OR(G77="",H77=""),"",IFERROR(IF(F77="No",IF(INDEX('TDS Rates'!$C$6:$C$40,MATCH(G77,'TDS Rates'!$B$6:$B$40,0))="194Q",Settings!$C$14,MAX(Settings!$C$13,IF(E77="Individual / HUF",INDEX('TDS Rates'!$I$6:$I$40,MATCH(G77,'TDS Rates'!$B$6:$B$40,0)),IF(E77="Company",INDEX('TDS Rates'!$J$6:$J$40,MATCH(G77,'TDS Rates'!$B$6:$B$40,0)),INDEX('TDS Rates'!$K$6:$K$40,MATCH(G77,'TDS Rates'!$B$6:$B$40,0)))))),IF(E77="Individual / HUF",INDEX('TDS Rates'!$I$6:$I$40,MATCH(G77,'TDS Rates'!$B$6:$B$40,0)),IF(E77="Company",INDEX('TDS Rates'!$J$6:$J$40,MATCH(G77,'TDS Rates'!$B$6:$B$40,0)),INDEX('TDS Rates'!$K$6:$K$40,MATCH(G77,'TDS Rates'!$B$6:$B$40,0))))),0))</f>
        <v/>
      </c>
      <c r="P77" s="34" t="str">
        <f aca="false">IF(OR(G77="",H77=""),"",ROUND(N77*O77,0))</f>
        <v/>
      </c>
      <c r="Q77" s="27" t="str">
        <f aca="false">IF(OR(G77="",H77=""),"",IFERROR(IF(INDEX('TDS Rates'!$E$6:$E$40,MATCH(G77,'TDS Rates'!$B$6:$B$40,0))="Form 141",EOMONTH(IF(R77="",B77,R77),0)+30,IF(MONTH(IF(R77="",B77,R77))=3,DATE(YEAR(IF(R77="",B77,R77)),4,30),DATE(YEAR(IF(R77="",B77,R77)),MONTH(IF(R77="",B77,R77))+1,7))),""))</f>
        <v/>
      </c>
      <c r="R77" s="17"/>
      <c r="S77" s="17"/>
      <c r="T77" s="5"/>
      <c r="U77" s="28" t="str">
        <f aca="false">IF(OR(G77="",H77=""),"",IF(P77=0,0,IF(IF(R77="",Settings!$C$9,R77)&lt;=B77,0,((YEAR(IF(R77="",Settings!$C$9,R77))-YEAR(B77))*12+MONTH(IF(R77="",Settings!$C$9,R77))-MONTH(B77)+1))))</f>
        <v/>
      </c>
      <c r="V77" s="29" t="str">
        <f aca="false">IF(OR(G77="",H77=""),"",ROUND(P77*Settings!$C$10*U77,0))</f>
        <v/>
      </c>
      <c r="W77" s="28" t="str">
        <f aca="false">IF(OR(G77="",H77=""),"",IF(OR(P77=0,R77=""),0,IF(IF(S77="",Settings!$C$9,S77)&lt;=Q77,0,((YEAR(IF(S77="",Settings!$C$9,S77))-YEAR(R77))*12+MONTH(IF(S77="",Settings!$C$9,S77))-MONTH(R77)+1))))</f>
        <v/>
      </c>
      <c r="X77" s="29" t="str">
        <f aca="false">IF(OR(G77="",H77=""),"",ROUND(P77*Settings!$C$11*W77,0))</f>
        <v/>
      </c>
      <c r="Y77" s="29" t="str">
        <f aca="false">IF(OR(G77="",H77=""),"",V77+X77)</f>
        <v/>
      </c>
      <c r="Z77" s="7" t="str">
        <f aca="false">IF(OR(G77="",H77=""),"",IF(P77=0,"Below threshold",IF(R77="","Not yet deducted",IF(S77="",IF(Settings!$C$9&gt;Q77,"Overdue — pay now","Deducted, due "&amp;TEXT(Q77,"dd-mmm")),IF(S77&lt;=Q77,IF(N(U77)&gt;0,"Deducted late, paid on time","Paid on time"),"Paid late")))))</f>
        <v/>
      </c>
      <c r="AA77" s="35" t="str">
        <f aca="false">IF(OR(G77="",H77=""),"",IF(D77&lt;&gt;"",UPPER(TRIM(D77)),UPPER(TRIM(C77))))</f>
        <v/>
      </c>
    </row>
    <row r="78" customFormat="false" ht="15" hidden="false" customHeight="false" outlineLevel="0" collapsed="false">
      <c r="B78" s="17"/>
      <c r="C78" s="5"/>
      <c r="D78" s="5"/>
      <c r="E78" s="5"/>
      <c r="F78" s="5"/>
      <c r="G78" s="5"/>
      <c r="H78" s="16"/>
      <c r="I78" s="7" t="str">
        <f aca="false">IF(OR(G78="",H78=""),"",IFERROR(INDEX('TDS Rates'!$D$6:$D$40,MATCH(G78,'TDS Rates'!$B$6:$B$40,0)),"Check nature"))</f>
        <v/>
      </c>
      <c r="J78" s="7" t="str">
        <f aca="false">IF(OR(G78="",H78=""),"",IFERROR(INDEX('TDS Rates'!$C$6:$C$40,MATCH(G78,'TDS Rates'!$B$6:$B$40,0)),""))</f>
        <v/>
      </c>
      <c r="K78" s="7" t="str">
        <f aca="false">IF(OR(G78="",H78=""),"",IFERROR(INDEX('TDS Rates'!$E$6:$E$40,MATCH(G78,'TDS Rates'!$B$6:$B$40,0)),""))</f>
        <v/>
      </c>
      <c r="L78" s="29" t="str">
        <f aca="false">IF(OR(G78="",H78=""),"",SUMIFS(H$6:H77,AA$6:AA77,AA78,G$6:G77,G78))</f>
        <v/>
      </c>
      <c r="M78" s="29" t="str">
        <f aca="false">IF(OR(G78="",H78=""),"",SUMIFS(H$6:H77,AA$6:AA77,AA78,G$6:G77,G78,N$6:N77,0))</f>
        <v/>
      </c>
      <c r="N78" s="29" t="str">
        <f aca="false">IF(OR(G78="",H78=""),"",IFERROR(IF(INDEX('TDS Rates'!$F$6:$F$40,MATCH(G78,'TDS Rates'!$B$6:$B$40,0))="NONE",H78,IF(INDEX('TDS Rates'!$F$6:$F$40,MATCH(G78,'TDS Rates'!$B$6:$B$40,0))="PER",IF(H78&gt;INDEX('TDS Rates'!$G$6:$G$40,MATCH(G78,'TDS Rates'!$B$6:$B$40,0)),H78,0),IF(INDEX('TDS Rates'!$F$6:$F$40,MATCH(G78,'TDS Rates'!$B$6:$B$40,0))="EXCESS",MAX(0,L78+H78-INDEX('TDS Rates'!$H$6:$H$40,MATCH(G78,'TDS Rates'!$B$6:$B$40,0)))-MAX(0,L78-INDEX('TDS Rates'!$H$6:$H$40,MATCH(G78,'TDS Rates'!$B$6:$B$40,0))),IF(INDEX('TDS Rates'!$F$6:$F$40,MATCH(G78,'TDS Rates'!$B$6:$B$40,0))="SA",IF(L78+H78&gt;INDEX('TDS Rates'!$H$6:$H$40,MATCH(G78,'TDS Rates'!$B$6:$B$40,0)),H78+M78,IF(H78&gt;INDEX('TDS Rates'!$G$6:$G$40,MATCH(G78,'TDS Rates'!$B$6:$B$40,0)),H78,0)),IF(L78+H78&gt;INDEX('TDS Rates'!$H$6:$H$40,MATCH(G78,'TDS Rates'!$B$6:$B$40,0)),H78+M78,0))))),0))</f>
        <v/>
      </c>
      <c r="O78" s="33" t="str">
        <f aca="false">IF(OR(G78="",H78=""),"",IFERROR(IF(F78="No",IF(INDEX('TDS Rates'!$C$6:$C$40,MATCH(G78,'TDS Rates'!$B$6:$B$40,0))="194Q",Settings!$C$14,MAX(Settings!$C$13,IF(E78="Individual / HUF",INDEX('TDS Rates'!$I$6:$I$40,MATCH(G78,'TDS Rates'!$B$6:$B$40,0)),IF(E78="Company",INDEX('TDS Rates'!$J$6:$J$40,MATCH(G78,'TDS Rates'!$B$6:$B$40,0)),INDEX('TDS Rates'!$K$6:$K$40,MATCH(G78,'TDS Rates'!$B$6:$B$40,0)))))),IF(E78="Individual / HUF",INDEX('TDS Rates'!$I$6:$I$40,MATCH(G78,'TDS Rates'!$B$6:$B$40,0)),IF(E78="Company",INDEX('TDS Rates'!$J$6:$J$40,MATCH(G78,'TDS Rates'!$B$6:$B$40,0)),INDEX('TDS Rates'!$K$6:$K$40,MATCH(G78,'TDS Rates'!$B$6:$B$40,0))))),0))</f>
        <v/>
      </c>
      <c r="P78" s="34" t="str">
        <f aca="false">IF(OR(G78="",H78=""),"",ROUND(N78*O78,0))</f>
        <v/>
      </c>
      <c r="Q78" s="27" t="str">
        <f aca="false">IF(OR(G78="",H78=""),"",IFERROR(IF(INDEX('TDS Rates'!$E$6:$E$40,MATCH(G78,'TDS Rates'!$B$6:$B$40,0))="Form 141",EOMONTH(IF(R78="",B78,R78),0)+30,IF(MONTH(IF(R78="",B78,R78))=3,DATE(YEAR(IF(R78="",B78,R78)),4,30),DATE(YEAR(IF(R78="",B78,R78)),MONTH(IF(R78="",B78,R78))+1,7))),""))</f>
        <v/>
      </c>
      <c r="R78" s="17"/>
      <c r="S78" s="17"/>
      <c r="T78" s="5"/>
      <c r="U78" s="28" t="str">
        <f aca="false">IF(OR(G78="",H78=""),"",IF(P78=0,0,IF(IF(R78="",Settings!$C$9,R78)&lt;=B78,0,((YEAR(IF(R78="",Settings!$C$9,R78))-YEAR(B78))*12+MONTH(IF(R78="",Settings!$C$9,R78))-MONTH(B78)+1))))</f>
        <v/>
      </c>
      <c r="V78" s="29" t="str">
        <f aca="false">IF(OR(G78="",H78=""),"",ROUND(P78*Settings!$C$10*U78,0))</f>
        <v/>
      </c>
      <c r="W78" s="28" t="str">
        <f aca="false">IF(OR(G78="",H78=""),"",IF(OR(P78=0,R78=""),0,IF(IF(S78="",Settings!$C$9,S78)&lt;=Q78,0,((YEAR(IF(S78="",Settings!$C$9,S78))-YEAR(R78))*12+MONTH(IF(S78="",Settings!$C$9,S78))-MONTH(R78)+1))))</f>
        <v/>
      </c>
      <c r="X78" s="29" t="str">
        <f aca="false">IF(OR(G78="",H78=""),"",ROUND(P78*Settings!$C$11*W78,0))</f>
        <v/>
      </c>
      <c r="Y78" s="29" t="str">
        <f aca="false">IF(OR(G78="",H78=""),"",V78+X78)</f>
        <v/>
      </c>
      <c r="Z78" s="7" t="str">
        <f aca="false">IF(OR(G78="",H78=""),"",IF(P78=0,"Below threshold",IF(R78="","Not yet deducted",IF(S78="",IF(Settings!$C$9&gt;Q78,"Overdue — pay now","Deducted, due "&amp;TEXT(Q78,"dd-mmm")),IF(S78&lt;=Q78,IF(N(U78)&gt;0,"Deducted late, paid on time","Paid on time"),"Paid late")))))</f>
        <v/>
      </c>
      <c r="AA78" s="35" t="str">
        <f aca="false">IF(OR(G78="",H78=""),"",IF(D78&lt;&gt;"",UPPER(TRIM(D78)),UPPER(TRIM(C78))))</f>
        <v/>
      </c>
    </row>
    <row r="79" customFormat="false" ht="15" hidden="false" customHeight="false" outlineLevel="0" collapsed="false">
      <c r="B79" s="17"/>
      <c r="C79" s="5"/>
      <c r="D79" s="5"/>
      <c r="E79" s="5"/>
      <c r="F79" s="5"/>
      <c r="G79" s="5"/>
      <c r="H79" s="16"/>
      <c r="I79" s="7" t="str">
        <f aca="false">IF(OR(G79="",H79=""),"",IFERROR(INDEX('TDS Rates'!$D$6:$D$40,MATCH(G79,'TDS Rates'!$B$6:$B$40,0)),"Check nature"))</f>
        <v/>
      </c>
      <c r="J79" s="7" t="str">
        <f aca="false">IF(OR(G79="",H79=""),"",IFERROR(INDEX('TDS Rates'!$C$6:$C$40,MATCH(G79,'TDS Rates'!$B$6:$B$40,0)),""))</f>
        <v/>
      </c>
      <c r="K79" s="7" t="str">
        <f aca="false">IF(OR(G79="",H79=""),"",IFERROR(INDEX('TDS Rates'!$E$6:$E$40,MATCH(G79,'TDS Rates'!$B$6:$B$40,0)),""))</f>
        <v/>
      </c>
      <c r="L79" s="29" t="str">
        <f aca="false">IF(OR(G79="",H79=""),"",SUMIFS(H$6:H78,AA$6:AA78,AA79,G$6:G78,G79))</f>
        <v/>
      </c>
      <c r="M79" s="29" t="str">
        <f aca="false">IF(OR(G79="",H79=""),"",SUMIFS(H$6:H78,AA$6:AA78,AA79,G$6:G78,G79,N$6:N78,0))</f>
        <v/>
      </c>
      <c r="N79" s="29" t="str">
        <f aca="false">IF(OR(G79="",H79=""),"",IFERROR(IF(INDEX('TDS Rates'!$F$6:$F$40,MATCH(G79,'TDS Rates'!$B$6:$B$40,0))="NONE",H79,IF(INDEX('TDS Rates'!$F$6:$F$40,MATCH(G79,'TDS Rates'!$B$6:$B$40,0))="PER",IF(H79&gt;INDEX('TDS Rates'!$G$6:$G$40,MATCH(G79,'TDS Rates'!$B$6:$B$40,0)),H79,0),IF(INDEX('TDS Rates'!$F$6:$F$40,MATCH(G79,'TDS Rates'!$B$6:$B$40,0))="EXCESS",MAX(0,L79+H79-INDEX('TDS Rates'!$H$6:$H$40,MATCH(G79,'TDS Rates'!$B$6:$B$40,0)))-MAX(0,L79-INDEX('TDS Rates'!$H$6:$H$40,MATCH(G79,'TDS Rates'!$B$6:$B$40,0))),IF(INDEX('TDS Rates'!$F$6:$F$40,MATCH(G79,'TDS Rates'!$B$6:$B$40,0))="SA",IF(L79+H79&gt;INDEX('TDS Rates'!$H$6:$H$40,MATCH(G79,'TDS Rates'!$B$6:$B$40,0)),H79+M79,IF(H79&gt;INDEX('TDS Rates'!$G$6:$G$40,MATCH(G79,'TDS Rates'!$B$6:$B$40,0)),H79,0)),IF(L79+H79&gt;INDEX('TDS Rates'!$H$6:$H$40,MATCH(G79,'TDS Rates'!$B$6:$B$40,0)),H79+M79,0))))),0))</f>
        <v/>
      </c>
      <c r="O79" s="33" t="str">
        <f aca="false">IF(OR(G79="",H79=""),"",IFERROR(IF(F79="No",IF(INDEX('TDS Rates'!$C$6:$C$40,MATCH(G79,'TDS Rates'!$B$6:$B$40,0))="194Q",Settings!$C$14,MAX(Settings!$C$13,IF(E79="Individual / HUF",INDEX('TDS Rates'!$I$6:$I$40,MATCH(G79,'TDS Rates'!$B$6:$B$40,0)),IF(E79="Company",INDEX('TDS Rates'!$J$6:$J$40,MATCH(G79,'TDS Rates'!$B$6:$B$40,0)),INDEX('TDS Rates'!$K$6:$K$40,MATCH(G79,'TDS Rates'!$B$6:$B$40,0)))))),IF(E79="Individual / HUF",INDEX('TDS Rates'!$I$6:$I$40,MATCH(G79,'TDS Rates'!$B$6:$B$40,0)),IF(E79="Company",INDEX('TDS Rates'!$J$6:$J$40,MATCH(G79,'TDS Rates'!$B$6:$B$40,0)),INDEX('TDS Rates'!$K$6:$K$40,MATCH(G79,'TDS Rates'!$B$6:$B$40,0))))),0))</f>
        <v/>
      </c>
      <c r="P79" s="34" t="str">
        <f aca="false">IF(OR(G79="",H79=""),"",ROUND(N79*O79,0))</f>
        <v/>
      </c>
      <c r="Q79" s="27" t="str">
        <f aca="false">IF(OR(G79="",H79=""),"",IFERROR(IF(INDEX('TDS Rates'!$E$6:$E$40,MATCH(G79,'TDS Rates'!$B$6:$B$40,0))="Form 141",EOMONTH(IF(R79="",B79,R79),0)+30,IF(MONTH(IF(R79="",B79,R79))=3,DATE(YEAR(IF(R79="",B79,R79)),4,30),DATE(YEAR(IF(R79="",B79,R79)),MONTH(IF(R79="",B79,R79))+1,7))),""))</f>
        <v/>
      </c>
      <c r="R79" s="17"/>
      <c r="S79" s="17"/>
      <c r="T79" s="5"/>
      <c r="U79" s="28" t="str">
        <f aca="false">IF(OR(G79="",H79=""),"",IF(P79=0,0,IF(IF(R79="",Settings!$C$9,R79)&lt;=B79,0,((YEAR(IF(R79="",Settings!$C$9,R79))-YEAR(B79))*12+MONTH(IF(R79="",Settings!$C$9,R79))-MONTH(B79)+1))))</f>
        <v/>
      </c>
      <c r="V79" s="29" t="str">
        <f aca="false">IF(OR(G79="",H79=""),"",ROUND(P79*Settings!$C$10*U79,0))</f>
        <v/>
      </c>
      <c r="W79" s="28" t="str">
        <f aca="false">IF(OR(G79="",H79=""),"",IF(OR(P79=0,R79=""),0,IF(IF(S79="",Settings!$C$9,S79)&lt;=Q79,0,((YEAR(IF(S79="",Settings!$C$9,S79))-YEAR(R79))*12+MONTH(IF(S79="",Settings!$C$9,S79))-MONTH(R79)+1))))</f>
        <v/>
      </c>
      <c r="X79" s="29" t="str">
        <f aca="false">IF(OR(G79="",H79=""),"",ROUND(P79*Settings!$C$11*W79,0))</f>
        <v/>
      </c>
      <c r="Y79" s="29" t="str">
        <f aca="false">IF(OR(G79="",H79=""),"",V79+X79)</f>
        <v/>
      </c>
      <c r="Z79" s="7" t="str">
        <f aca="false">IF(OR(G79="",H79=""),"",IF(P79=0,"Below threshold",IF(R79="","Not yet deducted",IF(S79="",IF(Settings!$C$9&gt;Q79,"Overdue — pay now","Deducted, due "&amp;TEXT(Q79,"dd-mmm")),IF(S79&lt;=Q79,IF(N(U79)&gt;0,"Deducted late, paid on time","Paid on time"),"Paid late")))))</f>
        <v/>
      </c>
      <c r="AA79" s="35" t="str">
        <f aca="false">IF(OR(G79="",H79=""),"",IF(D79&lt;&gt;"",UPPER(TRIM(D79)),UPPER(TRIM(C79))))</f>
        <v/>
      </c>
    </row>
    <row r="80" customFormat="false" ht="15" hidden="false" customHeight="false" outlineLevel="0" collapsed="false">
      <c r="B80" s="17"/>
      <c r="C80" s="5"/>
      <c r="D80" s="5"/>
      <c r="E80" s="5"/>
      <c r="F80" s="5"/>
      <c r="G80" s="5"/>
      <c r="H80" s="16"/>
      <c r="I80" s="7" t="str">
        <f aca="false">IF(OR(G80="",H80=""),"",IFERROR(INDEX('TDS Rates'!$D$6:$D$40,MATCH(G80,'TDS Rates'!$B$6:$B$40,0)),"Check nature"))</f>
        <v/>
      </c>
      <c r="J80" s="7" t="str">
        <f aca="false">IF(OR(G80="",H80=""),"",IFERROR(INDEX('TDS Rates'!$C$6:$C$40,MATCH(G80,'TDS Rates'!$B$6:$B$40,0)),""))</f>
        <v/>
      </c>
      <c r="K80" s="7" t="str">
        <f aca="false">IF(OR(G80="",H80=""),"",IFERROR(INDEX('TDS Rates'!$E$6:$E$40,MATCH(G80,'TDS Rates'!$B$6:$B$40,0)),""))</f>
        <v/>
      </c>
      <c r="L80" s="29" t="str">
        <f aca="false">IF(OR(G80="",H80=""),"",SUMIFS(H$6:H79,AA$6:AA79,AA80,G$6:G79,G80))</f>
        <v/>
      </c>
      <c r="M80" s="29" t="str">
        <f aca="false">IF(OR(G80="",H80=""),"",SUMIFS(H$6:H79,AA$6:AA79,AA80,G$6:G79,G80,N$6:N79,0))</f>
        <v/>
      </c>
      <c r="N80" s="29" t="str">
        <f aca="false">IF(OR(G80="",H80=""),"",IFERROR(IF(INDEX('TDS Rates'!$F$6:$F$40,MATCH(G80,'TDS Rates'!$B$6:$B$40,0))="NONE",H80,IF(INDEX('TDS Rates'!$F$6:$F$40,MATCH(G80,'TDS Rates'!$B$6:$B$40,0))="PER",IF(H80&gt;INDEX('TDS Rates'!$G$6:$G$40,MATCH(G80,'TDS Rates'!$B$6:$B$40,0)),H80,0),IF(INDEX('TDS Rates'!$F$6:$F$40,MATCH(G80,'TDS Rates'!$B$6:$B$40,0))="EXCESS",MAX(0,L80+H80-INDEX('TDS Rates'!$H$6:$H$40,MATCH(G80,'TDS Rates'!$B$6:$B$40,0)))-MAX(0,L80-INDEX('TDS Rates'!$H$6:$H$40,MATCH(G80,'TDS Rates'!$B$6:$B$40,0))),IF(INDEX('TDS Rates'!$F$6:$F$40,MATCH(G80,'TDS Rates'!$B$6:$B$40,0))="SA",IF(L80+H80&gt;INDEX('TDS Rates'!$H$6:$H$40,MATCH(G80,'TDS Rates'!$B$6:$B$40,0)),H80+M80,IF(H80&gt;INDEX('TDS Rates'!$G$6:$G$40,MATCH(G80,'TDS Rates'!$B$6:$B$40,0)),H80,0)),IF(L80+H80&gt;INDEX('TDS Rates'!$H$6:$H$40,MATCH(G80,'TDS Rates'!$B$6:$B$40,0)),H80+M80,0))))),0))</f>
        <v/>
      </c>
      <c r="O80" s="33" t="str">
        <f aca="false">IF(OR(G80="",H80=""),"",IFERROR(IF(F80="No",IF(INDEX('TDS Rates'!$C$6:$C$40,MATCH(G80,'TDS Rates'!$B$6:$B$40,0))="194Q",Settings!$C$14,MAX(Settings!$C$13,IF(E80="Individual / HUF",INDEX('TDS Rates'!$I$6:$I$40,MATCH(G80,'TDS Rates'!$B$6:$B$40,0)),IF(E80="Company",INDEX('TDS Rates'!$J$6:$J$40,MATCH(G80,'TDS Rates'!$B$6:$B$40,0)),INDEX('TDS Rates'!$K$6:$K$40,MATCH(G80,'TDS Rates'!$B$6:$B$40,0)))))),IF(E80="Individual / HUF",INDEX('TDS Rates'!$I$6:$I$40,MATCH(G80,'TDS Rates'!$B$6:$B$40,0)),IF(E80="Company",INDEX('TDS Rates'!$J$6:$J$40,MATCH(G80,'TDS Rates'!$B$6:$B$40,0)),INDEX('TDS Rates'!$K$6:$K$40,MATCH(G80,'TDS Rates'!$B$6:$B$40,0))))),0))</f>
        <v/>
      </c>
      <c r="P80" s="34" t="str">
        <f aca="false">IF(OR(G80="",H80=""),"",ROUND(N80*O80,0))</f>
        <v/>
      </c>
      <c r="Q80" s="27" t="str">
        <f aca="false">IF(OR(G80="",H80=""),"",IFERROR(IF(INDEX('TDS Rates'!$E$6:$E$40,MATCH(G80,'TDS Rates'!$B$6:$B$40,0))="Form 141",EOMONTH(IF(R80="",B80,R80),0)+30,IF(MONTH(IF(R80="",B80,R80))=3,DATE(YEAR(IF(R80="",B80,R80)),4,30),DATE(YEAR(IF(R80="",B80,R80)),MONTH(IF(R80="",B80,R80))+1,7))),""))</f>
        <v/>
      </c>
      <c r="R80" s="17"/>
      <c r="S80" s="17"/>
      <c r="T80" s="5"/>
      <c r="U80" s="28" t="str">
        <f aca="false">IF(OR(G80="",H80=""),"",IF(P80=0,0,IF(IF(R80="",Settings!$C$9,R80)&lt;=B80,0,((YEAR(IF(R80="",Settings!$C$9,R80))-YEAR(B80))*12+MONTH(IF(R80="",Settings!$C$9,R80))-MONTH(B80)+1))))</f>
        <v/>
      </c>
      <c r="V80" s="29" t="str">
        <f aca="false">IF(OR(G80="",H80=""),"",ROUND(P80*Settings!$C$10*U80,0))</f>
        <v/>
      </c>
      <c r="W80" s="28" t="str">
        <f aca="false">IF(OR(G80="",H80=""),"",IF(OR(P80=0,R80=""),0,IF(IF(S80="",Settings!$C$9,S80)&lt;=Q80,0,((YEAR(IF(S80="",Settings!$C$9,S80))-YEAR(R80))*12+MONTH(IF(S80="",Settings!$C$9,S80))-MONTH(R80)+1))))</f>
        <v/>
      </c>
      <c r="X80" s="29" t="str">
        <f aca="false">IF(OR(G80="",H80=""),"",ROUND(P80*Settings!$C$11*W80,0))</f>
        <v/>
      </c>
      <c r="Y80" s="29" t="str">
        <f aca="false">IF(OR(G80="",H80=""),"",V80+X80)</f>
        <v/>
      </c>
      <c r="Z80" s="7" t="str">
        <f aca="false">IF(OR(G80="",H80=""),"",IF(P80=0,"Below threshold",IF(R80="","Not yet deducted",IF(S80="",IF(Settings!$C$9&gt;Q80,"Overdue — pay now","Deducted, due "&amp;TEXT(Q80,"dd-mmm")),IF(S80&lt;=Q80,IF(N(U80)&gt;0,"Deducted late, paid on time","Paid on time"),"Paid late")))))</f>
        <v/>
      </c>
      <c r="AA80" s="35" t="str">
        <f aca="false">IF(OR(G80="",H80=""),"",IF(D80&lt;&gt;"",UPPER(TRIM(D80)),UPPER(TRIM(C80))))</f>
        <v/>
      </c>
    </row>
    <row r="81" customFormat="false" ht="15" hidden="false" customHeight="false" outlineLevel="0" collapsed="false">
      <c r="B81" s="17"/>
      <c r="C81" s="5"/>
      <c r="D81" s="5"/>
      <c r="E81" s="5"/>
      <c r="F81" s="5"/>
      <c r="G81" s="5"/>
      <c r="H81" s="16"/>
      <c r="I81" s="7" t="str">
        <f aca="false">IF(OR(G81="",H81=""),"",IFERROR(INDEX('TDS Rates'!$D$6:$D$40,MATCH(G81,'TDS Rates'!$B$6:$B$40,0)),"Check nature"))</f>
        <v/>
      </c>
      <c r="J81" s="7" t="str">
        <f aca="false">IF(OR(G81="",H81=""),"",IFERROR(INDEX('TDS Rates'!$C$6:$C$40,MATCH(G81,'TDS Rates'!$B$6:$B$40,0)),""))</f>
        <v/>
      </c>
      <c r="K81" s="7" t="str">
        <f aca="false">IF(OR(G81="",H81=""),"",IFERROR(INDEX('TDS Rates'!$E$6:$E$40,MATCH(G81,'TDS Rates'!$B$6:$B$40,0)),""))</f>
        <v/>
      </c>
      <c r="L81" s="29" t="str">
        <f aca="false">IF(OR(G81="",H81=""),"",SUMIFS(H$6:H80,AA$6:AA80,AA81,G$6:G80,G81))</f>
        <v/>
      </c>
      <c r="M81" s="29" t="str">
        <f aca="false">IF(OR(G81="",H81=""),"",SUMIFS(H$6:H80,AA$6:AA80,AA81,G$6:G80,G81,N$6:N80,0))</f>
        <v/>
      </c>
      <c r="N81" s="29" t="str">
        <f aca="false">IF(OR(G81="",H81=""),"",IFERROR(IF(INDEX('TDS Rates'!$F$6:$F$40,MATCH(G81,'TDS Rates'!$B$6:$B$40,0))="NONE",H81,IF(INDEX('TDS Rates'!$F$6:$F$40,MATCH(G81,'TDS Rates'!$B$6:$B$40,0))="PER",IF(H81&gt;INDEX('TDS Rates'!$G$6:$G$40,MATCH(G81,'TDS Rates'!$B$6:$B$40,0)),H81,0),IF(INDEX('TDS Rates'!$F$6:$F$40,MATCH(G81,'TDS Rates'!$B$6:$B$40,0))="EXCESS",MAX(0,L81+H81-INDEX('TDS Rates'!$H$6:$H$40,MATCH(G81,'TDS Rates'!$B$6:$B$40,0)))-MAX(0,L81-INDEX('TDS Rates'!$H$6:$H$40,MATCH(G81,'TDS Rates'!$B$6:$B$40,0))),IF(INDEX('TDS Rates'!$F$6:$F$40,MATCH(G81,'TDS Rates'!$B$6:$B$40,0))="SA",IF(L81+H81&gt;INDEX('TDS Rates'!$H$6:$H$40,MATCH(G81,'TDS Rates'!$B$6:$B$40,0)),H81+M81,IF(H81&gt;INDEX('TDS Rates'!$G$6:$G$40,MATCH(G81,'TDS Rates'!$B$6:$B$40,0)),H81,0)),IF(L81+H81&gt;INDEX('TDS Rates'!$H$6:$H$40,MATCH(G81,'TDS Rates'!$B$6:$B$40,0)),H81+M81,0))))),0))</f>
        <v/>
      </c>
      <c r="O81" s="33" t="str">
        <f aca="false">IF(OR(G81="",H81=""),"",IFERROR(IF(F81="No",IF(INDEX('TDS Rates'!$C$6:$C$40,MATCH(G81,'TDS Rates'!$B$6:$B$40,0))="194Q",Settings!$C$14,MAX(Settings!$C$13,IF(E81="Individual / HUF",INDEX('TDS Rates'!$I$6:$I$40,MATCH(G81,'TDS Rates'!$B$6:$B$40,0)),IF(E81="Company",INDEX('TDS Rates'!$J$6:$J$40,MATCH(G81,'TDS Rates'!$B$6:$B$40,0)),INDEX('TDS Rates'!$K$6:$K$40,MATCH(G81,'TDS Rates'!$B$6:$B$40,0)))))),IF(E81="Individual / HUF",INDEX('TDS Rates'!$I$6:$I$40,MATCH(G81,'TDS Rates'!$B$6:$B$40,0)),IF(E81="Company",INDEX('TDS Rates'!$J$6:$J$40,MATCH(G81,'TDS Rates'!$B$6:$B$40,0)),INDEX('TDS Rates'!$K$6:$K$40,MATCH(G81,'TDS Rates'!$B$6:$B$40,0))))),0))</f>
        <v/>
      </c>
      <c r="P81" s="34" t="str">
        <f aca="false">IF(OR(G81="",H81=""),"",ROUND(N81*O81,0))</f>
        <v/>
      </c>
      <c r="Q81" s="27" t="str">
        <f aca="false">IF(OR(G81="",H81=""),"",IFERROR(IF(INDEX('TDS Rates'!$E$6:$E$40,MATCH(G81,'TDS Rates'!$B$6:$B$40,0))="Form 141",EOMONTH(IF(R81="",B81,R81),0)+30,IF(MONTH(IF(R81="",B81,R81))=3,DATE(YEAR(IF(R81="",B81,R81)),4,30),DATE(YEAR(IF(R81="",B81,R81)),MONTH(IF(R81="",B81,R81))+1,7))),""))</f>
        <v/>
      </c>
      <c r="R81" s="17"/>
      <c r="S81" s="17"/>
      <c r="T81" s="5"/>
      <c r="U81" s="28" t="str">
        <f aca="false">IF(OR(G81="",H81=""),"",IF(P81=0,0,IF(IF(R81="",Settings!$C$9,R81)&lt;=B81,0,((YEAR(IF(R81="",Settings!$C$9,R81))-YEAR(B81))*12+MONTH(IF(R81="",Settings!$C$9,R81))-MONTH(B81)+1))))</f>
        <v/>
      </c>
      <c r="V81" s="29" t="str">
        <f aca="false">IF(OR(G81="",H81=""),"",ROUND(P81*Settings!$C$10*U81,0))</f>
        <v/>
      </c>
      <c r="W81" s="28" t="str">
        <f aca="false">IF(OR(G81="",H81=""),"",IF(OR(P81=0,R81=""),0,IF(IF(S81="",Settings!$C$9,S81)&lt;=Q81,0,((YEAR(IF(S81="",Settings!$C$9,S81))-YEAR(R81))*12+MONTH(IF(S81="",Settings!$C$9,S81))-MONTH(R81)+1))))</f>
        <v/>
      </c>
      <c r="X81" s="29" t="str">
        <f aca="false">IF(OR(G81="",H81=""),"",ROUND(P81*Settings!$C$11*W81,0))</f>
        <v/>
      </c>
      <c r="Y81" s="29" t="str">
        <f aca="false">IF(OR(G81="",H81=""),"",V81+X81)</f>
        <v/>
      </c>
      <c r="Z81" s="7" t="str">
        <f aca="false">IF(OR(G81="",H81=""),"",IF(P81=0,"Below threshold",IF(R81="","Not yet deducted",IF(S81="",IF(Settings!$C$9&gt;Q81,"Overdue — pay now","Deducted, due "&amp;TEXT(Q81,"dd-mmm")),IF(S81&lt;=Q81,IF(N(U81)&gt;0,"Deducted late, paid on time","Paid on time"),"Paid late")))))</f>
        <v/>
      </c>
      <c r="AA81" s="35" t="str">
        <f aca="false">IF(OR(G81="",H81=""),"",IF(D81&lt;&gt;"",UPPER(TRIM(D81)),UPPER(TRIM(C81))))</f>
        <v/>
      </c>
    </row>
    <row r="82" customFormat="false" ht="15" hidden="false" customHeight="false" outlineLevel="0" collapsed="false">
      <c r="B82" s="17"/>
      <c r="C82" s="5"/>
      <c r="D82" s="5"/>
      <c r="E82" s="5"/>
      <c r="F82" s="5"/>
      <c r="G82" s="5"/>
      <c r="H82" s="16"/>
      <c r="I82" s="7" t="str">
        <f aca="false">IF(OR(G82="",H82=""),"",IFERROR(INDEX('TDS Rates'!$D$6:$D$40,MATCH(G82,'TDS Rates'!$B$6:$B$40,0)),"Check nature"))</f>
        <v/>
      </c>
      <c r="J82" s="7" t="str">
        <f aca="false">IF(OR(G82="",H82=""),"",IFERROR(INDEX('TDS Rates'!$C$6:$C$40,MATCH(G82,'TDS Rates'!$B$6:$B$40,0)),""))</f>
        <v/>
      </c>
      <c r="K82" s="7" t="str">
        <f aca="false">IF(OR(G82="",H82=""),"",IFERROR(INDEX('TDS Rates'!$E$6:$E$40,MATCH(G82,'TDS Rates'!$B$6:$B$40,0)),""))</f>
        <v/>
      </c>
      <c r="L82" s="29" t="str">
        <f aca="false">IF(OR(G82="",H82=""),"",SUMIFS(H$6:H81,AA$6:AA81,AA82,G$6:G81,G82))</f>
        <v/>
      </c>
      <c r="M82" s="29" t="str">
        <f aca="false">IF(OR(G82="",H82=""),"",SUMIFS(H$6:H81,AA$6:AA81,AA82,G$6:G81,G82,N$6:N81,0))</f>
        <v/>
      </c>
      <c r="N82" s="29" t="str">
        <f aca="false">IF(OR(G82="",H82=""),"",IFERROR(IF(INDEX('TDS Rates'!$F$6:$F$40,MATCH(G82,'TDS Rates'!$B$6:$B$40,0))="NONE",H82,IF(INDEX('TDS Rates'!$F$6:$F$40,MATCH(G82,'TDS Rates'!$B$6:$B$40,0))="PER",IF(H82&gt;INDEX('TDS Rates'!$G$6:$G$40,MATCH(G82,'TDS Rates'!$B$6:$B$40,0)),H82,0),IF(INDEX('TDS Rates'!$F$6:$F$40,MATCH(G82,'TDS Rates'!$B$6:$B$40,0))="EXCESS",MAX(0,L82+H82-INDEX('TDS Rates'!$H$6:$H$40,MATCH(G82,'TDS Rates'!$B$6:$B$40,0)))-MAX(0,L82-INDEX('TDS Rates'!$H$6:$H$40,MATCH(G82,'TDS Rates'!$B$6:$B$40,0))),IF(INDEX('TDS Rates'!$F$6:$F$40,MATCH(G82,'TDS Rates'!$B$6:$B$40,0))="SA",IF(L82+H82&gt;INDEX('TDS Rates'!$H$6:$H$40,MATCH(G82,'TDS Rates'!$B$6:$B$40,0)),H82+M82,IF(H82&gt;INDEX('TDS Rates'!$G$6:$G$40,MATCH(G82,'TDS Rates'!$B$6:$B$40,0)),H82,0)),IF(L82+H82&gt;INDEX('TDS Rates'!$H$6:$H$40,MATCH(G82,'TDS Rates'!$B$6:$B$40,0)),H82+M82,0))))),0))</f>
        <v/>
      </c>
      <c r="O82" s="33" t="str">
        <f aca="false">IF(OR(G82="",H82=""),"",IFERROR(IF(F82="No",IF(INDEX('TDS Rates'!$C$6:$C$40,MATCH(G82,'TDS Rates'!$B$6:$B$40,0))="194Q",Settings!$C$14,MAX(Settings!$C$13,IF(E82="Individual / HUF",INDEX('TDS Rates'!$I$6:$I$40,MATCH(G82,'TDS Rates'!$B$6:$B$40,0)),IF(E82="Company",INDEX('TDS Rates'!$J$6:$J$40,MATCH(G82,'TDS Rates'!$B$6:$B$40,0)),INDEX('TDS Rates'!$K$6:$K$40,MATCH(G82,'TDS Rates'!$B$6:$B$40,0)))))),IF(E82="Individual / HUF",INDEX('TDS Rates'!$I$6:$I$40,MATCH(G82,'TDS Rates'!$B$6:$B$40,0)),IF(E82="Company",INDEX('TDS Rates'!$J$6:$J$40,MATCH(G82,'TDS Rates'!$B$6:$B$40,0)),INDEX('TDS Rates'!$K$6:$K$40,MATCH(G82,'TDS Rates'!$B$6:$B$40,0))))),0))</f>
        <v/>
      </c>
      <c r="P82" s="34" t="str">
        <f aca="false">IF(OR(G82="",H82=""),"",ROUND(N82*O82,0))</f>
        <v/>
      </c>
      <c r="Q82" s="27" t="str">
        <f aca="false">IF(OR(G82="",H82=""),"",IFERROR(IF(INDEX('TDS Rates'!$E$6:$E$40,MATCH(G82,'TDS Rates'!$B$6:$B$40,0))="Form 141",EOMONTH(IF(R82="",B82,R82),0)+30,IF(MONTH(IF(R82="",B82,R82))=3,DATE(YEAR(IF(R82="",B82,R82)),4,30),DATE(YEAR(IF(R82="",B82,R82)),MONTH(IF(R82="",B82,R82))+1,7))),""))</f>
        <v/>
      </c>
      <c r="R82" s="17"/>
      <c r="S82" s="17"/>
      <c r="T82" s="5"/>
      <c r="U82" s="28" t="str">
        <f aca="false">IF(OR(G82="",H82=""),"",IF(P82=0,0,IF(IF(R82="",Settings!$C$9,R82)&lt;=B82,0,((YEAR(IF(R82="",Settings!$C$9,R82))-YEAR(B82))*12+MONTH(IF(R82="",Settings!$C$9,R82))-MONTH(B82)+1))))</f>
        <v/>
      </c>
      <c r="V82" s="29" t="str">
        <f aca="false">IF(OR(G82="",H82=""),"",ROUND(P82*Settings!$C$10*U82,0))</f>
        <v/>
      </c>
      <c r="W82" s="28" t="str">
        <f aca="false">IF(OR(G82="",H82=""),"",IF(OR(P82=0,R82=""),0,IF(IF(S82="",Settings!$C$9,S82)&lt;=Q82,0,((YEAR(IF(S82="",Settings!$C$9,S82))-YEAR(R82))*12+MONTH(IF(S82="",Settings!$C$9,S82))-MONTH(R82)+1))))</f>
        <v/>
      </c>
      <c r="X82" s="29" t="str">
        <f aca="false">IF(OR(G82="",H82=""),"",ROUND(P82*Settings!$C$11*W82,0))</f>
        <v/>
      </c>
      <c r="Y82" s="29" t="str">
        <f aca="false">IF(OR(G82="",H82=""),"",V82+X82)</f>
        <v/>
      </c>
      <c r="Z82" s="7" t="str">
        <f aca="false">IF(OR(G82="",H82=""),"",IF(P82=0,"Below threshold",IF(R82="","Not yet deducted",IF(S82="",IF(Settings!$C$9&gt;Q82,"Overdue — pay now","Deducted, due "&amp;TEXT(Q82,"dd-mmm")),IF(S82&lt;=Q82,IF(N(U82)&gt;0,"Deducted late, paid on time","Paid on time"),"Paid late")))))</f>
        <v/>
      </c>
      <c r="AA82" s="35" t="str">
        <f aca="false">IF(OR(G82="",H82=""),"",IF(D82&lt;&gt;"",UPPER(TRIM(D82)),UPPER(TRIM(C82))))</f>
        <v/>
      </c>
    </row>
    <row r="83" customFormat="false" ht="15" hidden="false" customHeight="false" outlineLevel="0" collapsed="false">
      <c r="B83" s="17"/>
      <c r="C83" s="5"/>
      <c r="D83" s="5"/>
      <c r="E83" s="5"/>
      <c r="F83" s="5"/>
      <c r="G83" s="5"/>
      <c r="H83" s="16"/>
      <c r="I83" s="7" t="str">
        <f aca="false">IF(OR(G83="",H83=""),"",IFERROR(INDEX('TDS Rates'!$D$6:$D$40,MATCH(G83,'TDS Rates'!$B$6:$B$40,0)),"Check nature"))</f>
        <v/>
      </c>
      <c r="J83" s="7" t="str">
        <f aca="false">IF(OR(G83="",H83=""),"",IFERROR(INDEX('TDS Rates'!$C$6:$C$40,MATCH(G83,'TDS Rates'!$B$6:$B$40,0)),""))</f>
        <v/>
      </c>
      <c r="K83" s="7" t="str">
        <f aca="false">IF(OR(G83="",H83=""),"",IFERROR(INDEX('TDS Rates'!$E$6:$E$40,MATCH(G83,'TDS Rates'!$B$6:$B$40,0)),""))</f>
        <v/>
      </c>
      <c r="L83" s="29" t="str">
        <f aca="false">IF(OR(G83="",H83=""),"",SUMIFS(H$6:H82,AA$6:AA82,AA83,G$6:G82,G83))</f>
        <v/>
      </c>
      <c r="M83" s="29" t="str">
        <f aca="false">IF(OR(G83="",H83=""),"",SUMIFS(H$6:H82,AA$6:AA82,AA83,G$6:G82,G83,N$6:N82,0))</f>
        <v/>
      </c>
      <c r="N83" s="29" t="str">
        <f aca="false">IF(OR(G83="",H83=""),"",IFERROR(IF(INDEX('TDS Rates'!$F$6:$F$40,MATCH(G83,'TDS Rates'!$B$6:$B$40,0))="NONE",H83,IF(INDEX('TDS Rates'!$F$6:$F$40,MATCH(G83,'TDS Rates'!$B$6:$B$40,0))="PER",IF(H83&gt;INDEX('TDS Rates'!$G$6:$G$40,MATCH(G83,'TDS Rates'!$B$6:$B$40,0)),H83,0),IF(INDEX('TDS Rates'!$F$6:$F$40,MATCH(G83,'TDS Rates'!$B$6:$B$40,0))="EXCESS",MAX(0,L83+H83-INDEX('TDS Rates'!$H$6:$H$40,MATCH(G83,'TDS Rates'!$B$6:$B$40,0)))-MAX(0,L83-INDEX('TDS Rates'!$H$6:$H$40,MATCH(G83,'TDS Rates'!$B$6:$B$40,0))),IF(INDEX('TDS Rates'!$F$6:$F$40,MATCH(G83,'TDS Rates'!$B$6:$B$40,0))="SA",IF(L83+H83&gt;INDEX('TDS Rates'!$H$6:$H$40,MATCH(G83,'TDS Rates'!$B$6:$B$40,0)),H83+M83,IF(H83&gt;INDEX('TDS Rates'!$G$6:$G$40,MATCH(G83,'TDS Rates'!$B$6:$B$40,0)),H83,0)),IF(L83+H83&gt;INDEX('TDS Rates'!$H$6:$H$40,MATCH(G83,'TDS Rates'!$B$6:$B$40,0)),H83+M83,0))))),0))</f>
        <v/>
      </c>
      <c r="O83" s="33" t="str">
        <f aca="false">IF(OR(G83="",H83=""),"",IFERROR(IF(F83="No",IF(INDEX('TDS Rates'!$C$6:$C$40,MATCH(G83,'TDS Rates'!$B$6:$B$40,0))="194Q",Settings!$C$14,MAX(Settings!$C$13,IF(E83="Individual / HUF",INDEX('TDS Rates'!$I$6:$I$40,MATCH(G83,'TDS Rates'!$B$6:$B$40,0)),IF(E83="Company",INDEX('TDS Rates'!$J$6:$J$40,MATCH(G83,'TDS Rates'!$B$6:$B$40,0)),INDEX('TDS Rates'!$K$6:$K$40,MATCH(G83,'TDS Rates'!$B$6:$B$40,0)))))),IF(E83="Individual / HUF",INDEX('TDS Rates'!$I$6:$I$40,MATCH(G83,'TDS Rates'!$B$6:$B$40,0)),IF(E83="Company",INDEX('TDS Rates'!$J$6:$J$40,MATCH(G83,'TDS Rates'!$B$6:$B$40,0)),INDEX('TDS Rates'!$K$6:$K$40,MATCH(G83,'TDS Rates'!$B$6:$B$40,0))))),0))</f>
        <v/>
      </c>
      <c r="P83" s="34" t="str">
        <f aca="false">IF(OR(G83="",H83=""),"",ROUND(N83*O83,0))</f>
        <v/>
      </c>
      <c r="Q83" s="27" t="str">
        <f aca="false">IF(OR(G83="",H83=""),"",IFERROR(IF(INDEX('TDS Rates'!$E$6:$E$40,MATCH(G83,'TDS Rates'!$B$6:$B$40,0))="Form 141",EOMONTH(IF(R83="",B83,R83),0)+30,IF(MONTH(IF(R83="",B83,R83))=3,DATE(YEAR(IF(R83="",B83,R83)),4,30),DATE(YEAR(IF(R83="",B83,R83)),MONTH(IF(R83="",B83,R83))+1,7))),""))</f>
        <v/>
      </c>
      <c r="R83" s="17"/>
      <c r="S83" s="17"/>
      <c r="T83" s="5"/>
      <c r="U83" s="28" t="str">
        <f aca="false">IF(OR(G83="",H83=""),"",IF(P83=0,0,IF(IF(R83="",Settings!$C$9,R83)&lt;=B83,0,((YEAR(IF(R83="",Settings!$C$9,R83))-YEAR(B83))*12+MONTH(IF(R83="",Settings!$C$9,R83))-MONTH(B83)+1))))</f>
        <v/>
      </c>
      <c r="V83" s="29" t="str">
        <f aca="false">IF(OR(G83="",H83=""),"",ROUND(P83*Settings!$C$10*U83,0))</f>
        <v/>
      </c>
      <c r="W83" s="28" t="str">
        <f aca="false">IF(OR(G83="",H83=""),"",IF(OR(P83=0,R83=""),0,IF(IF(S83="",Settings!$C$9,S83)&lt;=Q83,0,((YEAR(IF(S83="",Settings!$C$9,S83))-YEAR(R83))*12+MONTH(IF(S83="",Settings!$C$9,S83))-MONTH(R83)+1))))</f>
        <v/>
      </c>
      <c r="X83" s="29" t="str">
        <f aca="false">IF(OR(G83="",H83=""),"",ROUND(P83*Settings!$C$11*W83,0))</f>
        <v/>
      </c>
      <c r="Y83" s="29" t="str">
        <f aca="false">IF(OR(G83="",H83=""),"",V83+X83)</f>
        <v/>
      </c>
      <c r="Z83" s="7" t="str">
        <f aca="false">IF(OR(G83="",H83=""),"",IF(P83=0,"Below threshold",IF(R83="","Not yet deducted",IF(S83="",IF(Settings!$C$9&gt;Q83,"Overdue — pay now","Deducted, due "&amp;TEXT(Q83,"dd-mmm")),IF(S83&lt;=Q83,IF(N(U83)&gt;0,"Deducted late, paid on time","Paid on time"),"Paid late")))))</f>
        <v/>
      </c>
      <c r="AA83" s="35" t="str">
        <f aca="false">IF(OR(G83="",H83=""),"",IF(D83&lt;&gt;"",UPPER(TRIM(D83)),UPPER(TRIM(C83))))</f>
        <v/>
      </c>
    </row>
    <row r="84" customFormat="false" ht="15" hidden="false" customHeight="false" outlineLevel="0" collapsed="false">
      <c r="B84" s="17"/>
      <c r="C84" s="5"/>
      <c r="D84" s="5"/>
      <c r="E84" s="5"/>
      <c r="F84" s="5"/>
      <c r="G84" s="5"/>
      <c r="H84" s="16"/>
      <c r="I84" s="7" t="str">
        <f aca="false">IF(OR(G84="",H84=""),"",IFERROR(INDEX('TDS Rates'!$D$6:$D$40,MATCH(G84,'TDS Rates'!$B$6:$B$40,0)),"Check nature"))</f>
        <v/>
      </c>
      <c r="J84" s="7" t="str">
        <f aca="false">IF(OR(G84="",H84=""),"",IFERROR(INDEX('TDS Rates'!$C$6:$C$40,MATCH(G84,'TDS Rates'!$B$6:$B$40,0)),""))</f>
        <v/>
      </c>
      <c r="K84" s="7" t="str">
        <f aca="false">IF(OR(G84="",H84=""),"",IFERROR(INDEX('TDS Rates'!$E$6:$E$40,MATCH(G84,'TDS Rates'!$B$6:$B$40,0)),""))</f>
        <v/>
      </c>
      <c r="L84" s="29" t="str">
        <f aca="false">IF(OR(G84="",H84=""),"",SUMIFS(H$6:H83,AA$6:AA83,AA84,G$6:G83,G84))</f>
        <v/>
      </c>
      <c r="M84" s="29" t="str">
        <f aca="false">IF(OR(G84="",H84=""),"",SUMIFS(H$6:H83,AA$6:AA83,AA84,G$6:G83,G84,N$6:N83,0))</f>
        <v/>
      </c>
      <c r="N84" s="29" t="str">
        <f aca="false">IF(OR(G84="",H84=""),"",IFERROR(IF(INDEX('TDS Rates'!$F$6:$F$40,MATCH(G84,'TDS Rates'!$B$6:$B$40,0))="NONE",H84,IF(INDEX('TDS Rates'!$F$6:$F$40,MATCH(G84,'TDS Rates'!$B$6:$B$40,0))="PER",IF(H84&gt;INDEX('TDS Rates'!$G$6:$G$40,MATCH(G84,'TDS Rates'!$B$6:$B$40,0)),H84,0),IF(INDEX('TDS Rates'!$F$6:$F$40,MATCH(G84,'TDS Rates'!$B$6:$B$40,0))="EXCESS",MAX(0,L84+H84-INDEX('TDS Rates'!$H$6:$H$40,MATCH(G84,'TDS Rates'!$B$6:$B$40,0)))-MAX(0,L84-INDEX('TDS Rates'!$H$6:$H$40,MATCH(G84,'TDS Rates'!$B$6:$B$40,0))),IF(INDEX('TDS Rates'!$F$6:$F$40,MATCH(G84,'TDS Rates'!$B$6:$B$40,0))="SA",IF(L84+H84&gt;INDEX('TDS Rates'!$H$6:$H$40,MATCH(G84,'TDS Rates'!$B$6:$B$40,0)),H84+M84,IF(H84&gt;INDEX('TDS Rates'!$G$6:$G$40,MATCH(G84,'TDS Rates'!$B$6:$B$40,0)),H84,0)),IF(L84+H84&gt;INDEX('TDS Rates'!$H$6:$H$40,MATCH(G84,'TDS Rates'!$B$6:$B$40,0)),H84+M84,0))))),0))</f>
        <v/>
      </c>
      <c r="O84" s="33" t="str">
        <f aca="false">IF(OR(G84="",H84=""),"",IFERROR(IF(F84="No",IF(INDEX('TDS Rates'!$C$6:$C$40,MATCH(G84,'TDS Rates'!$B$6:$B$40,0))="194Q",Settings!$C$14,MAX(Settings!$C$13,IF(E84="Individual / HUF",INDEX('TDS Rates'!$I$6:$I$40,MATCH(G84,'TDS Rates'!$B$6:$B$40,0)),IF(E84="Company",INDEX('TDS Rates'!$J$6:$J$40,MATCH(G84,'TDS Rates'!$B$6:$B$40,0)),INDEX('TDS Rates'!$K$6:$K$40,MATCH(G84,'TDS Rates'!$B$6:$B$40,0)))))),IF(E84="Individual / HUF",INDEX('TDS Rates'!$I$6:$I$40,MATCH(G84,'TDS Rates'!$B$6:$B$40,0)),IF(E84="Company",INDEX('TDS Rates'!$J$6:$J$40,MATCH(G84,'TDS Rates'!$B$6:$B$40,0)),INDEX('TDS Rates'!$K$6:$K$40,MATCH(G84,'TDS Rates'!$B$6:$B$40,0))))),0))</f>
        <v/>
      </c>
      <c r="P84" s="34" t="str">
        <f aca="false">IF(OR(G84="",H84=""),"",ROUND(N84*O84,0))</f>
        <v/>
      </c>
      <c r="Q84" s="27" t="str">
        <f aca="false">IF(OR(G84="",H84=""),"",IFERROR(IF(INDEX('TDS Rates'!$E$6:$E$40,MATCH(G84,'TDS Rates'!$B$6:$B$40,0))="Form 141",EOMONTH(IF(R84="",B84,R84),0)+30,IF(MONTH(IF(R84="",B84,R84))=3,DATE(YEAR(IF(R84="",B84,R84)),4,30),DATE(YEAR(IF(R84="",B84,R84)),MONTH(IF(R84="",B84,R84))+1,7))),""))</f>
        <v/>
      </c>
      <c r="R84" s="17"/>
      <c r="S84" s="17"/>
      <c r="T84" s="5"/>
      <c r="U84" s="28" t="str">
        <f aca="false">IF(OR(G84="",H84=""),"",IF(P84=0,0,IF(IF(R84="",Settings!$C$9,R84)&lt;=B84,0,((YEAR(IF(R84="",Settings!$C$9,R84))-YEAR(B84))*12+MONTH(IF(R84="",Settings!$C$9,R84))-MONTH(B84)+1))))</f>
        <v/>
      </c>
      <c r="V84" s="29" t="str">
        <f aca="false">IF(OR(G84="",H84=""),"",ROUND(P84*Settings!$C$10*U84,0))</f>
        <v/>
      </c>
      <c r="W84" s="28" t="str">
        <f aca="false">IF(OR(G84="",H84=""),"",IF(OR(P84=0,R84=""),0,IF(IF(S84="",Settings!$C$9,S84)&lt;=Q84,0,((YEAR(IF(S84="",Settings!$C$9,S84))-YEAR(R84))*12+MONTH(IF(S84="",Settings!$C$9,S84))-MONTH(R84)+1))))</f>
        <v/>
      </c>
      <c r="X84" s="29" t="str">
        <f aca="false">IF(OR(G84="",H84=""),"",ROUND(P84*Settings!$C$11*W84,0))</f>
        <v/>
      </c>
      <c r="Y84" s="29" t="str">
        <f aca="false">IF(OR(G84="",H84=""),"",V84+X84)</f>
        <v/>
      </c>
      <c r="Z84" s="7" t="str">
        <f aca="false">IF(OR(G84="",H84=""),"",IF(P84=0,"Below threshold",IF(R84="","Not yet deducted",IF(S84="",IF(Settings!$C$9&gt;Q84,"Overdue — pay now","Deducted, due "&amp;TEXT(Q84,"dd-mmm")),IF(S84&lt;=Q84,IF(N(U84)&gt;0,"Deducted late, paid on time","Paid on time"),"Paid late")))))</f>
        <v/>
      </c>
      <c r="AA84" s="35" t="str">
        <f aca="false">IF(OR(G84="",H84=""),"",IF(D84&lt;&gt;"",UPPER(TRIM(D84)),UPPER(TRIM(C84))))</f>
        <v/>
      </c>
    </row>
    <row r="85" customFormat="false" ht="15" hidden="false" customHeight="false" outlineLevel="0" collapsed="false">
      <c r="B85" s="17"/>
      <c r="C85" s="5"/>
      <c r="D85" s="5"/>
      <c r="E85" s="5"/>
      <c r="F85" s="5"/>
      <c r="G85" s="5"/>
      <c r="H85" s="16"/>
      <c r="I85" s="7" t="str">
        <f aca="false">IF(OR(G85="",H85=""),"",IFERROR(INDEX('TDS Rates'!$D$6:$D$40,MATCH(G85,'TDS Rates'!$B$6:$B$40,0)),"Check nature"))</f>
        <v/>
      </c>
      <c r="J85" s="7" t="str">
        <f aca="false">IF(OR(G85="",H85=""),"",IFERROR(INDEX('TDS Rates'!$C$6:$C$40,MATCH(G85,'TDS Rates'!$B$6:$B$40,0)),""))</f>
        <v/>
      </c>
      <c r="K85" s="7" t="str">
        <f aca="false">IF(OR(G85="",H85=""),"",IFERROR(INDEX('TDS Rates'!$E$6:$E$40,MATCH(G85,'TDS Rates'!$B$6:$B$40,0)),""))</f>
        <v/>
      </c>
      <c r="L85" s="29" t="str">
        <f aca="false">IF(OR(G85="",H85=""),"",SUMIFS(H$6:H84,AA$6:AA84,AA85,G$6:G84,G85))</f>
        <v/>
      </c>
      <c r="M85" s="29" t="str">
        <f aca="false">IF(OR(G85="",H85=""),"",SUMIFS(H$6:H84,AA$6:AA84,AA85,G$6:G84,G85,N$6:N84,0))</f>
        <v/>
      </c>
      <c r="N85" s="29" t="str">
        <f aca="false">IF(OR(G85="",H85=""),"",IFERROR(IF(INDEX('TDS Rates'!$F$6:$F$40,MATCH(G85,'TDS Rates'!$B$6:$B$40,0))="NONE",H85,IF(INDEX('TDS Rates'!$F$6:$F$40,MATCH(G85,'TDS Rates'!$B$6:$B$40,0))="PER",IF(H85&gt;INDEX('TDS Rates'!$G$6:$G$40,MATCH(G85,'TDS Rates'!$B$6:$B$40,0)),H85,0),IF(INDEX('TDS Rates'!$F$6:$F$40,MATCH(G85,'TDS Rates'!$B$6:$B$40,0))="EXCESS",MAX(0,L85+H85-INDEX('TDS Rates'!$H$6:$H$40,MATCH(G85,'TDS Rates'!$B$6:$B$40,0)))-MAX(0,L85-INDEX('TDS Rates'!$H$6:$H$40,MATCH(G85,'TDS Rates'!$B$6:$B$40,0))),IF(INDEX('TDS Rates'!$F$6:$F$40,MATCH(G85,'TDS Rates'!$B$6:$B$40,0))="SA",IF(L85+H85&gt;INDEX('TDS Rates'!$H$6:$H$40,MATCH(G85,'TDS Rates'!$B$6:$B$40,0)),H85+M85,IF(H85&gt;INDEX('TDS Rates'!$G$6:$G$40,MATCH(G85,'TDS Rates'!$B$6:$B$40,0)),H85,0)),IF(L85+H85&gt;INDEX('TDS Rates'!$H$6:$H$40,MATCH(G85,'TDS Rates'!$B$6:$B$40,0)),H85+M85,0))))),0))</f>
        <v/>
      </c>
      <c r="O85" s="33" t="str">
        <f aca="false">IF(OR(G85="",H85=""),"",IFERROR(IF(F85="No",IF(INDEX('TDS Rates'!$C$6:$C$40,MATCH(G85,'TDS Rates'!$B$6:$B$40,0))="194Q",Settings!$C$14,MAX(Settings!$C$13,IF(E85="Individual / HUF",INDEX('TDS Rates'!$I$6:$I$40,MATCH(G85,'TDS Rates'!$B$6:$B$40,0)),IF(E85="Company",INDEX('TDS Rates'!$J$6:$J$40,MATCH(G85,'TDS Rates'!$B$6:$B$40,0)),INDEX('TDS Rates'!$K$6:$K$40,MATCH(G85,'TDS Rates'!$B$6:$B$40,0)))))),IF(E85="Individual / HUF",INDEX('TDS Rates'!$I$6:$I$40,MATCH(G85,'TDS Rates'!$B$6:$B$40,0)),IF(E85="Company",INDEX('TDS Rates'!$J$6:$J$40,MATCH(G85,'TDS Rates'!$B$6:$B$40,0)),INDEX('TDS Rates'!$K$6:$K$40,MATCH(G85,'TDS Rates'!$B$6:$B$40,0))))),0))</f>
        <v/>
      </c>
      <c r="P85" s="34" t="str">
        <f aca="false">IF(OR(G85="",H85=""),"",ROUND(N85*O85,0))</f>
        <v/>
      </c>
      <c r="Q85" s="27" t="str">
        <f aca="false">IF(OR(G85="",H85=""),"",IFERROR(IF(INDEX('TDS Rates'!$E$6:$E$40,MATCH(G85,'TDS Rates'!$B$6:$B$40,0))="Form 141",EOMONTH(IF(R85="",B85,R85),0)+30,IF(MONTH(IF(R85="",B85,R85))=3,DATE(YEAR(IF(R85="",B85,R85)),4,30),DATE(YEAR(IF(R85="",B85,R85)),MONTH(IF(R85="",B85,R85))+1,7))),""))</f>
        <v/>
      </c>
      <c r="R85" s="17"/>
      <c r="S85" s="17"/>
      <c r="T85" s="5"/>
      <c r="U85" s="28" t="str">
        <f aca="false">IF(OR(G85="",H85=""),"",IF(P85=0,0,IF(IF(R85="",Settings!$C$9,R85)&lt;=B85,0,((YEAR(IF(R85="",Settings!$C$9,R85))-YEAR(B85))*12+MONTH(IF(R85="",Settings!$C$9,R85))-MONTH(B85)+1))))</f>
        <v/>
      </c>
      <c r="V85" s="29" t="str">
        <f aca="false">IF(OR(G85="",H85=""),"",ROUND(P85*Settings!$C$10*U85,0))</f>
        <v/>
      </c>
      <c r="W85" s="28" t="str">
        <f aca="false">IF(OR(G85="",H85=""),"",IF(OR(P85=0,R85=""),0,IF(IF(S85="",Settings!$C$9,S85)&lt;=Q85,0,((YEAR(IF(S85="",Settings!$C$9,S85))-YEAR(R85))*12+MONTH(IF(S85="",Settings!$C$9,S85))-MONTH(R85)+1))))</f>
        <v/>
      </c>
      <c r="X85" s="29" t="str">
        <f aca="false">IF(OR(G85="",H85=""),"",ROUND(P85*Settings!$C$11*W85,0))</f>
        <v/>
      </c>
      <c r="Y85" s="29" t="str">
        <f aca="false">IF(OR(G85="",H85=""),"",V85+X85)</f>
        <v/>
      </c>
      <c r="Z85" s="7" t="str">
        <f aca="false">IF(OR(G85="",H85=""),"",IF(P85=0,"Below threshold",IF(R85="","Not yet deducted",IF(S85="",IF(Settings!$C$9&gt;Q85,"Overdue — pay now","Deducted, due "&amp;TEXT(Q85,"dd-mmm")),IF(S85&lt;=Q85,IF(N(U85)&gt;0,"Deducted late, paid on time","Paid on time"),"Paid late")))))</f>
        <v/>
      </c>
      <c r="AA85" s="35" t="str">
        <f aca="false">IF(OR(G85="",H85=""),"",IF(D85&lt;&gt;"",UPPER(TRIM(D85)),UPPER(TRIM(C85))))</f>
        <v/>
      </c>
    </row>
    <row r="86" customFormat="false" ht="15" hidden="false" customHeight="false" outlineLevel="0" collapsed="false">
      <c r="B86" s="17"/>
      <c r="C86" s="5"/>
      <c r="D86" s="5"/>
      <c r="E86" s="5"/>
      <c r="F86" s="5"/>
      <c r="G86" s="5"/>
      <c r="H86" s="16"/>
      <c r="I86" s="7" t="str">
        <f aca="false">IF(OR(G86="",H86=""),"",IFERROR(INDEX('TDS Rates'!$D$6:$D$40,MATCH(G86,'TDS Rates'!$B$6:$B$40,0)),"Check nature"))</f>
        <v/>
      </c>
      <c r="J86" s="7" t="str">
        <f aca="false">IF(OR(G86="",H86=""),"",IFERROR(INDEX('TDS Rates'!$C$6:$C$40,MATCH(G86,'TDS Rates'!$B$6:$B$40,0)),""))</f>
        <v/>
      </c>
      <c r="K86" s="7" t="str">
        <f aca="false">IF(OR(G86="",H86=""),"",IFERROR(INDEX('TDS Rates'!$E$6:$E$40,MATCH(G86,'TDS Rates'!$B$6:$B$40,0)),""))</f>
        <v/>
      </c>
      <c r="L86" s="29" t="str">
        <f aca="false">IF(OR(G86="",H86=""),"",SUMIFS(H$6:H85,AA$6:AA85,AA86,G$6:G85,G86))</f>
        <v/>
      </c>
      <c r="M86" s="29" t="str">
        <f aca="false">IF(OR(G86="",H86=""),"",SUMIFS(H$6:H85,AA$6:AA85,AA86,G$6:G85,G86,N$6:N85,0))</f>
        <v/>
      </c>
      <c r="N86" s="29" t="str">
        <f aca="false">IF(OR(G86="",H86=""),"",IFERROR(IF(INDEX('TDS Rates'!$F$6:$F$40,MATCH(G86,'TDS Rates'!$B$6:$B$40,0))="NONE",H86,IF(INDEX('TDS Rates'!$F$6:$F$40,MATCH(G86,'TDS Rates'!$B$6:$B$40,0))="PER",IF(H86&gt;INDEX('TDS Rates'!$G$6:$G$40,MATCH(G86,'TDS Rates'!$B$6:$B$40,0)),H86,0),IF(INDEX('TDS Rates'!$F$6:$F$40,MATCH(G86,'TDS Rates'!$B$6:$B$40,0))="EXCESS",MAX(0,L86+H86-INDEX('TDS Rates'!$H$6:$H$40,MATCH(G86,'TDS Rates'!$B$6:$B$40,0)))-MAX(0,L86-INDEX('TDS Rates'!$H$6:$H$40,MATCH(G86,'TDS Rates'!$B$6:$B$40,0))),IF(INDEX('TDS Rates'!$F$6:$F$40,MATCH(G86,'TDS Rates'!$B$6:$B$40,0))="SA",IF(L86+H86&gt;INDEX('TDS Rates'!$H$6:$H$40,MATCH(G86,'TDS Rates'!$B$6:$B$40,0)),H86+M86,IF(H86&gt;INDEX('TDS Rates'!$G$6:$G$40,MATCH(G86,'TDS Rates'!$B$6:$B$40,0)),H86,0)),IF(L86+H86&gt;INDEX('TDS Rates'!$H$6:$H$40,MATCH(G86,'TDS Rates'!$B$6:$B$40,0)),H86+M86,0))))),0))</f>
        <v/>
      </c>
      <c r="O86" s="33" t="str">
        <f aca="false">IF(OR(G86="",H86=""),"",IFERROR(IF(F86="No",IF(INDEX('TDS Rates'!$C$6:$C$40,MATCH(G86,'TDS Rates'!$B$6:$B$40,0))="194Q",Settings!$C$14,MAX(Settings!$C$13,IF(E86="Individual / HUF",INDEX('TDS Rates'!$I$6:$I$40,MATCH(G86,'TDS Rates'!$B$6:$B$40,0)),IF(E86="Company",INDEX('TDS Rates'!$J$6:$J$40,MATCH(G86,'TDS Rates'!$B$6:$B$40,0)),INDEX('TDS Rates'!$K$6:$K$40,MATCH(G86,'TDS Rates'!$B$6:$B$40,0)))))),IF(E86="Individual / HUF",INDEX('TDS Rates'!$I$6:$I$40,MATCH(G86,'TDS Rates'!$B$6:$B$40,0)),IF(E86="Company",INDEX('TDS Rates'!$J$6:$J$40,MATCH(G86,'TDS Rates'!$B$6:$B$40,0)),INDEX('TDS Rates'!$K$6:$K$40,MATCH(G86,'TDS Rates'!$B$6:$B$40,0))))),0))</f>
        <v/>
      </c>
      <c r="P86" s="34" t="str">
        <f aca="false">IF(OR(G86="",H86=""),"",ROUND(N86*O86,0))</f>
        <v/>
      </c>
      <c r="Q86" s="27" t="str">
        <f aca="false">IF(OR(G86="",H86=""),"",IFERROR(IF(INDEX('TDS Rates'!$E$6:$E$40,MATCH(G86,'TDS Rates'!$B$6:$B$40,0))="Form 141",EOMONTH(IF(R86="",B86,R86),0)+30,IF(MONTH(IF(R86="",B86,R86))=3,DATE(YEAR(IF(R86="",B86,R86)),4,30),DATE(YEAR(IF(R86="",B86,R86)),MONTH(IF(R86="",B86,R86))+1,7))),""))</f>
        <v/>
      </c>
      <c r="R86" s="17"/>
      <c r="S86" s="17"/>
      <c r="T86" s="5"/>
      <c r="U86" s="28" t="str">
        <f aca="false">IF(OR(G86="",H86=""),"",IF(P86=0,0,IF(IF(R86="",Settings!$C$9,R86)&lt;=B86,0,((YEAR(IF(R86="",Settings!$C$9,R86))-YEAR(B86))*12+MONTH(IF(R86="",Settings!$C$9,R86))-MONTH(B86)+1))))</f>
        <v/>
      </c>
      <c r="V86" s="29" t="str">
        <f aca="false">IF(OR(G86="",H86=""),"",ROUND(P86*Settings!$C$10*U86,0))</f>
        <v/>
      </c>
      <c r="W86" s="28" t="str">
        <f aca="false">IF(OR(G86="",H86=""),"",IF(OR(P86=0,R86=""),0,IF(IF(S86="",Settings!$C$9,S86)&lt;=Q86,0,((YEAR(IF(S86="",Settings!$C$9,S86))-YEAR(R86))*12+MONTH(IF(S86="",Settings!$C$9,S86))-MONTH(R86)+1))))</f>
        <v/>
      </c>
      <c r="X86" s="29" t="str">
        <f aca="false">IF(OR(G86="",H86=""),"",ROUND(P86*Settings!$C$11*W86,0))</f>
        <v/>
      </c>
      <c r="Y86" s="29" t="str">
        <f aca="false">IF(OR(G86="",H86=""),"",V86+X86)</f>
        <v/>
      </c>
      <c r="Z86" s="7" t="str">
        <f aca="false">IF(OR(G86="",H86=""),"",IF(P86=0,"Below threshold",IF(R86="","Not yet deducted",IF(S86="",IF(Settings!$C$9&gt;Q86,"Overdue — pay now","Deducted, due "&amp;TEXT(Q86,"dd-mmm")),IF(S86&lt;=Q86,IF(N(U86)&gt;0,"Deducted late, paid on time","Paid on time"),"Paid late")))))</f>
        <v/>
      </c>
      <c r="AA86" s="35" t="str">
        <f aca="false">IF(OR(G86="",H86=""),"",IF(D86&lt;&gt;"",UPPER(TRIM(D86)),UPPER(TRIM(C86))))</f>
        <v/>
      </c>
    </row>
    <row r="87" customFormat="false" ht="15" hidden="false" customHeight="false" outlineLevel="0" collapsed="false">
      <c r="B87" s="17"/>
      <c r="C87" s="5"/>
      <c r="D87" s="5"/>
      <c r="E87" s="5"/>
      <c r="F87" s="5"/>
      <c r="G87" s="5"/>
      <c r="H87" s="16"/>
      <c r="I87" s="7" t="str">
        <f aca="false">IF(OR(G87="",H87=""),"",IFERROR(INDEX('TDS Rates'!$D$6:$D$40,MATCH(G87,'TDS Rates'!$B$6:$B$40,0)),"Check nature"))</f>
        <v/>
      </c>
      <c r="J87" s="7" t="str">
        <f aca="false">IF(OR(G87="",H87=""),"",IFERROR(INDEX('TDS Rates'!$C$6:$C$40,MATCH(G87,'TDS Rates'!$B$6:$B$40,0)),""))</f>
        <v/>
      </c>
      <c r="K87" s="7" t="str">
        <f aca="false">IF(OR(G87="",H87=""),"",IFERROR(INDEX('TDS Rates'!$E$6:$E$40,MATCH(G87,'TDS Rates'!$B$6:$B$40,0)),""))</f>
        <v/>
      </c>
      <c r="L87" s="29" t="str">
        <f aca="false">IF(OR(G87="",H87=""),"",SUMIFS(H$6:H86,AA$6:AA86,AA87,G$6:G86,G87))</f>
        <v/>
      </c>
      <c r="M87" s="29" t="str">
        <f aca="false">IF(OR(G87="",H87=""),"",SUMIFS(H$6:H86,AA$6:AA86,AA87,G$6:G86,G87,N$6:N86,0))</f>
        <v/>
      </c>
      <c r="N87" s="29" t="str">
        <f aca="false">IF(OR(G87="",H87=""),"",IFERROR(IF(INDEX('TDS Rates'!$F$6:$F$40,MATCH(G87,'TDS Rates'!$B$6:$B$40,0))="NONE",H87,IF(INDEX('TDS Rates'!$F$6:$F$40,MATCH(G87,'TDS Rates'!$B$6:$B$40,0))="PER",IF(H87&gt;INDEX('TDS Rates'!$G$6:$G$40,MATCH(G87,'TDS Rates'!$B$6:$B$40,0)),H87,0),IF(INDEX('TDS Rates'!$F$6:$F$40,MATCH(G87,'TDS Rates'!$B$6:$B$40,0))="EXCESS",MAX(0,L87+H87-INDEX('TDS Rates'!$H$6:$H$40,MATCH(G87,'TDS Rates'!$B$6:$B$40,0)))-MAX(0,L87-INDEX('TDS Rates'!$H$6:$H$40,MATCH(G87,'TDS Rates'!$B$6:$B$40,0))),IF(INDEX('TDS Rates'!$F$6:$F$40,MATCH(G87,'TDS Rates'!$B$6:$B$40,0))="SA",IF(L87+H87&gt;INDEX('TDS Rates'!$H$6:$H$40,MATCH(G87,'TDS Rates'!$B$6:$B$40,0)),H87+M87,IF(H87&gt;INDEX('TDS Rates'!$G$6:$G$40,MATCH(G87,'TDS Rates'!$B$6:$B$40,0)),H87,0)),IF(L87+H87&gt;INDEX('TDS Rates'!$H$6:$H$40,MATCH(G87,'TDS Rates'!$B$6:$B$40,0)),H87+M87,0))))),0))</f>
        <v/>
      </c>
      <c r="O87" s="33" t="str">
        <f aca="false">IF(OR(G87="",H87=""),"",IFERROR(IF(F87="No",IF(INDEX('TDS Rates'!$C$6:$C$40,MATCH(G87,'TDS Rates'!$B$6:$B$40,0))="194Q",Settings!$C$14,MAX(Settings!$C$13,IF(E87="Individual / HUF",INDEX('TDS Rates'!$I$6:$I$40,MATCH(G87,'TDS Rates'!$B$6:$B$40,0)),IF(E87="Company",INDEX('TDS Rates'!$J$6:$J$40,MATCH(G87,'TDS Rates'!$B$6:$B$40,0)),INDEX('TDS Rates'!$K$6:$K$40,MATCH(G87,'TDS Rates'!$B$6:$B$40,0)))))),IF(E87="Individual / HUF",INDEX('TDS Rates'!$I$6:$I$40,MATCH(G87,'TDS Rates'!$B$6:$B$40,0)),IF(E87="Company",INDEX('TDS Rates'!$J$6:$J$40,MATCH(G87,'TDS Rates'!$B$6:$B$40,0)),INDEX('TDS Rates'!$K$6:$K$40,MATCH(G87,'TDS Rates'!$B$6:$B$40,0))))),0))</f>
        <v/>
      </c>
      <c r="P87" s="34" t="str">
        <f aca="false">IF(OR(G87="",H87=""),"",ROUND(N87*O87,0))</f>
        <v/>
      </c>
      <c r="Q87" s="27" t="str">
        <f aca="false">IF(OR(G87="",H87=""),"",IFERROR(IF(INDEX('TDS Rates'!$E$6:$E$40,MATCH(G87,'TDS Rates'!$B$6:$B$40,0))="Form 141",EOMONTH(IF(R87="",B87,R87),0)+30,IF(MONTH(IF(R87="",B87,R87))=3,DATE(YEAR(IF(R87="",B87,R87)),4,30),DATE(YEAR(IF(R87="",B87,R87)),MONTH(IF(R87="",B87,R87))+1,7))),""))</f>
        <v/>
      </c>
      <c r="R87" s="17"/>
      <c r="S87" s="17"/>
      <c r="T87" s="5"/>
      <c r="U87" s="28" t="str">
        <f aca="false">IF(OR(G87="",H87=""),"",IF(P87=0,0,IF(IF(R87="",Settings!$C$9,R87)&lt;=B87,0,((YEAR(IF(R87="",Settings!$C$9,R87))-YEAR(B87))*12+MONTH(IF(R87="",Settings!$C$9,R87))-MONTH(B87)+1))))</f>
        <v/>
      </c>
      <c r="V87" s="29" t="str">
        <f aca="false">IF(OR(G87="",H87=""),"",ROUND(P87*Settings!$C$10*U87,0))</f>
        <v/>
      </c>
      <c r="W87" s="28" t="str">
        <f aca="false">IF(OR(G87="",H87=""),"",IF(OR(P87=0,R87=""),0,IF(IF(S87="",Settings!$C$9,S87)&lt;=Q87,0,((YEAR(IF(S87="",Settings!$C$9,S87))-YEAR(R87))*12+MONTH(IF(S87="",Settings!$C$9,S87))-MONTH(R87)+1))))</f>
        <v/>
      </c>
      <c r="X87" s="29" t="str">
        <f aca="false">IF(OR(G87="",H87=""),"",ROUND(P87*Settings!$C$11*W87,0))</f>
        <v/>
      </c>
      <c r="Y87" s="29" t="str">
        <f aca="false">IF(OR(G87="",H87=""),"",V87+X87)</f>
        <v/>
      </c>
      <c r="Z87" s="7" t="str">
        <f aca="false">IF(OR(G87="",H87=""),"",IF(P87=0,"Below threshold",IF(R87="","Not yet deducted",IF(S87="",IF(Settings!$C$9&gt;Q87,"Overdue — pay now","Deducted, due "&amp;TEXT(Q87,"dd-mmm")),IF(S87&lt;=Q87,IF(N(U87)&gt;0,"Deducted late, paid on time","Paid on time"),"Paid late")))))</f>
        <v/>
      </c>
      <c r="AA87" s="35" t="str">
        <f aca="false">IF(OR(G87="",H87=""),"",IF(D87&lt;&gt;"",UPPER(TRIM(D87)),UPPER(TRIM(C87))))</f>
        <v/>
      </c>
    </row>
    <row r="88" customFormat="false" ht="15" hidden="false" customHeight="false" outlineLevel="0" collapsed="false">
      <c r="B88" s="17"/>
      <c r="C88" s="5"/>
      <c r="D88" s="5"/>
      <c r="E88" s="5"/>
      <c r="F88" s="5"/>
      <c r="G88" s="5"/>
      <c r="H88" s="16"/>
      <c r="I88" s="7" t="str">
        <f aca="false">IF(OR(G88="",H88=""),"",IFERROR(INDEX('TDS Rates'!$D$6:$D$40,MATCH(G88,'TDS Rates'!$B$6:$B$40,0)),"Check nature"))</f>
        <v/>
      </c>
      <c r="J88" s="7" t="str">
        <f aca="false">IF(OR(G88="",H88=""),"",IFERROR(INDEX('TDS Rates'!$C$6:$C$40,MATCH(G88,'TDS Rates'!$B$6:$B$40,0)),""))</f>
        <v/>
      </c>
      <c r="K88" s="7" t="str">
        <f aca="false">IF(OR(G88="",H88=""),"",IFERROR(INDEX('TDS Rates'!$E$6:$E$40,MATCH(G88,'TDS Rates'!$B$6:$B$40,0)),""))</f>
        <v/>
      </c>
      <c r="L88" s="29" t="str">
        <f aca="false">IF(OR(G88="",H88=""),"",SUMIFS(H$6:H87,AA$6:AA87,AA88,G$6:G87,G88))</f>
        <v/>
      </c>
      <c r="M88" s="29" t="str">
        <f aca="false">IF(OR(G88="",H88=""),"",SUMIFS(H$6:H87,AA$6:AA87,AA88,G$6:G87,G88,N$6:N87,0))</f>
        <v/>
      </c>
      <c r="N88" s="29" t="str">
        <f aca="false">IF(OR(G88="",H88=""),"",IFERROR(IF(INDEX('TDS Rates'!$F$6:$F$40,MATCH(G88,'TDS Rates'!$B$6:$B$40,0))="NONE",H88,IF(INDEX('TDS Rates'!$F$6:$F$40,MATCH(G88,'TDS Rates'!$B$6:$B$40,0))="PER",IF(H88&gt;INDEX('TDS Rates'!$G$6:$G$40,MATCH(G88,'TDS Rates'!$B$6:$B$40,0)),H88,0),IF(INDEX('TDS Rates'!$F$6:$F$40,MATCH(G88,'TDS Rates'!$B$6:$B$40,0))="EXCESS",MAX(0,L88+H88-INDEX('TDS Rates'!$H$6:$H$40,MATCH(G88,'TDS Rates'!$B$6:$B$40,0)))-MAX(0,L88-INDEX('TDS Rates'!$H$6:$H$40,MATCH(G88,'TDS Rates'!$B$6:$B$40,0))),IF(INDEX('TDS Rates'!$F$6:$F$40,MATCH(G88,'TDS Rates'!$B$6:$B$40,0))="SA",IF(L88+H88&gt;INDEX('TDS Rates'!$H$6:$H$40,MATCH(G88,'TDS Rates'!$B$6:$B$40,0)),H88+M88,IF(H88&gt;INDEX('TDS Rates'!$G$6:$G$40,MATCH(G88,'TDS Rates'!$B$6:$B$40,0)),H88,0)),IF(L88+H88&gt;INDEX('TDS Rates'!$H$6:$H$40,MATCH(G88,'TDS Rates'!$B$6:$B$40,0)),H88+M88,0))))),0))</f>
        <v/>
      </c>
      <c r="O88" s="33" t="str">
        <f aca="false">IF(OR(G88="",H88=""),"",IFERROR(IF(F88="No",IF(INDEX('TDS Rates'!$C$6:$C$40,MATCH(G88,'TDS Rates'!$B$6:$B$40,0))="194Q",Settings!$C$14,MAX(Settings!$C$13,IF(E88="Individual / HUF",INDEX('TDS Rates'!$I$6:$I$40,MATCH(G88,'TDS Rates'!$B$6:$B$40,0)),IF(E88="Company",INDEX('TDS Rates'!$J$6:$J$40,MATCH(G88,'TDS Rates'!$B$6:$B$40,0)),INDEX('TDS Rates'!$K$6:$K$40,MATCH(G88,'TDS Rates'!$B$6:$B$40,0)))))),IF(E88="Individual / HUF",INDEX('TDS Rates'!$I$6:$I$40,MATCH(G88,'TDS Rates'!$B$6:$B$40,0)),IF(E88="Company",INDEX('TDS Rates'!$J$6:$J$40,MATCH(G88,'TDS Rates'!$B$6:$B$40,0)),INDEX('TDS Rates'!$K$6:$K$40,MATCH(G88,'TDS Rates'!$B$6:$B$40,0))))),0))</f>
        <v/>
      </c>
      <c r="P88" s="34" t="str">
        <f aca="false">IF(OR(G88="",H88=""),"",ROUND(N88*O88,0))</f>
        <v/>
      </c>
      <c r="Q88" s="27" t="str">
        <f aca="false">IF(OR(G88="",H88=""),"",IFERROR(IF(INDEX('TDS Rates'!$E$6:$E$40,MATCH(G88,'TDS Rates'!$B$6:$B$40,0))="Form 141",EOMONTH(IF(R88="",B88,R88),0)+30,IF(MONTH(IF(R88="",B88,R88))=3,DATE(YEAR(IF(R88="",B88,R88)),4,30),DATE(YEAR(IF(R88="",B88,R88)),MONTH(IF(R88="",B88,R88))+1,7))),""))</f>
        <v/>
      </c>
      <c r="R88" s="17"/>
      <c r="S88" s="17"/>
      <c r="T88" s="5"/>
      <c r="U88" s="28" t="str">
        <f aca="false">IF(OR(G88="",H88=""),"",IF(P88=0,0,IF(IF(R88="",Settings!$C$9,R88)&lt;=B88,0,((YEAR(IF(R88="",Settings!$C$9,R88))-YEAR(B88))*12+MONTH(IF(R88="",Settings!$C$9,R88))-MONTH(B88)+1))))</f>
        <v/>
      </c>
      <c r="V88" s="29" t="str">
        <f aca="false">IF(OR(G88="",H88=""),"",ROUND(P88*Settings!$C$10*U88,0))</f>
        <v/>
      </c>
      <c r="W88" s="28" t="str">
        <f aca="false">IF(OR(G88="",H88=""),"",IF(OR(P88=0,R88=""),0,IF(IF(S88="",Settings!$C$9,S88)&lt;=Q88,0,((YEAR(IF(S88="",Settings!$C$9,S88))-YEAR(R88))*12+MONTH(IF(S88="",Settings!$C$9,S88))-MONTH(R88)+1))))</f>
        <v/>
      </c>
      <c r="X88" s="29" t="str">
        <f aca="false">IF(OR(G88="",H88=""),"",ROUND(P88*Settings!$C$11*W88,0))</f>
        <v/>
      </c>
      <c r="Y88" s="29" t="str">
        <f aca="false">IF(OR(G88="",H88=""),"",V88+X88)</f>
        <v/>
      </c>
      <c r="Z88" s="7" t="str">
        <f aca="false">IF(OR(G88="",H88=""),"",IF(P88=0,"Below threshold",IF(R88="","Not yet deducted",IF(S88="",IF(Settings!$C$9&gt;Q88,"Overdue — pay now","Deducted, due "&amp;TEXT(Q88,"dd-mmm")),IF(S88&lt;=Q88,IF(N(U88)&gt;0,"Deducted late, paid on time","Paid on time"),"Paid late")))))</f>
        <v/>
      </c>
      <c r="AA88" s="35" t="str">
        <f aca="false">IF(OR(G88="",H88=""),"",IF(D88&lt;&gt;"",UPPER(TRIM(D88)),UPPER(TRIM(C88))))</f>
        <v/>
      </c>
    </row>
    <row r="89" customFormat="false" ht="15" hidden="false" customHeight="false" outlineLevel="0" collapsed="false">
      <c r="B89" s="17"/>
      <c r="C89" s="5"/>
      <c r="D89" s="5"/>
      <c r="E89" s="5"/>
      <c r="F89" s="5"/>
      <c r="G89" s="5"/>
      <c r="H89" s="16"/>
      <c r="I89" s="7" t="str">
        <f aca="false">IF(OR(G89="",H89=""),"",IFERROR(INDEX('TDS Rates'!$D$6:$D$40,MATCH(G89,'TDS Rates'!$B$6:$B$40,0)),"Check nature"))</f>
        <v/>
      </c>
      <c r="J89" s="7" t="str">
        <f aca="false">IF(OR(G89="",H89=""),"",IFERROR(INDEX('TDS Rates'!$C$6:$C$40,MATCH(G89,'TDS Rates'!$B$6:$B$40,0)),""))</f>
        <v/>
      </c>
      <c r="K89" s="7" t="str">
        <f aca="false">IF(OR(G89="",H89=""),"",IFERROR(INDEX('TDS Rates'!$E$6:$E$40,MATCH(G89,'TDS Rates'!$B$6:$B$40,0)),""))</f>
        <v/>
      </c>
      <c r="L89" s="29" t="str">
        <f aca="false">IF(OR(G89="",H89=""),"",SUMIFS(H$6:H88,AA$6:AA88,AA89,G$6:G88,G89))</f>
        <v/>
      </c>
      <c r="M89" s="29" t="str">
        <f aca="false">IF(OR(G89="",H89=""),"",SUMIFS(H$6:H88,AA$6:AA88,AA89,G$6:G88,G89,N$6:N88,0))</f>
        <v/>
      </c>
      <c r="N89" s="29" t="str">
        <f aca="false">IF(OR(G89="",H89=""),"",IFERROR(IF(INDEX('TDS Rates'!$F$6:$F$40,MATCH(G89,'TDS Rates'!$B$6:$B$40,0))="NONE",H89,IF(INDEX('TDS Rates'!$F$6:$F$40,MATCH(G89,'TDS Rates'!$B$6:$B$40,0))="PER",IF(H89&gt;INDEX('TDS Rates'!$G$6:$G$40,MATCH(G89,'TDS Rates'!$B$6:$B$40,0)),H89,0),IF(INDEX('TDS Rates'!$F$6:$F$40,MATCH(G89,'TDS Rates'!$B$6:$B$40,0))="EXCESS",MAX(0,L89+H89-INDEX('TDS Rates'!$H$6:$H$40,MATCH(G89,'TDS Rates'!$B$6:$B$40,0)))-MAX(0,L89-INDEX('TDS Rates'!$H$6:$H$40,MATCH(G89,'TDS Rates'!$B$6:$B$40,0))),IF(INDEX('TDS Rates'!$F$6:$F$40,MATCH(G89,'TDS Rates'!$B$6:$B$40,0))="SA",IF(L89+H89&gt;INDEX('TDS Rates'!$H$6:$H$40,MATCH(G89,'TDS Rates'!$B$6:$B$40,0)),H89+M89,IF(H89&gt;INDEX('TDS Rates'!$G$6:$G$40,MATCH(G89,'TDS Rates'!$B$6:$B$40,0)),H89,0)),IF(L89+H89&gt;INDEX('TDS Rates'!$H$6:$H$40,MATCH(G89,'TDS Rates'!$B$6:$B$40,0)),H89+M89,0))))),0))</f>
        <v/>
      </c>
      <c r="O89" s="33" t="str">
        <f aca="false">IF(OR(G89="",H89=""),"",IFERROR(IF(F89="No",IF(INDEX('TDS Rates'!$C$6:$C$40,MATCH(G89,'TDS Rates'!$B$6:$B$40,0))="194Q",Settings!$C$14,MAX(Settings!$C$13,IF(E89="Individual / HUF",INDEX('TDS Rates'!$I$6:$I$40,MATCH(G89,'TDS Rates'!$B$6:$B$40,0)),IF(E89="Company",INDEX('TDS Rates'!$J$6:$J$40,MATCH(G89,'TDS Rates'!$B$6:$B$40,0)),INDEX('TDS Rates'!$K$6:$K$40,MATCH(G89,'TDS Rates'!$B$6:$B$40,0)))))),IF(E89="Individual / HUF",INDEX('TDS Rates'!$I$6:$I$40,MATCH(G89,'TDS Rates'!$B$6:$B$40,0)),IF(E89="Company",INDEX('TDS Rates'!$J$6:$J$40,MATCH(G89,'TDS Rates'!$B$6:$B$40,0)),INDEX('TDS Rates'!$K$6:$K$40,MATCH(G89,'TDS Rates'!$B$6:$B$40,0))))),0))</f>
        <v/>
      </c>
      <c r="P89" s="34" t="str">
        <f aca="false">IF(OR(G89="",H89=""),"",ROUND(N89*O89,0))</f>
        <v/>
      </c>
      <c r="Q89" s="27" t="str">
        <f aca="false">IF(OR(G89="",H89=""),"",IFERROR(IF(INDEX('TDS Rates'!$E$6:$E$40,MATCH(G89,'TDS Rates'!$B$6:$B$40,0))="Form 141",EOMONTH(IF(R89="",B89,R89),0)+30,IF(MONTH(IF(R89="",B89,R89))=3,DATE(YEAR(IF(R89="",B89,R89)),4,30),DATE(YEAR(IF(R89="",B89,R89)),MONTH(IF(R89="",B89,R89))+1,7))),""))</f>
        <v/>
      </c>
      <c r="R89" s="17"/>
      <c r="S89" s="17"/>
      <c r="T89" s="5"/>
      <c r="U89" s="28" t="str">
        <f aca="false">IF(OR(G89="",H89=""),"",IF(P89=0,0,IF(IF(R89="",Settings!$C$9,R89)&lt;=B89,0,((YEAR(IF(R89="",Settings!$C$9,R89))-YEAR(B89))*12+MONTH(IF(R89="",Settings!$C$9,R89))-MONTH(B89)+1))))</f>
        <v/>
      </c>
      <c r="V89" s="29" t="str">
        <f aca="false">IF(OR(G89="",H89=""),"",ROUND(P89*Settings!$C$10*U89,0))</f>
        <v/>
      </c>
      <c r="W89" s="28" t="str">
        <f aca="false">IF(OR(G89="",H89=""),"",IF(OR(P89=0,R89=""),0,IF(IF(S89="",Settings!$C$9,S89)&lt;=Q89,0,((YEAR(IF(S89="",Settings!$C$9,S89))-YEAR(R89))*12+MONTH(IF(S89="",Settings!$C$9,S89))-MONTH(R89)+1))))</f>
        <v/>
      </c>
      <c r="X89" s="29" t="str">
        <f aca="false">IF(OR(G89="",H89=""),"",ROUND(P89*Settings!$C$11*W89,0))</f>
        <v/>
      </c>
      <c r="Y89" s="29" t="str">
        <f aca="false">IF(OR(G89="",H89=""),"",V89+X89)</f>
        <v/>
      </c>
      <c r="Z89" s="7" t="str">
        <f aca="false">IF(OR(G89="",H89=""),"",IF(P89=0,"Below threshold",IF(R89="","Not yet deducted",IF(S89="",IF(Settings!$C$9&gt;Q89,"Overdue — pay now","Deducted, due "&amp;TEXT(Q89,"dd-mmm")),IF(S89&lt;=Q89,IF(N(U89)&gt;0,"Deducted late, paid on time","Paid on time"),"Paid late")))))</f>
        <v/>
      </c>
      <c r="AA89" s="35" t="str">
        <f aca="false">IF(OR(G89="",H89=""),"",IF(D89&lt;&gt;"",UPPER(TRIM(D89)),UPPER(TRIM(C89))))</f>
        <v/>
      </c>
    </row>
    <row r="90" customFormat="false" ht="15" hidden="false" customHeight="false" outlineLevel="0" collapsed="false">
      <c r="B90" s="17"/>
      <c r="C90" s="5"/>
      <c r="D90" s="5"/>
      <c r="E90" s="5"/>
      <c r="F90" s="5"/>
      <c r="G90" s="5"/>
      <c r="H90" s="16"/>
      <c r="I90" s="7" t="str">
        <f aca="false">IF(OR(G90="",H90=""),"",IFERROR(INDEX('TDS Rates'!$D$6:$D$40,MATCH(G90,'TDS Rates'!$B$6:$B$40,0)),"Check nature"))</f>
        <v/>
      </c>
      <c r="J90" s="7" t="str">
        <f aca="false">IF(OR(G90="",H90=""),"",IFERROR(INDEX('TDS Rates'!$C$6:$C$40,MATCH(G90,'TDS Rates'!$B$6:$B$40,0)),""))</f>
        <v/>
      </c>
      <c r="K90" s="7" t="str">
        <f aca="false">IF(OR(G90="",H90=""),"",IFERROR(INDEX('TDS Rates'!$E$6:$E$40,MATCH(G90,'TDS Rates'!$B$6:$B$40,0)),""))</f>
        <v/>
      </c>
      <c r="L90" s="29" t="str">
        <f aca="false">IF(OR(G90="",H90=""),"",SUMIFS(H$6:H89,AA$6:AA89,AA90,G$6:G89,G90))</f>
        <v/>
      </c>
      <c r="M90" s="29" t="str">
        <f aca="false">IF(OR(G90="",H90=""),"",SUMIFS(H$6:H89,AA$6:AA89,AA90,G$6:G89,G90,N$6:N89,0))</f>
        <v/>
      </c>
      <c r="N90" s="29" t="str">
        <f aca="false">IF(OR(G90="",H90=""),"",IFERROR(IF(INDEX('TDS Rates'!$F$6:$F$40,MATCH(G90,'TDS Rates'!$B$6:$B$40,0))="NONE",H90,IF(INDEX('TDS Rates'!$F$6:$F$40,MATCH(G90,'TDS Rates'!$B$6:$B$40,0))="PER",IF(H90&gt;INDEX('TDS Rates'!$G$6:$G$40,MATCH(G90,'TDS Rates'!$B$6:$B$40,0)),H90,0),IF(INDEX('TDS Rates'!$F$6:$F$40,MATCH(G90,'TDS Rates'!$B$6:$B$40,0))="EXCESS",MAX(0,L90+H90-INDEX('TDS Rates'!$H$6:$H$40,MATCH(G90,'TDS Rates'!$B$6:$B$40,0)))-MAX(0,L90-INDEX('TDS Rates'!$H$6:$H$40,MATCH(G90,'TDS Rates'!$B$6:$B$40,0))),IF(INDEX('TDS Rates'!$F$6:$F$40,MATCH(G90,'TDS Rates'!$B$6:$B$40,0))="SA",IF(L90+H90&gt;INDEX('TDS Rates'!$H$6:$H$40,MATCH(G90,'TDS Rates'!$B$6:$B$40,0)),H90+M90,IF(H90&gt;INDEX('TDS Rates'!$G$6:$G$40,MATCH(G90,'TDS Rates'!$B$6:$B$40,0)),H90,0)),IF(L90+H90&gt;INDEX('TDS Rates'!$H$6:$H$40,MATCH(G90,'TDS Rates'!$B$6:$B$40,0)),H90+M90,0))))),0))</f>
        <v/>
      </c>
      <c r="O90" s="33" t="str">
        <f aca="false">IF(OR(G90="",H90=""),"",IFERROR(IF(F90="No",IF(INDEX('TDS Rates'!$C$6:$C$40,MATCH(G90,'TDS Rates'!$B$6:$B$40,0))="194Q",Settings!$C$14,MAX(Settings!$C$13,IF(E90="Individual / HUF",INDEX('TDS Rates'!$I$6:$I$40,MATCH(G90,'TDS Rates'!$B$6:$B$40,0)),IF(E90="Company",INDEX('TDS Rates'!$J$6:$J$40,MATCH(G90,'TDS Rates'!$B$6:$B$40,0)),INDEX('TDS Rates'!$K$6:$K$40,MATCH(G90,'TDS Rates'!$B$6:$B$40,0)))))),IF(E90="Individual / HUF",INDEX('TDS Rates'!$I$6:$I$40,MATCH(G90,'TDS Rates'!$B$6:$B$40,0)),IF(E90="Company",INDEX('TDS Rates'!$J$6:$J$40,MATCH(G90,'TDS Rates'!$B$6:$B$40,0)),INDEX('TDS Rates'!$K$6:$K$40,MATCH(G90,'TDS Rates'!$B$6:$B$40,0))))),0))</f>
        <v/>
      </c>
      <c r="P90" s="34" t="str">
        <f aca="false">IF(OR(G90="",H90=""),"",ROUND(N90*O90,0))</f>
        <v/>
      </c>
      <c r="Q90" s="27" t="str">
        <f aca="false">IF(OR(G90="",H90=""),"",IFERROR(IF(INDEX('TDS Rates'!$E$6:$E$40,MATCH(G90,'TDS Rates'!$B$6:$B$40,0))="Form 141",EOMONTH(IF(R90="",B90,R90),0)+30,IF(MONTH(IF(R90="",B90,R90))=3,DATE(YEAR(IF(R90="",B90,R90)),4,30),DATE(YEAR(IF(R90="",B90,R90)),MONTH(IF(R90="",B90,R90))+1,7))),""))</f>
        <v/>
      </c>
      <c r="R90" s="17"/>
      <c r="S90" s="17"/>
      <c r="T90" s="5"/>
      <c r="U90" s="28" t="str">
        <f aca="false">IF(OR(G90="",H90=""),"",IF(P90=0,0,IF(IF(R90="",Settings!$C$9,R90)&lt;=B90,0,((YEAR(IF(R90="",Settings!$C$9,R90))-YEAR(B90))*12+MONTH(IF(R90="",Settings!$C$9,R90))-MONTH(B90)+1))))</f>
        <v/>
      </c>
      <c r="V90" s="29" t="str">
        <f aca="false">IF(OR(G90="",H90=""),"",ROUND(P90*Settings!$C$10*U90,0))</f>
        <v/>
      </c>
      <c r="W90" s="28" t="str">
        <f aca="false">IF(OR(G90="",H90=""),"",IF(OR(P90=0,R90=""),0,IF(IF(S90="",Settings!$C$9,S90)&lt;=Q90,0,((YEAR(IF(S90="",Settings!$C$9,S90))-YEAR(R90))*12+MONTH(IF(S90="",Settings!$C$9,S90))-MONTH(R90)+1))))</f>
        <v/>
      </c>
      <c r="X90" s="29" t="str">
        <f aca="false">IF(OR(G90="",H90=""),"",ROUND(P90*Settings!$C$11*W90,0))</f>
        <v/>
      </c>
      <c r="Y90" s="29" t="str">
        <f aca="false">IF(OR(G90="",H90=""),"",V90+X90)</f>
        <v/>
      </c>
      <c r="Z90" s="7" t="str">
        <f aca="false">IF(OR(G90="",H90=""),"",IF(P90=0,"Below threshold",IF(R90="","Not yet deducted",IF(S90="",IF(Settings!$C$9&gt;Q90,"Overdue — pay now","Deducted, due "&amp;TEXT(Q90,"dd-mmm")),IF(S90&lt;=Q90,IF(N(U90)&gt;0,"Deducted late, paid on time","Paid on time"),"Paid late")))))</f>
        <v/>
      </c>
      <c r="AA90" s="35" t="str">
        <f aca="false">IF(OR(G90="",H90=""),"",IF(D90&lt;&gt;"",UPPER(TRIM(D90)),UPPER(TRIM(C90))))</f>
        <v/>
      </c>
    </row>
    <row r="91" customFormat="false" ht="15" hidden="false" customHeight="false" outlineLevel="0" collapsed="false">
      <c r="B91" s="17"/>
      <c r="C91" s="5"/>
      <c r="D91" s="5"/>
      <c r="E91" s="5"/>
      <c r="F91" s="5"/>
      <c r="G91" s="5"/>
      <c r="H91" s="16"/>
      <c r="I91" s="7" t="str">
        <f aca="false">IF(OR(G91="",H91=""),"",IFERROR(INDEX('TDS Rates'!$D$6:$D$40,MATCH(G91,'TDS Rates'!$B$6:$B$40,0)),"Check nature"))</f>
        <v/>
      </c>
      <c r="J91" s="7" t="str">
        <f aca="false">IF(OR(G91="",H91=""),"",IFERROR(INDEX('TDS Rates'!$C$6:$C$40,MATCH(G91,'TDS Rates'!$B$6:$B$40,0)),""))</f>
        <v/>
      </c>
      <c r="K91" s="7" t="str">
        <f aca="false">IF(OR(G91="",H91=""),"",IFERROR(INDEX('TDS Rates'!$E$6:$E$40,MATCH(G91,'TDS Rates'!$B$6:$B$40,0)),""))</f>
        <v/>
      </c>
      <c r="L91" s="29" t="str">
        <f aca="false">IF(OR(G91="",H91=""),"",SUMIFS(H$6:H90,AA$6:AA90,AA91,G$6:G90,G91))</f>
        <v/>
      </c>
      <c r="M91" s="29" t="str">
        <f aca="false">IF(OR(G91="",H91=""),"",SUMIFS(H$6:H90,AA$6:AA90,AA91,G$6:G90,G91,N$6:N90,0))</f>
        <v/>
      </c>
      <c r="N91" s="29" t="str">
        <f aca="false">IF(OR(G91="",H91=""),"",IFERROR(IF(INDEX('TDS Rates'!$F$6:$F$40,MATCH(G91,'TDS Rates'!$B$6:$B$40,0))="NONE",H91,IF(INDEX('TDS Rates'!$F$6:$F$40,MATCH(G91,'TDS Rates'!$B$6:$B$40,0))="PER",IF(H91&gt;INDEX('TDS Rates'!$G$6:$G$40,MATCH(G91,'TDS Rates'!$B$6:$B$40,0)),H91,0),IF(INDEX('TDS Rates'!$F$6:$F$40,MATCH(G91,'TDS Rates'!$B$6:$B$40,0))="EXCESS",MAX(0,L91+H91-INDEX('TDS Rates'!$H$6:$H$40,MATCH(G91,'TDS Rates'!$B$6:$B$40,0)))-MAX(0,L91-INDEX('TDS Rates'!$H$6:$H$40,MATCH(G91,'TDS Rates'!$B$6:$B$40,0))),IF(INDEX('TDS Rates'!$F$6:$F$40,MATCH(G91,'TDS Rates'!$B$6:$B$40,0))="SA",IF(L91+H91&gt;INDEX('TDS Rates'!$H$6:$H$40,MATCH(G91,'TDS Rates'!$B$6:$B$40,0)),H91+M91,IF(H91&gt;INDEX('TDS Rates'!$G$6:$G$40,MATCH(G91,'TDS Rates'!$B$6:$B$40,0)),H91,0)),IF(L91+H91&gt;INDEX('TDS Rates'!$H$6:$H$40,MATCH(G91,'TDS Rates'!$B$6:$B$40,0)),H91+M91,0))))),0))</f>
        <v/>
      </c>
      <c r="O91" s="33" t="str">
        <f aca="false">IF(OR(G91="",H91=""),"",IFERROR(IF(F91="No",IF(INDEX('TDS Rates'!$C$6:$C$40,MATCH(G91,'TDS Rates'!$B$6:$B$40,0))="194Q",Settings!$C$14,MAX(Settings!$C$13,IF(E91="Individual / HUF",INDEX('TDS Rates'!$I$6:$I$40,MATCH(G91,'TDS Rates'!$B$6:$B$40,0)),IF(E91="Company",INDEX('TDS Rates'!$J$6:$J$40,MATCH(G91,'TDS Rates'!$B$6:$B$40,0)),INDEX('TDS Rates'!$K$6:$K$40,MATCH(G91,'TDS Rates'!$B$6:$B$40,0)))))),IF(E91="Individual / HUF",INDEX('TDS Rates'!$I$6:$I$40,MATCH(G91,'TDS Rates'!$B$6:$B$40,0)),IF(E91="Company",INDEX('TDS Rates'!$J$6:$J$40,MATCH(G91,'TDS Rates'!$B$6:$B$40,0)),INDEX('TDS Rates'!$K$6:$K$40,MATCH(G91,'TDS Rates'!$B$6:$B$40,0))))),0))</f>
        <v/>
      </c>
      <c r="P91" s="34" t="str">
        <f aca="false">IF(OR(G91="",H91=""),"",ROUND(N91*O91,0))</f>
        <v/>
      </c>
      <c r="Q91" s="27" t="str">
        <f aca="false">IF(OR(G91="",H91=""),"",IFERROR(IF(INDEX('TDS Rates'!$E$6:$E$40,MATCH(G91,'TDS Rates'!$B$6:$B$40,0))="Form 141",EOMONTH(IF(R91="",B91,R91),0)+30,IF(MONTH(IF(R91="",B91,R91))=3,DATE(YEAR(IF(R91="",B91,R91)),4,30),DATE(YEAR(IF(R91="",B91,R91)),MONTH(IF(R91="",B91,R91))+1,7))),""))</f>
        <v/>
      </c>
      <c r="R91" s="17"/>
      <c r="S91" s="17"/>
      <c r="T91" s="5"/>
      <c r="U91" s="28" t="str">
        <f aca="false">IF(OR(G91="",H91=""),"",IF(P91=0,0,IF(IF(R91="",Settings!$C$9,R91)&lt;=B91,0,((YEAR(IF(R91="",Settings!$C$9,R91))-YEAR(B91))*12+MONTH(IF(R91="",Settings!$C$9,R91))-MONTH(B91)+1))))</f>
        <v/>
      </c>
      <c r="V91" s="29" t="str">
        <f aca="false">IF(OR(G91="",H91=""),"",ROUND(P91*Settings!$C$10*U91,0))</f>
        <v/>
      </c>
      <c r="W91" s="28" t="str">
        <f aca="false">IF(OR(G91="",H91=""),"",IF(OR(P91=0,R91=""),0,IF(IF(S91="",Settings!$C$9,S91)&lt;=Q91,0,((YEAR(IF(S91="",Settings!$C$9,S91))-YEAR(R91))*12+MONTH(IF(S91="",Settings!$C$9,S91))-MONTH(R91)+1))))</f>
        <v/>
      </c>
      <c r="X91" s="29" t="str">
        <f aca="false">IF(OR(G91="",H91=""),"",ROUND(P91*Settings!$C$11*W91,0))</f>
        <v/>
      </c>
      <c r="Y91" s="29" t="str">
        <f aca="false">IF(OR(G91="",H91=""),"",V91+X91)</f>
        <v/>
      </c>
      <c r="Z91" s="7" t="str">
        <f aca="false">IF(OR(G91="",H91=""),"",IF(P91=0,"Below threshold",IF(R91="","Not yet deducted",IF(S91="",IF(Settings!$C$9&gt;Q91,"Overdue — pay now","Deducted, due "&amp;TEXT(Q91,"dd-mmm")),IF(S91&lt;=Q91,IF(N(U91)&gt;0,"Deducted late, paid on time","Paid on time"),"Paid late")))))</f>
        <v/>
      </c>
      <c r="AA91" s="35" t="str">
        <f aca="false">IF(OR(G91="",H91=""),"",IF(D91&lt;&gt;"",UPPER(TRIM(D91)),UPPER(TRIM(C91))))</f>
        <v/>
      </c>
    </row>
    <row r="92" customFormat="false" ht="15" hidden="false" customHeight="false" outlineLevel="0" collapsed="false">
      <c r="B92" s="17"/>
      <c r="C92" s="5"/>
      <c r="D92" s="5"/>
      <c r="E92" s="5"/>
      <c r="F92" s="5"/>
      <c r="G92" s="5"/>
      <c r="H92" s="16"/>
      <c r="I92" s="7" t="str">
        <f aca="false">IF(OR(G92="",H92=""),"",IFERROR(INDEX('TDS Rates'!$D$6:$D$40,MATCH(G92,'TDS Rates'!$B$6:$B$40,0)),"Check nature"))</f>
        <v/>
      </c>
      <c r="J92" s="7" t="str">
        <f aca="false">IF(OR(G92="",H92=""),"",IFERROR(INDEX('TDS Rates'!$C$6:$C$40,MATCH(G92,'TDS Rates'!$B$6:$B$40,0)),""))</f>
        <v/>
      </c>
      <c r="K92" s="7" t="str">
        <f aca="false">IF(OR(G92="",H92=""),"",IFERROR(INDEX('TDS Rates'!$E$6:$E$40,MATCH(G92,'TDS Rates'!$B$6:$B$40,0)),""))</f>
        <v/>
      </c>
      <c r="L92" s="29" t="str">
        <f aca="false">IF(OR(G92="",H92=""),"",SUMIFS(H$6:H91,AA$6:AA91,AA92,G$6:G91,G92))</f>
        <v/>
      </c>
      <c r="M92" s="29" t="str">
        <f aca="false">IF(OR(G92="",H92=""),"",SUMIFS(H$6:H91,AA$6:AA91,AA92,G$6:G91,G92,N$6:N91,0))</f>
        <v/>
      </c>
      <c r="N92" s="29" t="str">
        <f aca="false">IF(OR(G92="",H92=""),"",IFERROR(IF(INDEX('TDS Rates'!$F$6:$F$40,MATCH(G92,'TDS Rates'!$B$6:$B$40,0))="NONE",H92,IF(INDEX('TDS Rates'!$F$6:$F$40,MATCH(G92,'TDS Rates'!$B$6:$B$40,0))="PER",IF(H92&gt;INDEX('TDS Rates'!$G$6:$G$40,MATCH(G92,'TDS Rates'!$B$6:$B$40,0)),H92,0),IF(INDEX('TDS Rates'!$F$6:$F$40,MATCH(G92,'TDS Rates'!$B$6:$B$40,0))="EXCESS",MAX(0,L92+H92-INDEX('TDS Rates'!$H$6:$H$40,MATCH(G92,'TDS Rates'!$B$6:$B$40,0)))-MAX(0,L92-INDEX('TDS Rates'!$H$6:$H$40,MATCH(G92,'TDS Rates'!$B$6:$B$40,0))),IF(INDEX('TDS Rates'!$F$6:$F$40,MATCH(G92,'TDS Rates'!$B$6:$B$40,0))="SA",IF(L92+H92&gt;INDEX('TDS Rates'!$H$6:$H$40,MATCH(G92,'TDS Rates'!$B$6:$B$40,0)),H92+M92,IF(H92&gt;INDEX('TDS Rates'!$G$6:$G$40,MATCH(G92,'TDS Rates'!$B$6:$B$40,0)),H92,0)),IF(L92+H92&gt;INDEX('TDS Rates'!$H$6:$H$40,MATCH(G92,'TDS Rates'!$B$6:$B$40,0)),H92+M92,0))))),0))</f>
        <v/>
      </c>
      <c r="O92" s="33" t="str">
        <f aca="false">IF(OR(G92="",H92=""),"",IFERROR(IF(F92="No",IF(INDEX('TDS Rates'!$C$6:$C$40,MATCH(G92,'TDS Rates'!$B$6:$B$40,0))="194Q",Settings!$C$14,MAX(Settings!$C$13,IF(E92="Individual / HUF",INDEX('TDS Rates'!$I$6:$I$40,MATCH(G92,'TDS Rates'!$B$6:$B$40,0)),IF(E92="Company",INDEX('TDS Rates'!$J$6:$J$40,MATCH(G92,'TDS Rates'!$B$6:$B$40,0)),INDEX('TDS Rates'!$K$6:$K$40,MATCH(G92,'TDS Rates'!$B$6:$B$40,0)))))),IF(E92="Individual / HUF",INDEX('TDS Rates'!$I$6:$I$40,MATCH(G92,'TDS Rates'!$B$6:$B$40,0)),IF(E92="Company",INDEX('TDS Rates'!$J$6:$J$40,MATCH(G92,'TDS Rates'!$B$6:$B$40,0)),INDEX('TDS Rates'!$K$6:$K$40,MATCH(G92,'TDS Rates'!$B$6:$B$40,0))))),0))</f>
        <v/>
      </c>
      <c r="P92" s="34" t="str">
        <f aca="false">IF(OR(G92="",H92=""),"",ROUND(N92*O92,0))</f>
        <v/>
      </c>
      <c r="Q92" s="27" t="str">
        <f aca="false">IF(OR(G92="",H92=""),"",IFERROR(IF(INDEX('TDS Rates'!$E$6:$E$40,MATCH(G92,'TDS Rates'!$B$6:$B$40,0))="Form 141",EOMONTH(IF(R92="",B92,R92),0)+30,IF(MONTH(IF(R92="",B92,R92))=3,DATE(YEAR(IF(R92="",B92,R92)),4,30),DATE(YEAR(IF(R92="",B92,R92)),MONTH(IF(R92="",B92,R92))+1,7))),""))</f>
        <v/>
      </c>
      <c r="R92" s="17"/>
      <c r="S92" s="17"/>
      <c r="T92" s="5"/>
      <c r="U92" s="28" t="str">
        <f aca="false">IF(OR(G92="",H92=""),"",IF(P92=0,0,IF(IF(R92="",Settings!$C$9,R92)&lt;=B92,0,((YEAR(IF(R92="",Settings!$C$9,R92))-YEAR(B92))*12+MONTH(IF(R92="",Settings!$C$9,R92))-MONTH(B92)+1))))</f>
        <v/>
      </c>
      <c r="V92" s="29" t="str">
        <f aca="false">IF(OR(G92="",H92=""),"",ROUND(P92*Settings!$C$10*U92,0))</f>
        <v/>
      </c>
      <c r="W92" s="28" t="str">
        <f aca="false">IF(OR(G92="",H92=""),"",IF(OR(P92=0,R92=""),0,IF(IF(S92="",Settings!$C$9,S92)&lt;=Q92,0,((YEAR(IF(S92="",Settings!$C$9,S92))-YEAR(R92))*12+MONTH(IF(S92="",Settings!$C$9,S92))-MONTH(R92)+1))))</f>
        <v/>
      </c>
      <c r="X92" s="29" t="str">
        <f aca="false">IF(OR(G92="",H92=""),"",ROUND(P92*Settings!$C$11*W92,0))</f>
        <v/>
      </c>
      <c r="Y92" s="29" t="str">
        <f aca="false">IF(OR(G92="",H92=""),"",V92+X92)</f>
        <v/>
      </c>
      <c r="Z92" s="7" t="str">
        <f aca="false">IF(OR(G92="",H92=""),"",IF(P92=0,"Below threshold",IF(R92="","Not yet deducted",IF(S92="",IF(Settings!$C$9&gt;Q92,"Overdue — pay now","Deducted, due "&amp;TEXT(Q92,"dd-mmm")),IF(S92&lt;=Q92,IF(N(U92)&gt;0,"Deducted late, paid on time","Paid on time"),"Paid late")))))</f>
        <v/>
      </c>
      <c r="AA92" s="35" t="str">
        <f aca="false">IF(OR(G92="",H92=""),"",IF(D92&lt;&gt;"",UPPER(TRIM(D92)),UPPER(TRIM(C92))))</f>
        <v/>
      </c>
    </row>
    <row r="93" customFormat="false" ht="15" hidden="false" customHeight="false" outlineLevel="0" collapsed="false">
      <c r="B93" s="17"/>
      <c r="C93" s="5"/>
      <c r="D93" s="5"/>
      <c r="E93" s="5"/>
      <c r="F93" s="5"/>
      <c r="G93" s="5"/>
      <c r="H93" s="16"/>
      <c r="I93" s="7" t="str">
        <f aca="false">IF(OR(G93="",H93=""),"",IFERROR(INDEX('TDS Rates'!$D$6:$D$40,MATCH(G93,'TDS Rates'!$B$6:$B$40,0)),"Check nature"))</f>
        <v/>
      </c>
      <c r="J93" s="7" t="str">
        <f aca="false">IF(OR(G93="",H93=""),"",IFERROR(INDEX('TDS Rates'!$C$6:$C$40,MATCH(G93,'TDS Rates'!$B$6:$B$40,0)),""))</f>
        <v/>
      </c>
      <c r="K93" s="7" t="str">
        <f aca="false">IF(OR(G93="",H93=""),"",IFERROR(INDEX('TDS Rates'!$E$6:$E$40,MATCH(G93,'TDS Rates'!$B$6:$B$40,0)),""))</f>
        <v/>
      </c>
      <c r="L93" s="29" t="str">
        <f aca="false">IF(OR(G93="",H93=""),"",SUMIFS(H$6:H92,AA$6:AA92,AA93,G$6:G92,G93))</f>
        <v/>
      </c>
      <c r="M93" s="29" t="str">
        <f aca="false">IF(OR(G93="",H93=""),"",SUMIFS(H$6:H92,AA$6:AA92,AA93,G$6:G92,G93,N$6:N92,0))</f>
        <v/>
      </c>
      <c r="N93" s="29" t="str">
        <f aca="false">IF(OR(G93="",H93=""),"",IFERROR(IF(INDEX('TDS Rates'!$F$6:$F$40,MATCH(G93,'TDS Rates'!$B$6:$B$40,0))="NONE",H93,IF(INDEX('TDS Rates'!$F$6:$F$40,MATCH(G93,'TDS Rates'!$B$6:$B$40,0))="PER",IF(H93&gt;INDEX('TDS Rates'!$G$6:$G$40,MATCH(G93,'TDS Rates'!$B$6:$B$40,0)),H93,0),IF(INDEX('TDS Rates'!$F$6:$F$40,MATCH(G93,'TDS Rates'!$B$6:$B$40,0))="EXCESS",MAX(0,L93+H93-INDEX('TDS Rates'!$H$6:$H$40,MATCH(G93,'TDS Rates'!$B$6:$B$40,0)))-MAX(0,L93-INDEX('TDS Rates'!$H$6:$H$40,MATCH(G93,'TDS Rates'!$B$6:$B$40,0))),IF(INDEX('TDS Rates'!$F$6:$F$40,MATCH(G93,'TDS Rates'!$B$6:$B$40,0))="SA",IF(L93+H93&gt;INDEX('TDS Rates'!$H$6:$H$40,MATCH(G93,'TDS Rates'!$B$6:$B$40,0)),H93+M93,IF(H93&gt;INDEX('TDS Rates'!$G$6:$G$40,MATCH(G93,'TDS Rates'!$B$6:$B$40,0)),H93,0)),IF(L93+H93&gt;INDEX('TDS Rates'!$H$6:$H$40,MATCH(G93,'TDS Rates'!$B$6:$B$40,0)),H93+M93,0))))),0))</f>
        <v/>
      </c>
      <c r="O93" s="33" t="str">
        <f aca="false">IF(OR(G93="",H93=""),"",IFERROR(IF(F93="No",IF(INDEX('TDS Rates'!$C$6:$C$40,MATCH(G93,'TDS Rates'!$B$6:$B$40,0))="194Q",Settings!$C$14,MAX(Settings!$C$13,IF(E93="Individual / HUF",INDEX('TDS Rates'!$I$6:$I$40,MATCH(G93,'TDS Rates'!$B$6:$B$40,0)),IF(E93="Company",INDEX('TDS Rates'!$J$6:$J$40,MATCH(G93,'TDS Rates'!$B$6:$B$40,0)),INDEX('TDS Rates'!$K$6:$K$40,MATCH(G93,'TDS Rates'!$B$6:$B$40,0)))))),IF(E93="Individual / HUF",INDEX('TDS Rates'!$I$6:$I$40,MATCH(G93,'TDS Rates'!$B$6:$B$40,0)),IF(E93="Company",INDEX('TDS Rates'!$J$6:$J$40,MATCH(G93,'TDS Rates'!$B$6:$B$40,0)),INDEX('TDS Rates'!$K$6:$K$40,MATCH(G93,'TDS Rates'!$B$6:$B$40,0))))),0))</f>
        <v/>
      </c>
      <c r="P93" s="34" t="str">
        <f aca="false">IF(OR(G93="",H93=""),"",ROUND(N93*O93,0))</f>
        <v/>
      </c>
      <c r="Q93" s="27" t="str">
        <f aca="false">IF(OR(G93="",H93=""),"",IFERROR(IF(INDEX('TDS Rates'!$E$6:$E$40,MATCH(G93,'TDS Rates'!$B$6:$B$40,0))="Form 141",EOMONTH(IF(R93="",B93,R93),0)+30,IF(MONTH(IF(R93="",B93,R93))=3,DATE(YEAR(IF(R93="",B93,R93)),4,30),DATE(YEAR(IF(R93="",B93,R93)),MONTH(IF(R93="",B93,R93))+1,7))),""))</f>
        <v/>
      </c>
      <c r="R93" s="17"/>
      <c r="S93" s="17"/>
      <c r="T93" s="5"/>
      <c r="U93" s="28" t="str">
        <f aca="false">IF(OR(G93="",H93=""),"",IF(P93=0,0,IF(IF(R93="",Settings!$C$9,R93)&lt;=B93,0,((YEAR(IF(R93="",Settings!$C$9,R93))-YEAR(B93))*12+MONTH(IF(R93="",Settings!$C$9,R93))-MONTH(B93)+1))))</f>
        <v/>
      </c>
      <c r="V93" s="29" t="str">
        <f aca="false">IF(OR(G93="",H93=""),"",ROUND(P93*Settings!$C$10*U93,0))</f>
        <v/>
      </c>
      <c r="W93" s="28" t="str">
        <f aca="false">IF(OR(G93="",H93=""),"",IF(OR(P93=0,R93=""),0,IF(IF(S93="",Settings!$C$9,S93)&lt;=Q93,0,((YEAR(IF(S93="",Settings!$C$9,S93))-YEAR(R93))*12+MONTH(IF(S93="",Settings!$C$9,S93))-MONTH(R93)+1))))</f>
        <v/>
      </c>
      <c r="X93" s="29" t="str">
        <f aca="false">IF(OR(G93="",H93=""),"",ROUND(P93*Settings!$C$11*W93,0))</f>
        <v/>
      </c>
      <c r="Y93" s="29" t="str">
        <f aca="false">IF(OR(G93="",H93=""),"",V93+X93)</f>
        <v/>
      </c>
      <c r="Z93" s="7" t="str">
        <f aca="false">IF(OR(G93="",H93=""),"",IF(P93=0,"Below threshold",IF(R93="","Not yet deducted",IF(S93="",IF(Settings!$C$9&gt;Q93,"Overdue — pay now","Deducted, due "&amp;TEXT(Q93,"dd-mmm")),IF(S93&lt;=Q93,IF(N(U93)&gt;0,"Deducted late, paid on time","Paid on time"),"Paid late")))))</f>
        <v/>
      </c>
      <c r="AA93" s="35" t="str">
        <f aca="false">IF(OR(G93="",H93=""),"",IF(D93&lt;&gt;"",UPPER(TRIM(D93)),UPPER(TRIM(C93))))</f>
        <v/>
      </c>
    </row>
    <row r="94" customFormat="false" ht="15" hidden="false" customHeight="false" outlineLevel="0" collapsed="false">
      <c r="B94" s="17"/>
      <c r="C94" s="5"/>
      <c r="D94" s="5"/>
      <c r="E94" s="5"/>
      <c r="F94" s="5"/>
      <c r="G94" s="5"/>
      <c r="H94" s="16"/>
      <c r="I94" s="7" t="str">
        <f aca="false">IF(OR(G94="",H94=""),"",IFERROR(INDEX('TDS Rates'!$D$6:$D$40,MATCH(G94,'TDS Rates'!$B$6:$B$40,0)),"Check nature"))</f>
        <v/>
      </c>
      <c r="J94" s="7" t="str">
        <f aca="false">IF(OR(G94="",H94=""),"",IFERROR(INDEX('TDS Rates'!$C$6:$C$40,MATCH(G94,'TDS Rates'!$B$6:$B$40,0)),""))</f>
        <v/>
      </c>
      <c r="K94" s="7" t="str">
        <f aca="false">IF(OR(G94="",H94=""),"",IFERROR(INDEX('TDS Rates'!$E$6:$E$40,MATCH(G94,'TDS Rates'!$B$6:$B$40,0)),""))</f>
        <v/>
      </c>
      <c r="L94" s="29" t="str">
        <f aca="false">IF(OR(G94="",H94=""),"",SUMIFS(H$6:H93,AA$6:AA93,AA94,G$6:G93,G94))</f>
        <v/>
      </c>
      <c r="M94" s="29" t="str">
        <f aca="false">IF(OR(G94="",H94=""),"",SUMIFS(H$6:H93,AA$6:AA93,AA94,G$6:G93,G94,N$6:N93,0))</f>
        <v/>
      </c>
      <c r="N94" s="29" t="str">
        <f aca="false">IF(OR(G94="",H94=""),"",IFERROR(IF(INDEX('TDS Rates'!$F$6:$F$40,MATCH(G94,'TDS Rates'!$B$6:$B$40,0))="NONE",H94,IF(INDEX('TDS Rates'!$F$6:$F$40,MATCH(G94,'TDS Rates'!$B$6:$B$40,0))="PER",IF(H94&gt;INDEX('TDS Rates'!$G$6:$G$40,MATCH(G94,'TDS Rates'!$B$6:$B$40,0)),H94,0),IF(INDEX('TDS Rates'!$F$6:$F$40,MATCH(G94,'TDS Rates'!$B$6:$B$40,0))="EXCESS",MAX(0,L94+H94-INDEX('TDS Rates'!$H$6:$H$40,MATCH(G94,'TDS Rates'!$B$6:$B$40,0)))-MAX(0,L94-INDEX('TDS Rates'!$H$6:$H$40,MATCH(G94,'TDS Rates'!$B$6:$B$40,0))),IF(INDEX('TDS Rates'!$F$6:$F$40,MATCH(G94,'TDS Rates'!$B$6:$B$40,0))="SA",IF(L94+H94&gt;INDEX('TDS Rates'!$H$6:$H$40,MATCH(G94,'TDS Rates'!$B$6:$B$40,0)),H94+M94,IF(H94&gt;INDEX('TDS Rates'!$G$6:$G$40,MATCH(G94,'TDS Rates'!$B$6:$B$40,0)),H94,0)),IF(L94+H94&gt;INDEX('TDS Rates'!$H$6:$H$40,MATCH(G94,'TDS Rates'!$B$6:$B$40,0)),H94+M94,0))))),0))</f>
        <v/>
      </c>
      <c r="O94" s="33" t="str">
        <f aca="false">IF(OR(G94="",H94=""),"",IFERROR(IF(F94="No",IF(INDEX('TDS Rates'!$C$6:$C$40,MATCH(G94,'TDS Rates'!$B$6:$B$40,0))="194Q",Settings!$C$14,MAX(Settings!$C$13,IF(E94="Individual / HUF",INDEX('TDS Rates'!$I$6:$I$40,MATCH(G94,'TDS Rates'!$B$6:$B$40,0)),IF(E94="Company",INDEX('TDS Rates'!$J$6:$J$40,MATCH(G94,'TDS Rates'!$B$6:$B$40,0)),INDEX('TDS Rates'!$K$6:$K$40,MATCH(G94,'TDS Rates'!$B$6:$B$40,0)))))),IF(E94="Individual / HUF",INDEX('TDS Rates'!$I$6:$I$40,MATCH(G94,'TDS Rates'!$B$6:$B$40,0)),IF(E94="Company",INDEX('TDS Rates'!$J$6:$J$40,MATCH(G94,'TDS Rates'!$B$6:$B$40,0)),INDEX('TDS Rates'!$K$6:$K$40,MATCH(G94,'TDS Rates'!$B$6:$B$40,0))))),0))</f>
        <v/>
      </c>
      <c r="P94" s="34" t="str">
        <f aca="false">IF(OR(G94="",H94=""),"",ROUND(N94*O94,0))</f>
        <v/>
      </c>
      <c r="Q94" s="27" t="str">
        <f aca="false">IF(OR(G94="",H94=""),"",IFERROR(IF(INDEX('TDS Rates'!$E$6:$E$40,MATCH(G94,'TDS Rates'!$B$6:$B$40,0))="Form 141",EOMONTH(IF(R94="",B94,R94),0)+30,IF(MONTH(IF(R94="",B94,R94))=3,DATE(YEAR(IF(R94="",B94,R94)),4,30),DATE(YEAR(IF(R94="",B94,R94)),MONTH(IF(R94="",B94,R94))+1,7))),""))</f>
        <v/>
      </c>
      <c r="R94" s="17"/>
      <c r="S94" s="17"/>
      <c r="T94" s="5"/>
      <c r="U94" s="28" t="str">
        <f aca="false">IF(OR(G94="",H94=""),"",IF(P94=0,0,IF(IF(R94="",Settings!$C$9,R94)&lt;=B94,0,((YEAR(IF(R94="",Settings!$C$9,R94))-YEAR(B94))*12+MONTH(IF(R94="",Settings!$C$9,R94))-MONTH(B94)+1))))</f>
        <v/>
      </c>
      <c r="V94" s="29" t="str">
        <f aca="false">IF(OR(G94="",H94=""),"",ROUND(P94*Settings!$C$10*U94,0))</f>
        <v/>
      </c>
      <c r="W94" s="28" t="str">
        <f aca="false">IF(OR(G94="",H94=""),"",IF(OR(P94=0,R94=""),0,IF(IF(S94="",Settings!$C$9,S94)&lt;=Q94,0,((YEAR(IF(S94="",Settings!$C$9,S94))-YEAR(R94))*12+MONTH(IF(S94="",Settings!$C$9,S94))-MONTH(R94)+1))))</f>
        <v/>
      </c>
      <c r="X94" s="29" t="str">
        <f aca="false">IF(OR(G94="",H94=""),"",ROUND(P94*Settings!$C$11*W94,0))</f>
        <v/>
      </c>
      <c r="Y94" s="29" t="str">
        <f aca="false">IF(OR(G94="",H94=""),"",V94+X94)</f>
        <v/>
      </c>
      <c r="Z94" s="7" t="str">
        <f aca="false">IF(OR(G94="",H94=""),"",IF(P94=0,"Below threshold",IF(R94="","Not yet deducted",IF(S94="",IF(Settings!$C$9&gt;Q94,"Overdue — pay now","Deducted, due "&amp;TEXT(Q94,"dd-mmm")),IF(S94&lt;=Q94,IF(N(U94)&gt;0,"Deducted late, paid on time","Paid on time"),"Paid late")))))</f>
        <v/>
      </c>
      <c r="AA94" s="35" t="str">
        <f aca="false">IF(OR(G94="",H94=""),"",IF(D94&lt;&gt;"",UPPER(TRIM(D94)),UPPER(TRIM(C94))))</f>
        <v/>
      </c>
    </row>
    <row r="95" customFormat="false" ht="15" hidden="false" customHeight="false" outlineLevel="0" collapsed="false">
      <c r="B95" s="17"/>
      <c r="C95" s="5"/>
      <c r="D95" s="5"/>
      <c r="E95" s="5"/>
      <c r="F95" s="5"/>
      <c r="G95" s="5"/>
      <c r="H95" s="16"/>
      <c r="I95" s="7" t="str">
        <f aca="false">IF(OR(G95="",H95=""),"",IFERROR(INDEX('TDS Rates'!$D$6:$D$40,MATCH(G95,'TDS Rates'!$B$6:$B$40,0)),"Check nature"))</f>
        <v/>
      </c>
      <c r="J95" s="7" t="str">
        <f aca="false">IF(OR(G95="",H95=""),"",IFERROR(INDEX('TDS Rates'!$C$6:$C$40,MATCH(G95,'TDS Rates'!$B$6:$B$40,0)),""))</f>
        <v/>
      </c>
      <c r="K95" s="7" t="str">
        <f aca="false">IF(OR(G95="",H95=""),"",IFERROR(INDEX('TDS Rates'!$E$6:$E$40,MATCH(G95,'TDS Rates'!$B$6:$B$40,0)),""))</f>
        <v/>
      </c>
      <c r="L95" s="29" t="str">
        <f aca="false">IF(OR(G95="",H95=""),"",SUMIFS(H$6:H94,AA$6:AA94,AA95,G$6:G94,G95))</f>
        <v/>
      </c>
      <c r="M95" s="29" t="str">
        <f aca="false">IF(OR(G95="",H95=""),"",SUMIFS(H$6:H94,AA$6:AA94,AA95,G$6:G94,G95,N$6:N94,0))</f>
        <v/>
      </c>
      <c r="N95" s="29" t="str">
        <f aca="false">IF(OR(G95="",H95=""),"",IFERROR(IF(INDEX('TDS Rates'!$F$6:$F$40,MATCH(G95,'TDS Rates'!$B$6:$B$40,0))="NONE",H95,IF(INDEX('TDS Rates'!$F$6:$F$40,MATCH(G95,'TDS Rates'!$B$6:$B$40,0))="PER",IF(H95&gt;INDEX('TDS Rates'!$G$6:$G$40,MATCH(G95,'TDS Rates'!$B$6:$B$40,0)),H95,0),IF(INDEX('TDS Rates'!$F$6:$F$40,MATCH(G95,'TDS Rates'!$B$6:$B$40,0))="EXCESS",MAX(0,L95+H95-INDEX('TDS Rates'!$H$6:$H$40,MATCH(G95,'TDS Rates'!$B$6:$B$40,0)))-MAX(0,L95-INDEX('TDS Rates'!$H$6:$H$40,MATCH(G95,'TDS Rates'!$B$6:$B$40,0))),IF(INDEX('TDS Rates'!$F$6:$F$40,MATCH(G95,'TDS Rates'!$B$6:$B$40,0))="SA",IF(L95+H95&gt;INDEX('TDS Rates'!$H$6:$H$40,MATCH(G95,'TDS Rates'!$B$6:$B$40,0)),H95+M95,IF(H95&gt;INDEX('TDS Rates'!$G$6:$G$40,MATCH(G95,'TDS Rates'!$B$6:$B$40,0)),H95,0)),IF(L95+H95&gt;INDEX('TDS Rates'!$H$6:$H$40,MATCH(G95,'TDS Rates'!$B$6:$B$40,0)),H95+M95,0))))),0))</f>
        <v/>
      </c>
      <c r="O95" s="33" t="str">
        <f aca="false">IF(OR(G95="",H95=""),"",IFERROR(IF(F95="No",IF(INDEX('TDS Rates'!$C$6:$C$40,MATCH(G95,'TDS Rates'!$B$6:$B$40,0))="194Q",Settings!$C$14,MAX(Settings!$C$13,IF(E95="Individual / HUF",INDEX('TDS Rates'!$I$6:$I$40,MATCH(G95,'TDS Rates'!$B$6:$B$40,0)),IF(E95="Company",INDEX('TDS Rates'!$J$6:$J$40,MATCH(G95,'TDS Rates'!$B$6:$B$40,0)),INDEX('TDS Rates'!$K$6:$K$40,MATCH(G95,'TDS Rates'!$B$6:$B$40,0)))))),IF(E95="Individual / HUF",INDEX('TDS Rates'!$I$6:$I$40,MATCH(G95,'TDS Rates'!$B$6:$B$40,0)),IF(E95="Company",INDEX('TDS Rates'!$J$6:$J$40,MATCH(G95,'TDS Rates'!$B$6:$B$40,0)),INDEX('TDS Rates'!$K$6:$K$40,MATCH(G95,'TDS Rates'!$B$6:$B$40,0))))),0))</f>
        <v/>
      </c>
      <c r="P95" s="34" t="str">
        <f aca="false">IF(OR(G95="",H95=""),"",ROUND(N95*O95,0))</f>
        <v/>
      </c>
      <c r="Q95" s="27" t="str">
        <f aca="false">IF(OR(G95="",H95=""),"",IFERROR(IF(INDEX('TDS Rates'!$E$6:$E$40,MATCH(G95,'TDS Rates'!$B$6:$B$40,0))="Form 141",EOMONTH(IF(R95="",B95,R95),0)+30,IF(MONTH(IF(R95="",B95,R95))=3,DATE(YEAR(IF(R95="",B95,R95)),4,30),DATE(YEAR(IF(R95="",B95,R95)),MONTH(IF(R95="",B95,R95))+1,7))),""))</f>
        <v/>
      </c>
      <c r="R95" s="17"/>
      <c r="S95" s="17"/>
      <c r="T95" s="5"/>
      <c r="U95" s="28" t="str">
        <f aca="false">IF(OR(G95="",H95=""),"",IF(P95=0,0,IF(IF(R95="",Settings!$C$9,R95)&lt;=B95,0,((YEAR(IF(R95="",Settings!$C$9,R95))-YEAR(B95))*12+MONTH(IF(R95="",Settings!$C$9,R95))-MONTH(B95)+1))))</f>
        <v/>
      </c>
      <c r="V95" s="29" t="str">
        <f aca="false">IF(OR(G95="",H95=""),"",ROUND(P95*Settings!$C$10*U95,0))</f>
        <v/>
      </c>
      <c r="W95" s="28" t="str">
        <f aca="false">IF(OR(G95="",H95=""),"",IF(OR(P95=0,R95=""),0,IF(IF(S95="",Settings!$C$9,S95)&lt;=Q95,0,((YEAR(IF(S95="",Settings!$C$9,S95))-YEAR(R95))*12+MONTH(IF(S95="",Settings!$C$9,S95))-MONTH(R95)+1))))</f>
        <v/>
      </c>
      <c r="X95" s="29" t="str">
        <f aca="false">IF(OR(G95="",H95=""),"",ROUND(P95*Settings!$C$11*W95,0))</f>
        <v/>
      </c>
      <c r="Y95" s="29" t="str">
        <f aca="false">IF(OR(G95="",H95=""),"",V95+X95)</f>
        <v/>
      </c>
      <c r="Z95" s="7" t="str">
        <f aca="false">IF(OR(G95="",H95=""),"",IF(P95=0,"Below threshold",IF(R95="","Not yet deducted",IF(S95="",IF(Settings!$C$9&gt;Q95,"Overdue — pay now","Deducted, due "&amp;TEXT(Q95,"dd-mmm")),IF(S95&lt;=Q95,IF(N(U95)&gt;0,"Deducted late, paid on time","Paid on time"),"Paid late")))))</f>
        <v/>
      </c>
      <c r="AA95" s="35" t="str">
        <f aca="false">IF(OR(G95="",H95=""),"",IF(D95&lt;&gt;"",UPPER(TRIM(D95)),UPPER(TRIM(C95))))</f>
        <v/>
      </c>
    </row>
    <row r="96" customFormat="false" ht="15" hidden="false" customHeight="false" outlineLevel="0" collapsed="false">
      <c r="B96" s="17"/>
      <c r="C96" s="5"/>
      <c r="D96" s="5"/>
      <c r="E96" s="5"/>
      <c r="F96" s="5"/>
      <c r="G96" s="5"/>
      <c r="H96" s="16"/>
      <c r="I96" s="7" t="str">
        <f aca="false">IF(OR(G96="",H96=""),"",IFERROR(INDEX('TDS Rates'!$D$6:$D$40,MATCH(G96,'TDS Rates'!$B$6:$B$40,0)),"Check nature"))</f>
        <v/>
      </c>
      <c r="J96" s="7" t="str">
        <f aca="false">IF(OR(G96="",H96=""),"",IFERROR(INDEX('TDS Rates'!$C$6:$C$40,MATCH(G96,'TDS Rates'!$B$6:$B$40,0)),""))</f>
        <v/>
      </c>
      <c r="K96" s="7" t="str">
        <f aca="false">IF(OR(G96="",H96=""),"",IFERROR(INDEX('TDS Rates'!$E$6:$E$40,MATCH(G96,'TDS Rates'!$B$6:$B$40,0)),""))</f>
        <v/>
      </c>
      <c r="L96" s="29" t="str">
        <f aca="false">IF(OR(G96="",H96=""),"",SUMIFS(H$6:H95,AA$6:AA95,AA96,G$6:G95,G96))</f>
        <v/>
      </c>
      <c r="M96" s="29" t="str">
        <f aca="false">IF(OR(G96="",H96=""),"",SUMIFS(H$6:H95,AA$6:AA95,AA96,G$6:G95,G96,N$6:N95,0))</f>
        <v/>
      </c>
      <c r="N96" s="29" t="str">
        <f aca="false">IF(OR(G96="",H96=""),"",IFERROR(IF(INDEX('TDS Rates'!$F$6:$F$40,MATCH(G96,'TDS Rates'!$B$6:$B$40,0))="NONE",H96,IF(INDEX('TDS Rates'!$F$6:$F$40,MATCH(G96,'TDS Rates'!$B$6:$B$40,0))="PER",IF(H96&gt;INDEX('TDS Rates'!$G$6:$G$40,MATCH(G96,'TDS Rates'!$B$6:$B$40,0)),H96,0),IF(INDEX('TDS Rates'!$F$6:$F$40,MATCH(G96,'TDS Rates'!$B$6:$B$40,0))="EXCESS",MAX(0,L96+H96-INDEX('TDS Rates'!$H$6:$H$40,MATCH(G96,'TDS Rates'!$B$6:$B$40,0)))-MAX(0,L96-INDEX('TDS Rates'!$H$6:$H$40,MATCH(G96,'TDS Rates'!$B$6:$B$40,0))),IF(INDEX('TDS Rates'!$F$6:$F$40,MATCH(G96,'TDS Rates'!$B$6:$B$40,0))="SA",IF(L96+H96&gt;INDEX('TDS Rates'!$H$6:$H$40,MATCH(G96,'TDS Rates'!$B$6:$B$40,0)),H96+M96,IF(H96&gt;INDEX('TDS Rates'!$G$6:$G$40,MATCH(G96,'TDS Rates'!$B$6:$B$40,0)),H96,0)),IF(L96+H96&gt;INDEX('TDS Rates'!$H$6:$H$40,MATCH(G96,'TDS Rates'!$B$6:$B$40,0)),H96+M96,0))))),0))</f>
        <v/>
      </c>
      <c r="O96" s="33" t="str">
        <f aca="false">IF(OR(G96="",H96=""),"",IFERROR(IF(F96="No",IF(INDEX('TDS Rates'!$C$6:$C$40,MATCH(G96,'TDS Rates'!$B$6:$B$40,0))="194Q",Settings!$C$14,MAX(Settings!$C$13,IF(E96="Individual / HUF",INDEX('TDS Rates'!$I$6:$I$40,MATCH(G96,'TDS Rates'!$B$6:$B$40,0)),IF(E96="Company",INDEX('TDS Rates'!$J$6:$J$40,MATCH(G96,'TDS Rates'!$B$6:$B$40,0)),INDEX('TDS Rates'!$K$6:$K$40,MATCH(G96,'TDS Rates'!$B$6:$B$40,0)))))),IF(E96="Individual / HUF",INDEX('TDS Rates'!$I$6:$I$40,MATCH(G96,'TDS Rates'!$B$6:$B$40,0)),IF(E96="Company",INDEX('TDS Rates'!$J$6:$J$40,MATCH(G96,'TDS Rates'!$B$6:$B$40,0)),INDEX('TDS Rates'!$K$6:$K$40,MATCH(G96,'TDS Rates'!$B$6:$B$40,0))))),0))</f>
        <v/>
      </c>
      <c r="P96" s="34" t="str">
        <f aca="false">IF(OR(G96="",H96=""),"",ROUND(N96*O96,0))</f>
        <v/>
      </c>
      <c r="Q96" s="27" t="str">
        <f aca="false">IF(OR(G96="",H96=""),"",IFERROR(IF(INDEX('TDS Rates'!$E$6:$E$40,MATCH(G96,'TDS Rates'!$B$6:$B$40,0))="Form 141",EOMONTH(IF(R96="",B96,R96),0)+30,IF(MONTH(IF(R96="",B96,R96))=3,DATE(YEAR(IF(R96="",B96,R96)),4,30),DATE(YEAR(IF(R96="",B96,R96)),MONTH(IF(R96="",B96,R96))+1,7))),""))</f>
        <v/>
      </c>
      <c r="R96" s="17"/>
      <c r="S96" s="17"/>
      <c r="T96" s="5"/>
      <c r="U96" s="28" t="str">
        <f aca="false">IF(OR(G96="",H96=""),"",IF(P96=0,0,IF(IF(R96="",Settings!$C$9,R96)&lt;=B96,0,((YEAR(IF(R96="",Settings!$C$9,R96))-YEAR(B96))*12+MONTH(IF(R96="",Settings!$C$9,R96))-MONTH(B96)+1))))</f>
        <v/>
      </c>
      <c r="V96" s="29" t="str">
        <f aca="false">IF(OR(G96="",H96=""),"",ROUND(P96*Settings!$C$10*U96,0))</f>
        <v/>
      </c>
      <c r="W96" s="28" t="str">
        <f aca="false">IF(OR(G96="",H96=""),"",IF(OR(P96=0,R96=""),0,IF(IF(S96="",Settings!$C$9,S96)&lt;=Q96,0,((YEAR(IF(S96="",Settings!$C$9,S96))-YEAR(R96))*12+MONTH(IF(S96="",Settings!$C$9,S96))-MONTH(R96)+1))))</f>
        <v/>
      </c>
      <c r="X96" s="29" t="str">
        <f aca="false">IF(OR(G96="",H96=""),"",ROUND(P96*Settings!$C$11*W96,0))</f>
        <v/>
      </c>
      <c r="Y96" s="29" t="str">
        <f aca="false">IF(OR(G96="",H96=""),"",V96+X96)</f>
        <v/>
      </c>
      <c r="Z96" s="7" t="str">
        <f aca="false">IF(OR(G96="",H96=""),"",IF(P96=0,"Below threshold",IF(R96="","Not yet deducted",IF(S96="",IF(Settings!$C$9&gt;Q96,"Overdue — pay now","Deducted, due "&amp;TEXT(Q96,"dd-mmm")),IF(S96&lt;=Q96,IF(N(U96)&gt;0,"Deducted late, paid on time","Paid on time"),"Paid late")))))</f>
        <v/>
      </c>
      <c r="AA96" s="35" t="str">
        <f aca="false">IF(OR(G96="",H96=""),"",IF(D96&lt;&gt;"",UPPER(TRIM(D96)),UPPER(TRIM(C96))))</f>
        <v/>
      </c>
    </row>
    <row r="97" customFormat="false" ht="15" hidden="false" customHeight="false" outlineLevel="0" collapsed="false">
      <c r="B97" s="17"/>
      <c r="C97" s="5"/>
      <c r="D97" s="5"/>
      <c r="E97" s="5"/>
      <c r="F97" s="5"/>
      <c r="G97" s="5"/>
      <c r="H97" s="16"/>
      <c r="I97" s="7" t="str">
        <f aca="false">IF(OR(G97="",H97=""),"",IFERROR(INDEX('TDS Rates'!$D$6:$D$40,MATCH(G97,'TDS Rates'!$B$6:$B$40,0)),"Check nature"))</f>
        <v/>
      </c>
      <c r="J97" s="7" t="str">
        <f aca="false">IF(OR(G97="",H97=""),"",IFERROR(INDEX('TDS Rates'!$C$6:$C$40,MATCH(G97,'TDS Rates'!$B$6:$B$40,0)),""))</f>
        <v/>
      </c>
      <c r="K97" s="7" t="str">
        <f aca="false">IF(OR(G97="",H97=""),"",IFERROR(INDEX('TDS Rates'!$E$6:$E$40,MATCH(G97,'TDS Rates'!$B$6:$B$40,0)),""))</f>
        <v/>
      </c>
      <c r="L97" s="29" t="str">
        <f aca="false">IF(OR(G97="",H97=""),"",SUMIFS(H$6:H96,AA$6:AA96,AA97,G$6:G96,G97))</f>
        <v/>
      </c>
      <c r="M97" s="29" t="str">
        <f aca="false">IF(OR(G97="",H97=""),"",SUMIFS(H$6:H96,AA$6:AA96,AA97,G$6:G96,G97,N$6:N96,0))</f>
        <v/>
      </c>
      <c r="N97" s="29" t="str">
        <f aca="false">IF(OR(G97="",H97=""),"",IFERROR(IF(INDEX('TDS Rates'!$F$6:$F$40,MATCH(G97,'TDS Rates'!$B$6:$B$40,0))="NONE",H97,IF(INDEX('TDS Rates'!$F$6:$F$40,MATCH(G97,'TDS Rates'!$B$6:$B$40,0))="PER",IF(H97&gt;INDEX('TDS Rates'!$G$6:$G$40,MATCH(G97,'TDS Rates'!$B$6:$B$40,0)),H97,0),IF(INDEX('TDS Rates'!$F$6:$F$40,MATCH(G97,'TDS Rates'!$B$6:$B$40,0))="EXCESS",MAX(0,L97+H97-INDEX('TDS Rates'!$H$6:$H$40,MATCH(G97,'TDS Rates'!$B$6:$B$40,0)))-MAX(0,L97-INDEX('TDS Rates'!$H$6:$H$40,MATCH(G97,'TDS Rates'!$B$6:$B$40,0))),IF(INDEX('TDS Rates'!$F$6:$F$40,MATCH(G97,'TDS Rates'!$B$6:$B$40,0))="SA",IF(L97+H97&gt;INDEX('TDS Rates'!$H$6:$H$40,MATCH(G97,'TDS Rates'!$B$6:$B$40,0)),H97+M97,IF(H97&gt;INDEX('TDS Rates'!$G$6:$G$40,MATCH(G97,'TDS Rates'!$B$6:$B$40,0)),H97,0)),IF(L97+H97&gt;INDEX('TDS Rates'!$H$6:$H$40,MATCH(G97,'TDS Rates'!$B$6:$B$40,0)),H97+M97,0))))),0))</f>
        <v/>
      </c>
      <c r="O97" s="33" t="str">
        <f aca="false">IF(OR(G97="",H97=""),"",IFERROR(IF(F97="No",IF(INDEX('TDS Rates'!$C$6:$C$40,MATCH(G97,'TDS Rates'!$B$6:$B$40,0))="194Q",Settings!$C$14,MAX(Settings!$C$13,IF(E97="Individual / HUF",INDEX('TDS Rates'!$I$6:$I$40,MATCH(G97,'TDS Rates'!$B$6:$B$40,0)),IF(E97="Company",INDEX('TDS Rates'!$J$6:$J$40,MATCH(G97,'TDS Rates'!$B$6:$B$40,0)),INDEX('TDS Rates'!$K$6:$K$40,MATCH(G97,'TDS Rates'!$B$6:$B$40,0)))))),IF(E97="Individual / HUF",INDEX('TDS Rates'!$I$6:$I$40,MATCH(G97,'TDS Rates'!$B$6:$B$40,0)),IF(E97="Company",INDEX('TDS Rates'!$J$6:$J$40,MATCH(G97,'TDS Rates'!$B$6:$B$40,0)),INDEX('TDS Rates'!$K$6:$K$40,MATCH(G97,'TDS Rates'!$B$6:$B$40,0))))),0))</f>
        <v/>
      </c>
      <c r="P97" s="34" t="str">
        <f aca="false">IF(OR(G97="",H97=""),"",ROUND(N97*O97,0))</f>
        <v/>
      </c>
      <c r="Q97" s="27" t="str">
        <f aca="false">IF(OR(G97="",H97=""),"",IFERROR(IF(INDEX('TDS Rates'!$E$6:$E$40,MATCH(G97,'TDS Rates'!$B$6:$B$40,0))="Form 141",EOMONTH(IF(R97="",B97,R97),0)+30,IF(MONTH(IF(R97="",B97,R97))=3,DATE(YEAR(IF(R97="",B97,R97)),4,30),DATE(YEAR(IF(R97="",B97,R97)),MONTH(IF(R97="",B97,R97))+1,7))),""))</f>
        <v/>
      </c>
      <c r="R97" s="17"/>
      <c r="S97" s="17"/>
      <c r="T97" s="5"/>
      <c r="U97" s="28" t="str">
        <f aca="false">IF(OR(G97="",H97=""),"",IF(P97=0,0,IF(IF(R97="",Settings!$C$9,R97)&lt;=B97,0,((YEAR(IF(R97="",Settings!$C$9,R97))-YEAR(B97))*12+MONTH(IF(R97="",Settings!$C$9,R97))-MONTH(B97)+1))))</f>
        <v/>
      </c>
      <c r="V97" s="29" t="str">
        <f aca="false">IF(OR(G97="",H97=""),"",ROUND(P97*Settings!$C$10*U97,0))</f>
        <v/>
      </c>
      <c r="W97" s="28" t="str">
        <f aca="false">IF(OR(G97="",H97=""),"",IF(OR(P97=0,R97=""),0,IF(IF(S97="",Settings!$C$9,S97)&lt;=Q97,0,((YEAR(IF(S97="",Settings!$C$9,S97))-YEAR(R97))*12+MONTH(IF(S97="",Settings!$C$9,S97))-MONTH(R97)+1))))</f>
        <v/>
      </c>
      <c r="X97" s="29" t="str">
        <f aca="false">IF(OR(G97="",H97=""),"",ROUND(P97*Settings!$C$11*W97,0))</f>
        <v/>
      </c>
      <c r="Y97" s="29" t="str">
        <f aca="false">IF(OR(G97="",H97=""),"",V97+X97)</f>
        <v/>
      </c>
      <c r="Z97" s="7" t="str">
        <f aca="false">IF(OR(G97="",H97=""),"",IF(P97=0,"Below threshold",IF(R97="","Not yet deducted",IF(S97="",IF(Settings!$C$9&gt;Q97,"Overdue — pay now","Deducted, due "&amp;TEXT(Q97,"dd-mmm")),IF(S97&lt;=Q97,IF(N(U97)&gt;0,"Deducted late, paid on time","Paid on time"),"Paid late")))))</f>
        <v/>
      </c>
      <c r="AA97" s="35" t="str">
        <f aca="false">IF(OR(G97="",H97=""),"",IF(D97&lt;&gt;"",UPPER(TRIM(D97)),UPPER(TRIM(C97))))</f>
        <v/>
      </c>
    </row>
    <row r="98" customFormat="false" ht="15" hidden="false" customHeight="false" outlineLevel="0" collapsed="false">
      <c r="B98" s="17"/>
      <c r="C98" s="5"/>
      <c r="D98" s="5"/>
      <c r="E98" s="5"/>
      <c r="F98" s="5"/>
      <c r="G98" s="5"/>
      <c r="H98" s="16"/>
      <c r="I98" s="7" t="str">
        <f aca="false">IF(OR(G98="",H98=""),"",IFERROR(INDEX('TDS Rates'!$D$6:$D$40,MATCH(G98,'TDS Rates'!$B$6:$B$40,0)),"Check nature"))</f>
        <v/>
      </c>
      <c r="J98" s="7" t="str">
        <f aca="false">IF(OR(G98="",H98=""),"",IFERROR(INDEX('TDS Rates'!$C$6:$C$40,MATCH(G98,'TDS Rates'!$B$6:$B$40,0)),""))</f>
        <v/>
      </c>
      <c r="K98" s="7" t="str">
        <f aca="false">IF(OR(G98="",H98=""),"",IFERROR(INDEX('TDS Rates'!$E$6:$E$40,MATCH(G98,'TDS Rates'!$B$6:$B$40,0)),""))</f>
        <v/>
      </c>
      <c r="L98" s="29" t="str">
        <f aca="false">IF(OR(G98="",H98=""),"",SUMIFS(H$6:H97,AA$6:AA97,AA98,G$6:G97,G98))</f>
        <v/>
      </c>
      <c r="M98" s="29" t="str">
        <f aca="false">IF(OR(G98="",H98=""),"",SUMIFS(H$6:H97,AA$6:AA97,AA98,G$6:G97,G98,N$6:N97,0))</f>
        <v/>
      </c>
      <c r="N98" s="29" t="str">
        <f aca="false">IF(OR(G98="",H98=""),"",IFERROR(IF(INDEX('TDS Rates'!$F$6:$F$40,MATCH(G98,'TDS Rates'!$B$6:$B$40,0))="NONE",H98,IF(INDEX('TDS Rates'!$F$6:$F$40,MATCH(G98,'TDS Rates'!$B$6:$B$40,0))="PER",IF(H98&gt;INDEX('TDS Rates'!$G$6:$G$40,MATCH(G98,'TDS Rates'!$B$6:$B$40,0)),H98,0),IF(INDEX('TDS Rates'!$F$6:$F$40,MATCH(G98,'TDS Rates'!$B$6:$B$40,0))="EXCESS",MAX(0,L98+H98-INDEX('TDS Rates'!$H$6:$H$40,MATCH(G98,'TDS Rates'!$B$6:$B$40,0)))-MAX(0,L98-INDEX('TDS Rates'!$H$6:$H$40,MATCH(G98,'TDS Rates'!$B$6:$B$40,0))),IF(INDEX('TDS Rates'!$F$6:$F$40,MATCH(G98,'TDS Rates'!$B$6:$B$40,0))="SA",IF(L98+H98&gt;INDEX('TDS Rates'!$H$6:$H$40,MATCH(G98,'TDS Rates'!$B$6:$B$40,0)),H98+M98,IF(H98&gt;INDEX('TDS Rates'!$G$6:$G$40,MATCH(G98,'TDS Rates'!$B$6:$B$40,0)),H98,0)),IF(L98+H98&gt;INDEX('TDS Rates'!$H$6:$H$40,MATCH(G98,'TDS Rates'!$B$6:$B$40,0)),H98+M98,0))))),0))</f>
        <v/>
      </c>
      <c r="O98" s="33" t="str">
        <f aca="false">IF(OR(G98="",H98=""),"",IFERROR(IF(F98="No",IF(INDEX('TDS Rates'!$C$6:$C$40,MATCH(G98,'TDS Rates'!$B$6:$B$40,0))="194Q",Settings!$C$14,MAX(Settings!$C$13,IF(E98="Individual / HUF",INDEX('TDS Rates'!$I$6:$I$40,MATCH(G98,'TDS Rates'!$B$6:$B$40,0)),IF(E98="Company",INDEX('TDS Rates'!$J$6:$J$40,MATCH(G98,'TDS Rates'!$B$6:$B$40,0)),INDEX('TDS Rates'!$K$6:$K$40,MATCH(G98,'TDS Rates'!$B$6:$B$40,0)))))),IF(E98="Individual / HUF",INDEX('TDS Rates'!$I$6:$I$40,MATCH(G98,'TDS Rates'!$B$6:$B$40,0)),IF(E98="Company",INDEX('TDS Rates'!$J$6:$J$40,MATCH(G98,'TDS Rates'!$B$6:$B$40,0)),INDEX('TDS Rates'!$K$6:$K$40,MATCH(G98,'TDS Rates'!$B$6:$B$40,0))))),0))</f>
        <v/>
      </c>
      <c r="P98" s="34" t="str">
        <f aca="false">IF(OR(G98="",H98=""),"",ROUND(N98*O98,0))</f>
        <v/>
      </c>
      <c r="Q98" s="27" t="str">
        <f aca="false">IF(OR(G98="",H98=""),"",IFERROR(IF(INDEX('TDS Rates'!$E$6:$E$40,MATCH(G98,'TDS Rates'!$B$6:$B$40,0))="Form 141",EOMONTH(IF(R98="",B98,R98),0)+30,IF(MONTH(IF(R98="",B98,R98))=3,DATE(YEAR(IF(R98="",B98,R98)),4,30),DATE(YEAR(IF(R98="",B98,R98)),MONTH(IF(R98="",B98,R98))+1,7))),""))</f>
        <v/>
      </c>
      <c r="R98" s="17"/>
      <c r="S98" s="17"/>
      <c r="T98" s="5"/>
      <c r="U98" s="28" t="str">
        <f aca="false">IF(OR(G98="",H98=""),"",IF(P98=0,0,IF(IF(R98="",Settings!$C$9,R98)&lt;=B98,0,((YEAR(IF(R98="",Settings!$C$9,R98))-YEAR(B98))*12+MONTH(IF(R98="",Settings!$C$9,R98))-MONTH(B98)+1))))</f>
        <v/>
      </c>
      <c r="V98" s="29" t="str">
        <f aca="false">IF(OR(G98="",H98=""),"",ROUND(P98*Settings!$C$10*U98,0))</f>
        <v/>
      </c>
      <c r="W98" s="28" t="str">
        <f aca="false">IF(OR(G98="",H98=""),"",IF(OR(P98=0,R98=""),0,IF(IF(S98="",Settings!$C$9,S98)&lt;=Q98,0,((YEAR(IF(S98="",Settings!$C$9,S98))-YEAR(R98))*12+MONTH(IF(S98="",Settings!$C$9,S98))-MONTH(R98)+1))))</f>
        <v/>
      </c>
      <c r="X98" s="29" t="str">
        <f aca="false">IF(OR(G98="",H98=""),"",ROUND(P98*Settings!$C$11*W98,0))</f>
        <v/>
      </c>
      <c r="Y98" s="29" t="str">
        <f aca="false">IF(OR(G98="",H98=""),"",V98+X98)</f>
        <v/>
      </c>
      <c r="Z98" s="7" t="str">
        <f aca="false">IF(OR(G98="",H98=""),"",IF(P98=0,"Below threshold",IF(R98="","Not yet deducted",IF(S98="",IF(Settings!$C$9&gt;Q98,"Overdue — pay now","Deducted, due "&amp;TEXT(Q98,"dd-mmm")),IF(S98&lt;=Q98,IF(N(U98)&gt;0,"Deducted late, paid on time","Paid on time"),"Paid late")))))</f>
        <v/>
      </c>
      <c r="AA98" s="35" t="str">
        <f aca="false">IF(OR(G98="",H98=""),"",IF(D98&lt;&gt;"",UPPER(TRIM(D98)),UPPER(TRIM(C98))))</f>
        <v/>
      </c>
    </row>
    <row r="99" customFormat="false" ht="15" hidden="false" customHeight="false" outlineLevel="0" collapsed="false">
      <c r="B99" s="17"/>
      <c r="C99" s="5"/>
      <c r="D99" s="5"/>
      <c r="E99" s="5"/>
      <c r="F99" s="5"/>
      <c r="G99" s="5"/>
      <c r="H99" s="16"/>
      <c r="I99" s="7" t="str">
        <f aca="false">IF(OR(G99="",H99=""),"",IFERROR(INDEX('TDS Rates'!$D$6:$D$40,MATCH(G99,'TDS Rates'!$B$6:$B$40,0)),"Check nature"))</f>
        <v/>
      </c>
      <c r="J99" s="7" t="str">
        <f aca="false">IF(OR(G99="",H99=""),"",IFERROR(INDEX('TDS Rates'!$C$6:$C$40,MATCH(G99,'TDS Rates'!$B$6:$B$40,0)),""))</f>
        <v/>
      </c>
      <c r="K99" s="7" t="str">
        <f aca="false">IF(OR(G99="",H99=""),"",IFERROR(INDEX('TDS Rates'!$E$6:$E$40,MATCH(G99,'TDS Rates'!$B$6:$B$40,0)),""))</f>
        <v/>
      </c>
      <c r="L99" s="29" t="str">
        <f aca="false">IF(OR(G99="",H99=""),"",SUMIFS(H$6:H98,AA$6:AA98,AA99,G$6:G98,G99))</f>
        <v/>
      </c>
      <c r="M99" s="29" t="str">
        <f aca="false">IF(OR(G99="",H99=""),"",SUMIFS(H$6:H98,AA$6:AA98,AA99,G$6:G98,G99,N$6:N98,0))</f>
        <v/>
      </c>
      <c r="N99" s="29" t="str">
        <f aca="false">IF(OR(G99="",H99=""),"",IFERROR(IF(INDEX('TDS Rates'!$F$6:$F$40,MATCH(G99,'TDS Rates'!$B$6:$B$40,0))="NONE",H99,IF(INDEX('TDS Rates'!$F$6:$F$40,MATCH(G99,'TDS Rates'!$B$6:$B$40,0))="PER",IF(H99&gt;INDEX('TDS Rates'!$G$6:$G$40,MATCH(G99,'TDS Rates'!$B$6:$B$40,0)),H99,0),IF(INDEX('TDS Rates'!$F$6:$F$40,MATCH(G99,'TDS Rates'!$B$6:$B$40,0))="EXCESS",MAX(0,L99+H99-INDEX('TDS Rates'!$H$6:$H$40,MATCH(G99,'TDS Rates'!$B$6:$B$40,0)))-MAX(0,L99-INDEX('TDS Rates'!$H$6:$H$40,MATCH(G99,'TDS Rates'!$B$6:$B$40,0))),IF(INDEX('TDS Rates'!$F$6:$F$40,MATCH(G99,'TDS Rates'!$B$6:$B$40,0))="SA",IF(L99+H99&gt;INDEX('TDS Rates'!$H$6:$H$40,MATCH(G99,'TDS Rates'!$B$6:$B$40,0)),H99+M99,IF(H99&gt;INDEX('TDS Rates'!$G$6:$G$40,MATCH(G99,'TDS Rates'!$B$6:$B$40,0)),H99,0)),IF(L99+H99&gt;INDEX('TDS Rates'!$H$6:$H$40,MATCH(G99,'TDS Rates'!$B$6:$B$40,0)),H99+M99,0))))),0))</f>
        <v/>
      </c>
      <c r="O99" s="33" t="str">
        <f aca="false">IF(OR(G99="",H99=""),"",IFERROR(IF(F99="No",IF(INDEX('TDS Rates'!$C$6:$C$40,MATCH(G99,'TDS Rates'!$B$6:$B$40,0))="194Q",Settings!$C$14,MAX(Settings!$C$13,IF(E99="Individual / HUF",INDEX('TDS Rates'!$I$6:$I$40,MATCH(G99,'TDS Rates'!$B$6:$B$40,0)),IF(E99="Company",INDEX('TDS Rates'!$J$6:$J$40,MATCH(G99,'TDS Rates'!$B$6:$B$40,0)),INDEX('TDS Rates'!$K$6:$K$40,MATCH(G99,'TDS Rates'!$B$6:$B$40,0)))))),IF(E99="Individual / HUF",INDEX('TDS Rates'!$I$6:$I$40,MATCH(G99,'TDS Rates'!$B$6:$B$40,0)),IF(E99="Company",INDEX('TDS Rates'!$J$6:$J$40,MATCH(G99,'TDS Rates'!$B$6:$B$40,0)),INDEX('TDS Rates'!$K$6:$K$40,MATCH(G99,'TDS Rates'!$B$6:$B$40,0))))),0))</f>
        <v/>
      </c>
      <c r="P99" s="34" t="str">
        <f aca="false">IF(OR(G99="",H99=""),"",ROUND(N99*O99,0))</f>
        <v/>
      </c>
      <c r="Q99" s="27" t="str">
        <f aca="false">IF(OR(G99="",H99=""),"",IFERROR(IF(INDEX('TDS Rates'!$E$6:$E$40,MATCH(G99,'TDS Rates'!$B$6:$B$40,0))="Form 141",EOMONTH(IF(R99="",B99,R99),0)+30,IF(MONTH(IF(R99="",B99,R99))=3,DATE(YEAR(IF(R99="",B99,R99)),4,30),DATE(YEAR(IF(R99="",B99,R99)),MONTH(IF(R99="",B99,R99))+1,7))),""))</f>
        <v/>
      </c>
      <c r="R99" s="17"/>
      <c r="S99" s="17"/>
      <c r="T99" s="5"/>
      <c r="U99" s="28" t="str">
        <f aca="false">IF(OR(G99="",H99=""),"",IF(P99=0,0,IF(IF(R99="",Settings!$C$9,R99)&lt;=B99,0,((YEAR(IF(R99="",Settings!$C$9,R99))-YEAR(B99))*12+MONTH(IF(R99="",Settings!$C$9,R99))-MONTH(B99)+1))))</f>
        <v/>
      </c>
      <c r="V99" s="29" t="str">
        <f aca="false">IF(OR(G99="",H99=""),"",ROUND(P99*Settings!$C$10*U99,0))</f>
        <v/>
      </c>
      <c r="W99" s="28" t="str">
        <f aca="false">IF(OR(G99="",H99=""),"",IF(OR(P99=0,R99=""),0,IF(IF(S99="",Settings!$C$9,S99)&lt;=Q99,0,((YEAR(IF(S99="",Settings!$C$9,S99))-YEAR(R99))*12+MONTH(IF(S99="",Settings!$C$9,S99))-MONTH(R99)+1))))</f>
        <v/>
      </c>
      <c r="X99" s="29" t="str">
        <f aca="false">IF(OR(G99="",H99=""),"",ROUND(P99*Settings!$C$11*W99,0))</f>
        <v/>
      </c>
      <c r="Y99" s="29" t="str">
        <f aca="false">IF(OR(G99="",H99=""),"",V99+X99)</f>
        <v/>
      </c>
      <c r="Z99" s="7" t="str">
        <f aca="false">IF(OR(G99="",H99=""),"",IF(P99=0,"Below threshold",IF(R99="","Not yet deducted",IF(S99="",IF(Settings!$C$9&gt;Q99,"Overdue — pay now","Deducted, due "&amp;TEXT(Q99,"dd-mmm")),IF(S99&lt;=Q99,IF(N(U99)&gt;0,"Deducted late, paid on time","Paid on time"),"Paid late")))))</f>
        <v/>
      </c>
      <c r="AA99" s="35" t="str">
        <f aca="false">IF(OR(G99="",H99=""),"",IF(D99&lt;&gt;"",UPPER(TRIM(D99)),UPPER(TRIM(C99))))</f>
        <v/>
      </c>
    </row>
    <row r="100" customFormat="false" ht="15" hidden="false" customHeight="false" outlineLevel="0" collapsed="false">
      <c r="B100" s="17"/>
      <c r="C100" s="5"/>
      <c r="D100" s="5"/>
      <c r="E100" s="5"/>
      <c r="F100" s="5"/>
      <c r="G100" s="5"/>
      <c r="H100" s="16"/>
      <c r="I100" s="7" t="str">
        <f aca="false">IF(OR(G100="",H100=""),"",IFERROR(INDEX('TDS Rates'!$D$6:$D$40,MATCH(G100,'TDS Rates'!$B$6:$B$40,0)),"Check nature"))</f>
        <v/>
      </c>
      <c r="J100" s="7" t="str">
        <f aca="false">IF(OR(G100="",H100=""),"",IFERROR(INDEX('TDS Rates'!$C$6:$C$40,MATCH(G100,'TDS Rates'!$B$6:$B$40,0)),""))</f>
        <v/>
      </c>
      <c r="K100" s="7" t="str">
        <f aca="false">IF(OR(G100="",H100=""),"",IFERROR(INDEX('TDS Rates'!$E$6:$E$40,MATCH(G100,'TDS Rates'!$B$6:$B$40,0)),""))</f>
        <v/>
      </c>
      <c r="L100" s="29" t="str">
        <f aca="false">IF(OR(G100="",H100=""),"",SUMIFS(H$6:H99,AA$6:AA99,AA100,G$6:G99,G100))</f>
        <v/>
      </c>
      <c r="M100" s="29" t="str">
        <f aca="false">IF(OR(G100="",H100=""),"",SUMIFS(H$6:H99,AA$6:AA99,AA100,G$6:G99,G100,N$6:N99,0))</f>
        <v/>
      </c>
      <c r="N100" s="29" t="str">
        <f aca="false">IF(OR(G100="",H100=""),"",IFERROR(IF(INDEX('TDS Rates'!$F$6:$F$40,MATCH(G100,'TDS Rates'!$B$6:$B$40,0))="NONE",H100,IF(INDEX('TDS Rates'!$F$6:$F$40,MATCH(G100,'TDS Rates'!$B$6:$B$40,0))="PER",IF(H100&gt;INDEX('TDS Rates'!$G$6:$G$40,MATCH(G100,'TDS Rates'!$B$6:$B$40,0)),H100,0),IF(INDEX('TDS Rates'!$F$6:$F$40,MATCH(G100,'TDS Rates'!$B$6:$B$40,0))="EXCESS",MAX(0,L100+H100-INDEX('TDS Rates'!$H$6:$H$40,MATCH(G100,'TDS Rates'!$B$6:$B$40,0)))-MAX(0,L100-INDEX('TDS Rates'!$H$6:$H$40,MATCH(G100,'TDS Rates'!$B$6:$B$40,0))),IF(INDEX('TDS Rates'!$F$6:$F$40,MATCH(G100,'TDS Rates'!$B$6:$B$40,0))="SA",IF(L100+H100&gt;INDEX('TDS Rates'!$H$6:$H$40,MATCH(G100,'TDS Rates'!$B$6:$B$40,0)),H100+M100,IF(H100&gt;INDEX('TDS Rates'!$G$6:$G$40,MATCH(G100,'TDS Rates'!$B$6:$B$40,0)),H100,0)),IF(L100+H100&gt;INDEX('TDS Rates'!$H$6:$H$40,MATCH(G100,'TDS Rates'!$B$6:$B$40,0)),H100+M100,0))))),0))</f>
        <v/>
      </c>
      <c r="O100" s="33" t="str">
        <f aca="false">IF(OR(G100="",H100=""),"",IFERROR(IF(F100="No",IF(INDEX('TDS Rates'!$C$6:$C$40,MATCH(G100,'TDS Rates'!$B$6:$B$40,0))="194Q",Settings!$C$14,MAX(Settings!$C$13,IF(E100="Individual / HUF",INDEX('TDS Rates'!$I$6:$I$40,MATCH(G100,'TDS Rates'!$B$6:$B$40,0)),IF(E100="Company",INDEX('TDS Rates'!$J$6:$J$40,MATCH(G100,'TDS Rates'!$B$6:$B$40,0)),INDEX('TDS Rates'!$K$6:$K$40,MATCH(G100,'TDS Rates'!$B$6:$B$40,0)))))),IF(E100="Individual / HUF",INDEX('TDS Rates'!$I$6:$I$40,MATCH(G100,'TDS Rates'!$B$6:$B$40,0)),IF(E100="Company",INDEX('TDS Rates'!$J$6:$J$40,MATCH(G100,'TDS Rates'!$B$6:$B$40,0)),INDEX('TDS Rates'!$K$6:$K$40,MATCH(G100,'TDS Rates'!$B$6:$B$40,0))))),0))</f>
        <v/>
      </c>
      <c r="P100" s="34" t="str">
        <f aca="false">IF(OR(G100="",H100=""),"",ROUND(N100*O100,0))</f>
        <v/>
      </c>
      <c r="Q100" s="27" t="str">
        <f aca="false">IF(OR(G100="",H100=""),"",IFERROR(IF(INDEX('TDS Rates'!$E$6:$E$40,MATCH(G100,'TDS Rates'!$B$6:$B$40,0))="Form 141",EOMONTH(IF(R100="",B100,R100),0)+30,IF(MONTH(IF(R100="",B100,R100))=3,DATE(YEAR(IF(R100="",B100,R100)),4,30),DATE(YEAR(IF(R100="",B100,R100)),MONTH(IF(R100="",B100,R100))+1,7))),""))</f>
        <v/>
      </c>
      <c r="R100" s="17"/>
      <c r="S100" s="17"/>
      <c r="T100" s="5"/>
      <c r="U100" s="28" t="str">
        <f aca="false">IF(OR(G100="",H100=""),"",IF(P100=0,0,IF(IF(R100="",Settings!$C$9,R100)&lt;=B100,0,((YEAR(IF(R100="",Settings!$C$9,R100))-YEAR(B100))*12+MONTH(IF(R100="",Settings!$C$9,R100))-MONTH(B100)+1))))</f>
        <v/>
      </c>
      <c r="V100" s="29" t="str">
        <f aca="false">IF(OR(G100="",H100=""),"",ROUND(P100*Settings!$C$10*U100,0))</f>
        <v/>
      </c>
      <c r="W100" s="28" t="str">
        <f aca="false">IF(OR(G100="",H100=""),"",IF(OR(P100=0,R100=""),0,IF(IF(S100="",Settings!$C$9,S100)&lt;=Q100,0,((YEAR(IF(S100="",Settings!$C$9,S100))-YEAR(R100))*12+MONTH(IF(S100="",Settings!$C$9,S100))-MONTH(R100)+1))))</f>
        <v/>
      </c>
      <c r="X100" s="29" t="str">
        <f aca="false">IF(OR(G100="",H100=""),"",ROUND(P100*Settings!$C$11*W100,0))</f>
        <v/>
      </c>
      <c r="Y100" s="29" t="str">
        <f aca="false">IF(OR(G100="",H100=""),"",V100+X100)</f>
        <v/>
      </c>
      <c r="Z100" s="7" t="str">
        <f aca="false">IF(OR(G100="",H100=""),"",IF(P100=0,"Below threshold",IF(R100="","Not yet deducted",IF(S100="",IF(Settings!$C$9&gt;Q100,"Overdue — pay now","Deducted, due "&amp;TEXT(Q100,"dd-mmm")),IF(S100&lt;=Q100,IF(N(U100)&gt;0,"Deducted late, paid on time","Paid on time"),"Paid late")))))</f>
        <v/>
      </c>
      <c r="AA100" s="35" t="str">
        <f aca="false">IF(OR(G100="",H100=""),"",IF(D100&lt;&gt;"",UPPER(TRIM(D100)),UPPER(TRIM(C100))))</f>
        <v/>
      </c>
    </row>
    <row r="101" customFormat="false" ht="15" hidden="false" customHeight="false" outlineLevel="0" collapsed="false">
      <c r="B101" s="17"/>
      <c r="C101" s="5"/>
      <c r="D101" s="5"/>
      <c r="E101" s="5"/>
      <c r="F101" s="5"/>
      <c r="G101" s="5"/>
      <c r="H101" s="16"/>
      <c r="I101" s="7" t="str">
        <f aca="false">IF(OR(G101="",H101=""),"",IFERROR(INDEX('TDS Rates'!$D$6:$D$40,MATCH(G101,'TDS Rates'!$B$6:$B$40,0)),"Check nature"))</f>
        <v/>
      </c>
      <c r="J101" s="7" t="str">
        <f aca="false">IF(OR(G101="",H101=""),"",IFERROR(INDEX('TDS Rates'!$C$6:$C$40,MATCH(G101,'TDS Rates'!$B$6:$B$40,0)),""))</f>
        <v/>
      </c>
      <c r="K101" s="7" t="str">
        <f aca="false">IF(OR(G101="",H101=""),"",IFERROR(INDEX('TDS Rates'!$E$6:$E$40,MATCH(G101,'TDS Rates'!$B$6:$B$40,0)),""))</f>
        <v/>
      </c>
      <c r="L101" s="29" t="str">
        <f aca="false">IF(OR(G101="",H101=""),"",SUMIFS(H$6:H100,AA$6:AA100,AA101,G$6:G100,G101))</f>
        <v/>
      </c>
      <c r="M101" s="29" t="str">
        <f aca="false">IF(OR(G101="",H101=""),"",SUMIFS(H$6:H100,AA$6:AA100,AA101,G$6:G100,G101,N$6:N100,0))</f>
        <v/>
      </c>
      <c r="N101" s="29" t="str">
        <f aca="false">IF(OR(G101="",H101=""),"",IFERROR(IF(INDEX('TDS Rates'!$F$6:$F$40,MATCH(G101,'TDS Rates'!$B$6:$B$40,0))="NONE",H101,IF(INDEX('TDS Rates'!$F$6:$F$40,MATCH(G101,'TDS Rates'!$B$6:$B$40,0))="PER",IF(H101&gt;INDEX('TDS Rates'!$G$6:$G$40,MATCH(G101,'TDS Rates'!$B$6:$B$40,0)),H101,0),IF(INDEX('TDS Rates'!$F$6:$F$40,MATCH(G101,'TDS Rates'!$B$6:$B$40,0))="EXCESS",MAX(0,L101+H101-INDEX('TDS Rates'!$H$6:$H$40,MATCH(G101,'TDS Rates'!$B$6:$B$40,0)))-MAX(0,L101-INDEX('TDS Rates'!$H$6:$H$40,MATCH(G101,'TDS Rates'!$B$6:$B$40,0))),IF(INDEX('TDS Rates'!$F$6:$F$40,MATCH(G101,'TDS Rates'!$B$6:$B$40,0))="SA",IF(L101+H101&gt;INDEX('TDS Rates'!$H$6:$H$40,MATCH(G101,'TDS Rates'!$B$6:$B$40,0)),H101+M101,IF(H101&gt;INDEX('TDS Rates'!$G$6:$G$40,MATCH(G101,'TDS Rates'!$B$6:$B$40,0)),H101,0)),IF(L101+H101&gt;INDEX('TDS Rates'!$H$6:$H$40,MATCH(G101,'TDS Rates'!$B$6:$B$40,0)),H101+M101,0))))),0))</f>
        <v/>
      </c>
      <c r="O101" s="33" t="str">
        <f aca="false">IF(OR(G101="",H101=""),"",IFERROR(IF(F101="No",IF(INDEX('TDS Rates'!$C$6:$C$40,MATCH(G101,'TDS Rates'!$B$6:$B$40,0))="194Q",Settings!$C$14,MAX(Settings!$C$13,IF(E101="Individual / HUF",INDEX('TDS Rates'!$I$6:$I$40,MATCH(G101,'TDS Rates'!$B$6:$B$40,0)),IF(E101="Company",INDEX('TDS Rates'!$J$6:$J$40,MATCH(G101,'TDS Rates'!$B$6:$B$40,0)),INDEX('TDS Rates'!$K$6:$K$40,MATCH(G101,'TDS Rates'!$B$6:$B$40,0)))))),IF(E101="Individual / HUF",INDEX('TDS Rates'!$I$6:$I$40,MATCH(G101,'TDS Rates'!$B$6:$B$40,0)),IF(E101="Company",INDEX('TDS Rates'!$J$6:$J$40,MATCH(G101,'TDS Rates'!$B$6:$B$40,0)),INDEX('TDS Rates'!$K$6:$K$40,MATCH(G101,'TDS Rates'!$B$6:$B$40,0))))),0))</f>
        <v/>
      </c>
      <c r="P101" s="34" t="str">
        <f aca="false">IF(OR(G101="",H101=""),"",ROUND(N101*O101,0))</f>
        <v/>
      </c>
      <c r="Q101" s="27" t="str">
        <f aca="false">IF(OR(G101="",H101=""),"",IFERROR(IF(INDEX('TDS Rates'!$E$6:$E$40,MATCH(G101,'TDS Rates'!$B$6:$B$40,0))="Form 141",EOMONTH(IF(R101="",B101,R101),0)+30,IF(MONTH(IF(R101="",B101,R101))=3,DATE(YEAR(IF(R101="",B101,R101)),4,30),DATE(YEAR(IF(R101="",B101,R101)),MONTH(IF(R101="",B101,R101))+1,7))),""))</f>
        <v/>
      </c>
      <c r="R101" s="17"/>
      <c r="S101" s="17"/>
      <c r="T101" s="5"/>
      <c r="U101" s="28" t="str">
        <f aca="false">IF(OR(G101="",H101=""),"",IF(P101=0,0,IF(IF(R101="",Settings!$C$9,R101)&lt;=B101,0,((YEAR(IF(R101="",Settings!$C$9,R101))-YEAR(B101))*12+MONTH(IF(R101="",Settings!$C$9,R101))-MONTH(B101)+1))))</f>
        <v/>
      </c>
      <c r="V101" s="29" t="str">
        <f aca="false">IF(OR(G101="",H101=""),"",ROUND(P101*Settings!$C$10*U101,0))</f>
        <v/>
      </c>
      <c r="W101" s="28" t="str">
        <f aca="false">IF(OR(G101="",H101=""),"",IF(OR(P101=0,R101=""),0,IF(IF(S101="",Settings!$C$9,S101)&lt;=Q101,0,((YEAR(IF(S101="",Settings!$C$9,S101))-YEAR(R101))*12+MONTH(IF(S101="",Settings!$C$9,S101))-MONTH(R101)+1))))</f>
        <v/>
      </c>
      <c r="X101" s="29" t="str">
        <f aca="false">IF(OR(G101="",H101=""),"",ROUND(P101*Settings!$C$11*W101,0))</f>
        <v/>
      </c>
      <c r="Y101" s="29" t="str">
        <f aca="false">IF(OR(G101="",H101=""),"",V101+X101)</f>
        <v/>
      </c>
      <c r="Z101" s="7" t="str">
        <f aca="false">IF(OR(G101="",H101=""),"",IF(P101=0,"Below threshold",IF(R101="","Not yet deducted",IF(S101="",IF(Settings!$C$9&gt;Q101,"Overdue — pay now","Deducted, due "&amp;TEXT(Q101,"dd-mmm")),IF(S101&lt;=Q101,IF(N(U101)&gt;0,"Deducted late, paid on time","Paid on time"),"Paid late")))))</f>
        <v/>
      </c>
      <c r="AA101" s="35" t="str">
        <f aca="false">IF(OR(G101="",H101=""),"",IF(D101&lt;&gt;"",UPPER(TRIM(D101)),UPPER(TRIM(C101))))</f>
        <v/>
      </c>
    </row>
    <row r="102" customFormat="false" ht="15" hidden="false" customHeight="false" outlineLevel="0" collapsed="false">
      <c r="B102" s="17"/>
      <c r="C102" s="5"/>
      <c r="D102" s="5"/>
      <c r="E102" s="5"/>
      <c r="F102" s="5"/>
      <c r="G102" s="5"/>
      <c r="H102" s="16"/>
      <c r="I102" s="7" t="str">
        <f aca="false">IF(OR(G102="",H102=""),"",IFERROR(INDEX('TDS Rates'!$D$6:$D$40,MATCH(G102,'TDS Rates'!$B$6:$B$40,0)),"Check nature"))</f>
        <v/>
      </c>
      <c r="J102" s="7" t="str">
        <f aca="false">IF(OR(G102="",H102=""),"",IFERROR(INDEX('TDS Rates'!$C$6:$C$40,MATCH(G102,'TDS Rates'!$B$6:$B$40,0)),""))</f>
        <v/>
      </c>
      <c r="K102" s="7" t="str">
        <f aca="false">IF(OR(G102="",H102=""),"",IFERROR(INDEX('TDS Rates'!$E$6:$E$40,MATCH(G102,'TDS Rates'!$B$6:$B$40,0)),""))</f>
        <v/>
      </c>
      <c r="L102" s="29" t="str">
        <f aca="false">IF(OR(G102="",H102=""),"",SUMIFS(H$6:H101,AA$6:AA101,AA102,G$6:G101,G102))</f>
        <v/>
      </c>
      <c r="M102" s="29" t="str">
        <f aca="false">IF(OR(G102="",H102=""),"",SUMIFS(H$6:H101,AA$6:AA101,AA102,G$6:G101,G102,N$6:N101,0))</f>
        <v/>
      </c>
      <c r="N102" s="29" t="str">
        <f aca="false">IF(OR(G102="",H102=""),"",IFERROR(IF(INDEX('TDS Rates'!$F$6:$F$40,MATCH(G102,'TDS Rates'!$B$6:$B$40,0))="NONE",H102,IF(INDEX('TDS Rates'!$F$6:$F$40,MATCH(G102,'TDS Rates'!$B$6:$B$40,0))="PER",IF(H102&gt;INDEX('TDS Rates'!$G$6:$G$40,MATCH(G102,'TDS Rates'!$B$6:$B$40,0)),H102,0),IF(INDEX('TDS Rates'!$F$6:$F$40,MATCH(G102,'TDS Rates'!$B$6:$B$40,0))="EXCESS",MAX(0,L102+H102-INDEX('TDS Rates'!$H$6:$H$40,MATCH(G102,'TDS Rates'!$B$6:$B$40,0)))-MAX(0,L102-INDEX('TDS Rates'!$H$6:$H$40,MATCH(G102,'TDS Rates'!$B$6:$B$40,0))),IF(INDEX('TDS Rates'!$F$6:$F$40,MATCH(G102,'TDS Rates'!$B$6:$B$40,0))="SA",IF(L102+H102&gt;INDEX('TDS Rates'!$H$6:$H$40,MATCH(G102,'TDS Rates'!$B$6:$B$40,0)),H102+M102,IF(H102&gt;INDEX('TDS Rates'!$G$6:$G$40,MATCH(G102,'TDS Rates'!$B$6:$B$40,0)),H102,0)),IF(L102+H102&gt;INDEX('TDS Rates'!$H$6:$H$40,MATCH(G102,'TDS Rates'!$B$6:$B$40,0)),H102+M102,0))))),0))</f>
        <v/>
      </c>
      <c r="O102" s="33" t="str">
        <f aca="false">IF(OR(G102="",H102=""),"",IFERROR(IF(F102="No",IF(INDEX('TDS Rates'!$C$6:$C$40,MATCH(G102,'TDS Rates'!$B$6:$B$40,0))="194Q",Settings!$C$14,MAX(Settings!$C$13,IF(E102="Individual / HUF",INDEX('TDS Rates'!$I$6:$I$40,MATCH(G102,'TDS Rates'!$B$6:$B$40,0)),IF(E102="Company",INDEX('TDS Rates'!$J$6:$J$40,MATCH(G102,'TDS Rates'!$B$6:$B$40,0)),INDEX('TDS Rates'!$K$6:$K$40,MATCH(G102,'TDS Rates'!$B$6:$B$40,0)))))),IF(E102="Individual / HUF",INDEX('TDS Rates'!$I$6:$I$40,MATCH(G102,'TDS Rates'!$B$6:$B$40,0)),IF(E102="Company",INDEX('TDS Rates'!$J$6:$J$40,MATCH(G102,'TDS Rates'!$B$6:$B$40,0)),INDEX('TDS Rates'!$K$6:$K$40,MATCH(G102,'TDS Rates'!$B$6:$B$40,0))))),0))</f>
        <v/>
      </c>
      <c r="P102" s="34" t="str">
        <f aca="false">IF(OR(G102="",H102=""),"",ROUND(N102*O102,0))</f>
        <v/>
      </c>
      <c r="Q102" s="27" t="str">
        <f aca="false">IF(OR(G102="",H102=""),"",IFERROR(IF(INDEX('TDS Rates'!$E$6:$E$40,MATCH(G102,'TDS Rates'!$B$6:$B$40,0))="Form 141",EOMONTH(IF(R102="",B102,R102),0)+30,IF(MONTH(IF(R102="",B102,R102))=3,DATE(YEAR(IF(R102="",B102,R102)),4,30),DATE(YEAR(IF(R102="",B102,R102)),MONTH(IF(R102="",B102,R102))+1,7))),""))</f>
        <v/>
      </c>
      <c r="R102" s="17"/>
      <c r="S102" s="17"/>
      <c r="T102" s="5"/>
      <c r="U102" s="28" t="str">
        <f aca="false">IF(OR(G102="",H102=""),"",IF(P102=0,0,IF(IF(R102="",Settings!$C$9,R102)&lt;=B102,0,((YEAR(IF(R102="",Settings!$C$9,R102))-YEAR(B102))*12+MONTH(IF(R102="",Settings!$C$9,R102))-MONTH(B102)+1))))</f>
        <v/>
      </c>
      <c r="V102" s="29" t="str">
        <f aca="false">IF(OR(G102="",H102=""),"",ROUND(P102*Settings!$C$10*U102,0))</f>
        <v/>
      </c>
      <c r="W102" s="28" t="str">
        <f aca="false">IF(OR(G102="",H102=""),"",IF(OR(P102=0,R102=""),0,IF(IF(S102="",Settings!$C$9,S102)&lt;=Q102,0,((YEAR(IF(S102="",Settings!$C$9,S102))-YEAR(R102))*12+MONTH(IF(S102="",Settings!$C$9,S102))-MONTH(R102)+1))))</f>
        <v/>
      </c>
      <c r="X102" s="29" t="str">
        <f aca="false">IF(OR(G102="",H102=""),"",ROUND(P102*Settings!$C$11*W102,0))</f>
        <v/>
      </c>
      <c r="Y102" s="29" t="str">
        <f aca="false">IF(OR(G102="",H102=""),"",V102+X102)</f>
        <v/>
      </c>
      <c r="Z102" s="7" t="str">
        <f aca="false">IF(OR(G102="",H102=""),"",IF(P102=0,"Below threshold",IF(R102="","Not yet deducted",IF(S102="",IF(Settings!$C$9&gt;Q102,"Overdue — pay now","Deducted, due "&amp;TEXT(Q102,"dd-mmm")),IF(S102&lt;=Q102,IF(N(U102)&gt;0,"Deducted late, paid on time","Paid on time"),"Paid late")))))</f>
        <v/>
      </c>
      <c r="AA102" s="35" t="str">
        <f aca="false">IF(OR(G102="",H102=""),"",IF(D102&lt;&gt;"",UPPER(TRIM(D102)),UPPER(TRIM(C102))))</f>
        <v/>
      </c>
    </row>
    <row r="103" customFormat="false" ht="15" hidden="false" customHeight="false" outlineLevel="0" collapsed="false">
      <c r="B103" s="17"/>
      <c r="C103" s="5"/>
      <c r="D103" s="5"/>
      <c r="E103" s="5"/>
      <c r="F103" s="5"/>
      <c r="G103" s="5"/>
      <c r="H103" s="16"/>
      <c r="I103" s="7" t="str">
        <f aca="false">IF(OR(G103="",H103=""),"",IFERROR(INDEX('TDS Rates'!$D$6:$D$40,MATCH(G103,'TDS Rates'!$B$6:$B$40,0)),"Check nature"))</f>
        <v/>
      </c>
      <c r="J103" s="7" t="str">
        <f aca="false">IF(OR(G103="",H103=""),"",IFERROR(INDEX('TDS Rates'!$C$6:$C$40,MATCH(G103,'TDS Rates'!$B$6:$B$40,0)),""))</f>
        <v/>
      </c>
      <c r="K103" s="7" t="str">
        <f aca="false">IF(OR(G103="",H103=""),"",IFERROR(INDEX('TDS Rates'!$E$6:$E$40,MATCH(G103,'TDS Rates'!$B$6:$B$40,0)),""))</f>
        <v/>
      </c>
      <c r="L103" s="29" t="str">
        <f aca="false">IF(OR(G103="",H103=""),"",SUMIFS(H$6:H102,AA$6:AA102,AA103,G$6:G102,G103))</f>
        <v/>
      </c>
      <c r="M103" s="29" t="str">
        <f aca="false">IF(OR(G103="",H103=""),"",SUMIFS(H$6:H102,AA$6:AA102,AA103,G$6:G102,G103,N$6:N102,0))</f>
        <v/>
      </c>
      <c r="N103" s="29" t="str">
        <f aca="false">IF(OR(G103="",H103=""),"",IFERROR(IF(INDEX('TDS Rates'!$F$6:$F$40,MATCH(G103,'TDS Rates'!$B$6:$B$40,0))="NONE",H103,IF(INDEX('TDS Rates'!$F$6:$F$40,MATCH(G103,'TDS Rates'!$B$6:$B$40,0))="PER",IF(H103&gt;INDEX('TDS Rates'!$G$6:$G$40,MATCH(G103,'TDS Rates'!$B$6:$B$40,0)),H103,0),IF(INDEX('TDS Rates'!$F$6:$F$40,MATCH(G103,'TDS Rates'!$B$6:$B$40,0))="EXCESS",MAX(0,L103+H103-INDEX('TDS Rates'!$H$6:$H$40,MATCH(G103,'TDS Rates'!$B$6:$B$40,0)))-MAX(0,L103-INDEX('TDS Rates'!$H$6:$H$40,MATCH(G103,'TDS Rates'!$B$6:$B$40,0))),IF(INDEX('TDS Rates'!$F$6:$F$40,MATCH(G103,'TDS Rates'!$B$6:$B$40,0))="SA",IF(L103+H103&gt;INDEX('TDS Rates'!$H$6:$H$40,MATCH(G103,'TDS Rates'!$B$6:$B$40,0)),H103+M103,IF(H103&gt;INDEX('TDS Rates'!$G$6:$G$40,MATCH(G103,'TDS Rates'!$B$6:$B$40,0)),H103,0)),IF(L103+H103&gt;INDEX('TDS Rates'!$H$6:$H$40,MATCH(G103,'TDS Rates'!$B$6:$B$40,0)),H103+M103,0))))),0))</f>
        <v/>
      </c>
      <c r="O103" s="33" t="str">
        <f aca="false">IF(OR(G103="",H103=""),"",IFERROR(IF(F103="No",IF(INDEX('TDS Rates'!$C$6:$C$40,MATCH(G103,'TDS Rates'!$B$6:$B$40,0))="194Q",Settings!$C$14,MAX(Settings!$C$13,IF(E103="Individual / HUF",INDEX('TDS Rates'!$I$6:$I$40,MATCH(G103,'TDS Rates'!$B$6:$B$40,0)),IF(E103="Company",INDEX('TDS Rates'!$J$6:$J$40,MATCH(G103,'TDS Rates'!$B$6:$B$40,0)),INDEX('TDS Rates'!$K$6:$K$40,MATCH(G103,'TDS Rates'!$B$6:$B$40,0)))))),IF(E103="Individual / HUF",INDEX('TDS Rates'!$I$6:$I$40,MATCH(G103,'TDS Rates'!$B$6:$B$40,0)),IF(E103="Company",INDEX('TDS Rates'!$J$6:$J$40,MATCH(G103,'TDS Rates'!$B$6:$B$40,0)),INDEX('TDS Rates'!$K$6:$K$40,MATCH(G103,'TDS Rates'!$B$6:$B$40,0))))),0))</f>
        <v/>
      </c>
      <c r="P103" s="34" t="str">
        <f aca="false">IF(OR(G103="",H103=""),"",ROUND(N103*O103,0))</f>
        <v/>
      </c>
      <c r="Q103" s="27" t="str">
        <f aca="false">IF(OR(G103="",H103=""),"",IFERROR(IF(INDEX('TDS Rates'!$E$6:$E$40,MATCH(G103,'TDS Rates'!$B$6:$B$40,0))="Form 141",EOMONTH(IF(R103="",B103,R103),0)+30,IF(MONTH(IF(R103="",B103,R103))=3,DATE(YEAR(IF(R103="",B103,R103)),4,30),DATE(YEAR(IF(R103="",B103,R103)),MONTH(IF(R103="",B103,R103))+1,7))),""))</f>
        <v/>
      </c>
      <c r="R103" s="17"/>
      <c r="S103" s="17"/>
      <c r="T103" s="5"/>
      <c r="U103" s="28" t="str">
        <f aca="false">IF(OR(G103="",H103=""),"",IF(P103=0,0,IF(IF(R103="",Settings!$C$9,R103)&lt;=B103,0,((YEAR(IF(R103="",Settings!$C$9,R103))-YEAR(B103))*12+MONTH(IF(R103="",Settings!$C$9,R103))-MONTH(B103)+1))))</f>
        <v/>
      </c>
      <c r="V103" s="29" t="str">
        <f aca="false">IF(OR(G103="",H103=""),"",ROUND(P103*Settings!$C$10*U103,0))</f>
        <v/>
      </c>
      <c r="W103" s="28" t="str">
        <f aca="false">IF(OR(G103="",H103=""),"",IF(OR(P103=0,R103=""),0,IF(IF(S103="",Settings!$C$9,S103)&lt;=Q103,0,((YEAR(IF(S103="",Settings!$C$9,S103))-YEAR(R103))*12+MONTH(IF(S103="",Settings!$C$9,S103))-MONTH(R103)+1))))</f>
        <v/>
      </c>
      <c r="X103" s="29" t="str">
        <f aca="false">IF(OR(G103="",H103=""),"",ROUND(P103*Settings!$C$11*W103,0))</f>
        <v/>
      </c>
      <c r="Y103" s="29" t="str">
        <f aca="false">IF(OR(G103="",H103=""),"",V103+X103)</f>
        <v/>
      </c>
      <c r="Z103" s="7" t="str">
        <f aca="false">IF(OR(G103="",H103=""),"",IF(P103=0,"Below threshold",IF(R103="","Not yet deducted",IF(S103="",IF(Settings!$C$9&gt;Q103,"Overdue — pay now","Deducted, due "&amp;TEXT(Q103,"dd-mmm")),IF(S103&lt;=Q103,IF(N(U103)&gt;0,"Deducted late, paid on time","Paid on time"),"Paid late")))))</f>
        <v/>
      </c>
      <c r="AA103" s="35" t="str">
        <f aca="false">IF(OR(G103="",H103=""),"",IF(D103&lt;&gt;"",UPPER(TRIM(D103)),UPPER(TRIM(C103))))</f>
        <v/>
      </c>
    </row>
    <row r="104" customFormat="false" ht="15" hidden="false" customHeight="false" outlineLevel="0" collapsed="false">
      <c r="B104" s="17"/>
      <c r="C104" s="5"/>
      <c r="D104" s="5"/>
      <c r="E104" s="5"/>
      <c r="F104" s="5"/>
      <c r="G104" s="5"/>
      <c r="H104" s="16"/>
      <c r="I104" s="7" t="str">
        <f aca="false">IF(OR(G104="",H104=""),"",IFERROR(INDEX('TDS Rates'!$D$6:$D$40,MATCH(G104,'TDS Rates'!$B$6:$B$40,0)),"Check nature"))</f>
        <v/>
      </c>
      <c r="J104" s="7" t="str">
        <f aca="false">IF(OR(G104="",H104=""),"",IFERROR(INDEX('TDS Rates'!$C$6:$C$40,MATCH(G104,'TDS Rates'!$B$6:$B$40,0)),""))</f>
        <v/>
      </c>
      <c r="K104" s="7" t="str">
        <f aca="false">IF(OR(G104="",H104=""),"",IFERROR(INDEX('TDS Rates'!$E$6:$E$40,MATCH(G104,'TDS Rates'!$B$6:$B$40,0)),""))</f>
        <v/>
      </c>
      <c r="L104" s="29" t="str">
        <f aca="false">IF(OR(G104="",H104=""),"",SUMIFS(H$6:H103,AA$6:AA103,AA104,G$6:G103,G104))</f>
        <v/>
      </c>
      <c r="M104" s="29" t="str">
        <f aca="false">IF(OR(G104="",H104=""),"",SUMIFS(H$6:H103,AA$6:AA103,AA104,G$6:G103,G104,N$6:N103,0))</f>
        <v/>
      </c>
      <c r="N104" s="29" t="str">
        <f aca="false">IF(OR(G104="",H104=""),"",IFERROR(IF(INDEX('TDS Rates'!$F$6:$F$40,MATCH(G104,'TDS Rates'!$B$6:$B$40,0))="NONE",H104,IF(INDEX('TDS Rates'!$F$6:$F$40,MATCH(G104,'TDS Rates'!$B$6:$B$40,0))="PER",IF(H104&gt;INDEX('TDS Rates'!$G$6:$G$40,MATCH(G104,'TDS Rates'!$B$6:$B$40,0)),H104,0),IF(INDEX('TDS Rates'!$F$6:$F$40,MATCH(G104,'TDS Rates'!$B$6:$B$40,0))="EXCESS",MAX(0,L104+H104-INDEX('TDS Rates'!$H$6:$H$40,MATCH(G104,'TDS Rates'!$B$6:$B$40,0)))-MAX(0,L104-INDEX('TDS Rates'!$H$6:$H$40,MATCH(G104,'TDS Rates'!$B$6:$B$40,0))),IF(INDEX('TDS Rates'!$F$6:$F$40,MATCH(G104,'TDS Rates'!$B$6:$B$40,0))="SA",IF(L104+H104&gt;INDEX('TDS Rates'!$H$6:$H$40,MATCH(G104,'TDS Rates'!$B$6:$B$40,0)),H104+M104,IF(H104&gt;INDEX('TDS Rates'!$G$6:$G$40,MATCH(G104,'TDS Rates'!$B$6:$B$40,0)),H104,0)),IF(L104+H104&gt;INDEX('TDS Rates'!$H$6:$H$40,MATCH(G104,'TDS Rates'!$B$6:$B$40,0)),H104+M104,0))))),0))</f>
        <v/>
      </c>
      <c r="O104" s="33" t="str">
        <f aca="false">IF(OR(G104="",H104=""),"",IFERROR(IF(F104="No",IF(INDEX('TDS Rates'!$C$6:$C$40,MATCH(G104,'TDS Rates'!$B$6:$B$40,0))="194Q",Settings!$C$14,MAX(Settings!$C$13,IF(E104="Individual / HUF",INDEX('TDS Rates'!$I$6:$I$40,MATCH(G104,'TDS Rates'!$B$6:$B$40,0)),IF(E104="Company",INDEX('TDS Rates'!$J$6:$J$40,MATCH(G104,'TDS Rates'!$B$6:$B$40,0)),INDEX('TDS Rates'!$K$6:$K$40,MATCH(G104,'TDS Rates'!$B$6:$B$40,0)))))),IF(E104="Individual / HUF",INDEX('TDS Rates'!$I$6:$I$40,MATCH(G104,'TDS Rates'!$B$6:$B$40,0)),IF(E104="Company",INDEX('TDS Rates'!$J$6:$J$40,MATCH(G104,'TDS Rates'!$B$6:$B$40,0)),INDEX('TDS Rates'!$K$6:$K$40,MATCH(G104,'TDS Rates'!$B$6:$B$40,0))))),0))</f>
        <v/>
      </c>
      <c r="P104" s="34" t="str">
        <f aca="false">IF(OR(G104="",H104=""),"",ROUND(N104*O104,0))</f>
        <v/>
      </c>
      <c r="Q104" s="27" t="str">
        <f aca="false">IF(OR(G104="",H104=""),"",IFERROR(IF(INDEX('TDS Rates'!$E$6:$E$40,MATCH(G104,'TDS Rates'!$B$6:$B$40,0))="Form 141",EOMONTH(IF(R104="",B104,R104),0)+30,IF(MONTH(IF(R104="",B104,R104))=3,DATE(YEAR(IF(R104="",B104,R104)),4,30),DATE(YEAR(IF(R104="",B104,R104)),MONTH(IF(R104="",B104,R104))+1,7))),""))</f>
        <v/>
      </c>
      <c r="R104" s="17"/>
      <c r="S104" s="17"/>
      <c r="T104" s="5"/>
      <c r="U104" s="28" t="str">
        <f aca="false">IF(OR(G104="",H104=""),"",IF(P104=0,0,IF(IF(R104="",Settings!$C$9,R104)&lt;=B104,0,((YEAR(IF(R104="",Settings!$C$9,R104))-YEAR(B104))*12+MONTH(IF(R104="",Settings!$C$9,R104))-MONTH(B104)+1))))</f>
        <v/>
      </c>
      <c r="V104" s="29" t="str">
        <f aca="false">IF(OR(G104="",H104=""),"",ROUND(P104*Settings!$C$10*U104,0))</f>
        <v/>
      </c>
      <c r="W104" s="28" t="str">
        <f aca="false">IF(OR(G104="",H104=""),"",IF(OR(P104=0,R104=""),0,IF(IF(S104="",Settings!$C$9,S104)&lt;=Q104,0,((YEAR(IF(S104="",Settings!$C$9,S104))-YEAR(R104))*12+MONTH(IF(S104="",Settings!$C$9,S104))-MONTH(R104)+1))))</f>
        <v/>
      </c>
      <c r="X104" s="29" t="str">
        <f aca="false">IF(OR(G104="",H104=""),"",ROUND(P104*Settings!$C$11*W104,0))</f>
        <v/>
      </c>
      <c r="Y104" s="29" t="str">
        <f aca="false">IF(OR(G104="",H104=""),"",V104+X104)</f>
        <v/>
      </c>
      <c r="Z104" s="7" t="str">
        <f aca="false">IF(OR(G104="",H104=""),"",IF(P104=0,"Below threshold",IF(R104="","Not yet deducted",IF(S104="",IF(Settings!$C$9&gt;Q104,"Overdue — pay now","Deducted, due "&amp;TEXT(Q104,"dd-mmm")),IF(S104&lt;=Q104,IF(N(U104)&gt;0,"Deducted late, paid on time","Paid on time"),"Paid late")))))</f>
        <v/>
      </c>
      <c r="AA104" s="35" t="str">
        <f aca="false">IF(OR(G104="",H104=""),"",IF(D104&lt;&gt;"",UPPER(TRIM(D104)),UPPER(TRIM(C104))))</f>
        <v/>
      </c>
    </row>
    <row r="105" customFormat="false" ht="15" hidden="false" customHeight="false" outlineLevel="0" collapsed="false">
      <c r="B105" s="17"/>
      <c r="C105" s="5"/>
      <c r="D105" s="5"/>
      <c r="E105" s="5"/>
      <c r="F105" s="5"/>
      <c r="G105" s="5"/>
      <c r="H105" s="16"/>
      <c r="I105" s="7" t="str">
        <f aca="false">IF(OR(G105="",H105=""),"",IFERROR(INDEX('TDS Rates'!$D$6:$D$40,MATCH(G105,'TDS Rates'!$B$6:$B$40,0)),"Check nature"))</f>
        <v/>
      </c>
      <c r="J105" s="7" t="str">
        <f aca="false">IF(OR(G105="",H105=""),"",IFERROR(INDEX('TDS Rates'!$C$6:$C$40,MATCH(G105,'TDS Rates'!$B$6:$B$40,0)),""))</f>
        <v/>
      </c>
      <c r="K105" s="7" t="str">
        <f aca="false">IF(OR(G105="",H105=""),"",IFERROR(INDEX('TDS Rates'!$E$6:$E$40,MATCH(G105,'TDS Rates'!$B$6:$B$40,0)),""))</f>
        <v/>
      </c>
      <c r="L105" s="29" t="str">
        <f aca="false">IF(OR(G105="",H105=""),"",SUMIFS(H$6:H104,AA$6:AA104,AA105,G$6:G104,G105))</f>
        <v/>
      </c>
      <c r="M105" s="29" t="str">
        <f aca="false">IF(OR(G105="",H105=""),"",SUMIFS(H$6:H104,AA$6:AA104,AA105,G$6:G104,G105,N$6:N104,0))</f>
        <v/>
      </c>
      <c r="N105" s="29" t="str">
        <f aca="false">IF(OR(G105="",H105=""),"",IFERROR(IF(INDEX('TDS Rates'!$F$6:$F$40,MATCH(G105,'TDS Rates'!$B$6:$B$40,0))="NONE",H105,IF(INDEX('TDS Rates'!$F$6:$F$40,MATCH(G105,'TDS Rates'!$B$6:$B$40,0))="PER",IF(H105&gt;INDEX('TDS Rates'!$G$6:$G$40,MATCH(G105,'TDS Rates'!$B$6:$B$40,0)),H105,0),IF(INDEX('TDS Rates'!$F$6:$F$40,MATCH(G105,'TDS Rates'!$B$6:$B$40,0))="EXCESS",MAX(0,L105+H105-INDEX('TDS Rates'!$H$6:$H$40,MATCH(G105,'TDS Rates'!$B$6:$B$40,0)))-MAX(0,L105-INDEX('TDS Rates'!$H$6:$H$40,MATCH(G105,'TDS Rates'!$B$6:$B$40,0))),IF(INDEX('TDS Rates'!$F$6:$F$40,MATCH(G105,'TDS Rates'!$B$6:$B$40,0))="SA",IF(L105+H105&gt;INDEX('TDS Rates'!$H$6:$H$40,MATCH(G105,'TDS Rates'!$B$6:$B$40,0)),H105+M105,IF(H105&gt;INDEX('TDS Rates'!$G$6:$G$40,MATCH(G105,'TDS Rates'!$B$6:$B$40,0)),H105,0)),IF(L105+H105&gt;INDEX('TDS Rates'!$H$6:$H$40,MATCH(G105,'TDS Rates'!$B$6:$B$40,0)),H105+M105,0))))),0))</f>
        <v/>
      </c>
      <c r="O105" s="33" t="str">
        <f aca="false">IF(OR(G105="",H105=""),"",IFERROR(IF(F105="No",IF(INDEX('TDS Rates'!$C$6:$C$40,MATCH(G105,'TDS Rates'!$B$6:$B$40,0))="194Q",Settings!$C$14,MAX(Settings!$C$13,IF(E105="Individual / HUF",INDEX('TDS Rates'!$I$6:$I$40,MATCH(G105,'TDS Rates'!$B$6:$B$40,0)),IF(E105="Company",INDEX('TDS Rates'!$J$6:$J$40,MATCH(G105,'TDS Rates'!$B$6:$B$40,0)),INDEX('TDS Rates'!$K$6:$K$40,MATCH(G105,'TDS Rates'!$B$6:$B$40,0)))))),IF(E105="Individual / HUF",INDEX('TDS Rates'!$I$6:$I$40,MATCH(G105,'TDS Rates'!$B$6:$B$40,0)),IF(E105="Company",INDEX('TDS Rates'!$J$6:$J$40,MATCH(G105,'TDS Rates'!$B$6:$B$40,0)),INDEX('TDS Rates'!$K$6:$K$40,MATCH(G105,'TDS Rates'!$B$6:$B$40,0))))),0))</f>
        <v/>
      </c>
      <c r="P105" s="34" t="str">
        <f aca="false">IF(OR(G105="",H105=""),"",ROUND(N105*O105,0))</f>
        <v/>
      </c>
      <c r="Q105" s="27" t="str">
        <f aca="false">IF(OR(G105="",H105=""),"",IFERROR(IF(INDEX('TDS Rates'!$E$6:$E$40,MATCH(G105,'TDS Rates'!$B$6:$B$40,0))="Form 141",EOMONTH(IF(R105="",B105,R105),0)+30,IF(MONTH(IF(R105="",B105,R105))=3,DATE(YEAR(IF(R105="",B105,R105)),4,30),DATE(YEAR(IF(R105="",B105,R105)),MONTH(IF(R105="",B105,R105))+1,7))),""))</f>
        <v/>
      </c>
      <c r="R105" s="17"/>
      <c r="S105" s="17"/>
      <c r="T105" s="5"/>
      <c r="U105" s="28" t="str">
        <f aca="false">IF(OR(G105="",H105=""),"",IF(P105=0,0,IF(IF(R105="",Settings!$C$9,R105)&lt;=B105,0,((YEAR(IF(R105="",Settings!$C$9,R105))-YEAR(B105))*12+MONTH(IF(R105="",Settings!$C$9,R105))-MONTH(B105)+1))))</f>
        <v/>
      </c>
      <c r="V105" s="29" t="str">
        <f aca="false">IF(OR(G105="",H105=""),"",ROUND(P105*Settings!$C$10*U105,0))</f>
        <v/>
      </c>
      <c r="W105" s="28" t="str">
        <f aca="false">IF(OR(G105="",H105=""),"",IF(OR(P105=0,R105=""),0,IF(IF(S105="",Settings!$C$9,S105)&lt;=Q105,0,((YEAR(IF(S105="",Settings!$C$9,S105))-YEAR(R105))*12+MONTH(IF(S105="",Settings!$C$9,S105))-MONTH(R105)+1))))</f>
        <v/>
      </c>
      <c r="X105" s="29" t="str">
        <f aca="false">IF(OR(G105="",H105=""),"",ROUND(P105*Settings!$C$11*W105,0))</f>
        <v/>
      </c>
      <c r="Y105" s="29" t="str">
        <f aca="false">IF(OR(G105="",H105=""),"",V105+X105)</f>
        <v/>
      </c>
      <c r="Z105" s="7" t="str">
        <f aca="false">IF(OR(G105="",H105=""),"",IF(P105=0,"Below threshold",IF(R105="","Not yet deducted",IF(S105="",IF(Settings!$C$9&gt;Q105,"Overdue — pay now","Deducted, due "&amp;TEXT(Q105,"dd-mmm")),IF(S105&lt;=Q105,IF(N(U105)&gt;0,"Deducted late, paid on time","Paid on time"),"Paid late")))))</f>
        <v/>
      </c>
      <c r="AA105" s="35" t="str">
        <f aca="false">IF(OR(G105="",H105=""),"",IF(D105&lt;&gt;"",UPPER(TRIM(D105)),UPPER(TRIM(C105))))</f>
        <v/>
      </c>
    </row>
    <row r="106" customFormat="false" ht="15" hidden="false" customHeight="false" outlineLevel="0" collapsed="false">
      <c r="B106" s="17"/>
      <c r="C106" s="5"/>
      <c r="D106" s="5"/>
      <c r="E106" s="5"/>
      <c r="F106" s="5"/>
      <c r="G106" s="5"/>
      <c r="H106" s="16"/>
      <c r="I106" s="7" t="str">
        <f aca="false">IF(OR(G106="",H106=""),"",IFERROR(INDEX('TDS Rates'!$D$6:$D$40,MATCH(G106,'TDS Rates'!$B$6:$B$40,0)),"Check nature"))</f>
        <v/>
      </c>
      <c r="J106" s="7" t="str">
        <f aca="false">IF(OR(G106="",H106=""),"",IFERROR(INDEX('TDS Rates'!$C$6:$C$40,MATCH(G106,'TDS Rates'!$B$6:$B$40,0)),""))</f>
        <v/>
      </c>
      <c r="K106" s="7" t="str">
        <f aca="false">IF(OR(G106="",H106=""),"",IFERROR(INDEX('TDS Rates'!$E$6:$E$40,MATCH(G106,'TDS Rates'!$B$6:$B$40,0)),""))</f>
        <v/>
      </c>
      <c r="L106" s="29" t="str">
        <f aca="false">IF(OR(G106="",H106=""),"",SUMIFS(H$6:H105,AA$6:AA105,AA106,G$6:G105,G106))</f>
        <v/>
      </c>
      <c r="M106" s="29" t="str">
        <f aca="false">IF(OR(G106="",H106=""),"",SUMIFS(H$6:H105,AA$6:AA105,AA106,G$6:G105,G106,N$6:N105,0))</f>
        <v/>
      </c>
      <c r="N106" s="29" t="str">
        <f aca="false">IF(OR(G106="",H106=""),"",IFERROR(IF(INDEX('TDS Rates'!$F$6:$F$40,MATCH(G106,'TDS Rates'!$B$6:$B$40,0))="NONE",H106,IF(INDEX('TDS Rates'!$F$6:$F$40,MATCH(G106,'TDS Rates'!$B$6:$B$40,0))="PER",IF(H106&gt;INDEX('TDS Rates'!$G$6:$G$40,MATCH(G106,'TDS Rates'!$B$6:$B$40,0)),H106,0),IF(INDEX('TDS Rates'!$F$6:$F$40,MATCH(G106,'TDS Rates'!$B$6:$B$40,0))="EXCESS",MAX(0,L106+H106-INDEX('TDS Rates'!$H$6:$H$40,MATCH(G106,'TDS Rates'!$B$6:$B$40,0)))-MAX(0,L106-INDEX('TDS Rates'!$H$6:$H$40,MATCH(G106,'TDS Rates'!$B$6:$B$40,0))),IF(INDEX('TDS Rates'!$F$6:$F$40,MATCH(G106,'TDS Rates'!$B$6:$B$40,0))="SA",IF(L106+H106&gt;INDEX('TDS Rates'!$H$6:$H$40,MATCH(G106,'TDS Rates'!$B$6:$B$40,0)),H106+M106,IF(H106&gt;INDEX('TDS Rates'!$G$6:$G$40,MATCH(G106,'TDS Rates'!$B$6:$B$40,0)),H106,0)),IF(L106+H106&gt;INDEX('TDS Rates'!$H$6:$H$40,MATCH(G106,'TDS Rates'!$B$6:$B$40,0)),H106+M106,0))))),0))</f>
        <v/>
      </c>
      <c r="O106" s="33" t="str">
        <f aca="false">IF(OR(G106="",H106=""),"",IFERROR(IF(F106="No",IF(INDEX('TDS Rates'!$C$6:$C$40,MATCH(G106,'TDS Rates'!$B$6:$B$40,0))="194Q",Settings!$C$14,MAX(Settings!$C$13,IF(E106="Individual / HUF",INDEX('TDS Rates'!$I$6:$I$40,MATCH(G106,'TDS Rates'!$B$6:$B$40,0)),IF(E106="Company",INDEX('TDS Rates'!$J$6:$J$40,MATCH(G106,'TDS Rates'!$B$6:$B$40,0)),INDEX('TDS Rates'!$K$6:$K$40,MATCH(G106,'TDS Rates'!$B$6:$B$40,0)))))),IF(E106="Individual / HUF",INDEX('TDS Rates'!$I$6:$I$40,MATCH(G106,'TDS Rates'!$B$6:$B$40,0)),IF(E106="Company",INDEX('TDS Rates'!$J$6:$J$40,MATCH(G106,'TDS Rates'!$B$6:$B$40,0)),INDEX('TDS Rates'!$K$6:$K$40,MATCH(G106,'TDS Rates'!$B$6:$B$40,0))))),0))</f>
        <v/>
      </c>
      <c r="P106" s="34" t="str">
        <f aca="false">IF(OR(G106="",H106=""),"",ROUND(N106*O106,0))</f>
        <v/>
      </c>
      <c r="Q106" s="27" t="str">
        <f aca="false">IF(OR(G106="",H106=""),"",IFERROR(IF(INDEX('TDS Rates'!$E$6:$E$40,MATCH(G106,'TDS Rates'!$B$6:$B$40,0))="Form 141",EOMONTH(IF(R106="",B106,R106),0)+30,IF(MONTH(IF(R106="",B106,R106))=3,DATE(YEAR(IF(R106="",B106,R106)),4,30),DATE(YEAR(IF(R106="",B106,R106)),MONTH(IF(R106="",B106,R106))+1,7))),""))</f>
        <v/>
      </c>
      <c r="R106" s="17"/>
      <c r="S106" s="17"/>
      <c r="T106" s="5"/>
      <c r="U106" s="28" t="str">
        <f aca="false">IF(OR(G106="",H106=""),"",IF(P106=0,0,IF(IF(R106="",Settings!$C$9,R106)&lt;=B106,0,((YEAR(IF(R106="",Settings!$C$9,R106))-YEAR(B106))*12+MONTH(IF(R106="",Settings!$C$9,R106))-MONTH(B106)+1))))</f>
        <v/>
      </c>
      <c r="V106" s="29" t="str">
        <f aca="false">IF(OR(G106="",H106=""),"",ROUND(P106*Settings!$C$10*U106,0))</f>
        <v/>
      </c>
      <c r="W106" s="28" t="str">
        <f aca="false">IF(OR(G106="",H106=""),"",IF(OR(P106=0,R106=""),0,IF(IF(S106="",Settings!$C$9,S106)&lt;=Q106,0,((YEAR(IF(S106="",Settings!$C$9,S106))-YEAR(R106))*12+MONTH(IF(S106="",Settings!$C$9,S106))-MONTH(R106)+1))))</f>
        <v/>
      </c>
      <c r="X106" s="29" t="str">
        <f aca="false">IF(OR(G106="",H106=""),"",ROUND(P106*Settings!$C$11*W106,0))</f>
        <v/>
      </c>
      <c r="Y106" s="29" t="str">
        <f aca="false">IF(OR(G106="",H106=""),"",V106+X106)</f>
        <v/>
      </c>
      <c r="Z106" s="7" t="str">
        <f aca="false">IF(OR(G106="",H106=""),"",IF(P106=0,"Below threshold",IF(R106="","Not yet deducted",IF(S106="",IF(Settings!$C$9&gt;Q106,"Overdue — pay now","Deducted, due "&amp;TEXT(Q106,"dd-mmm")),IF(S106&lt;=Q106,IF(N(U106)&gt;0,"Deducted late, paid on time","Paid on time"),"Paid late")))))</f>
        <v/>
      </c>
      <c r="AA106" s="35" t="str">
        <f aca="false">IF(OR(G106="",H106=""),"",IF(D106&lt;&gt;"",UPPER(TRIM(D106)),UPPER(TRIM(C106))))</f>
        <v/>
      </c>
    </row>
    <row r="107" customFormat="false" ht="15" hidden="false" customHeight="false" outlineLevel="0" collapsed="false">
      <c r="B107" s="17"/>
      <c r="C107" s="5"/>
      <c r="D107" s="5"/>
      <c r="E107" s="5"/>
      <c r="F107" s="5"/>
      <c r="G107" s="5"/>
      <c r="H107" s="16"/>
      <c r="I107" s="7" t="str">
        <f aca="false">IF(OR(G107="",H107=""),"",IFERROR(INDEX('TDS Rates'!$D$6:$D$40,MATCH(G107,'TDS Rates'!$B$6:$B$40,0)),"Check nature"))</f>
        <v/>
      </c>
      <c r="J107" s="7" t="str">
        <f aca="false">IF(OR(G107="",H107=""),"",IFERROR(INDEX('TDS Rates'!$C$6:$C$40,MATCH(G107,'TDS Rates'!$B$6:$B$40,0)),""))</f>
        <v/>
      </c>
      <c r="K107" s="7" t="str">
        <f aca="false">IF(OR(G107="",H107=""),"",IFERROR(INDEX('TDS Rates'!$E$6:$E$40,MATCH(G107,'TDS Rates'!$B$6:$B$40,0)),""))</f>
        <v/>
      </c>
      <c r="L107" s="29" t="str">
        <f aca="false">IF(OR(G107="",H107=""),"",SUMIFS(H$6:H106,AA$6:AA106,AA107,G$6:G106,G107))</f>
        <v/>
      </c>
      <c r="M107" s="29" t="str">
        <f aca="false">IF(OR(G107="",H107=""),"",SUMIFS(H$6:H106,AA$6:AA106,AA107,G$6:G106,G107,N$6:N106,0))</f>
        <v/>
      </c>
      <c r="N107" s="29" t="str">
        <f aca="false">IF(OR(G107="",H107=""),"",IFERROR(IF(INDEX('TDS Rates'!$F$6:$F$40,MATCH(G107,'TDS Rates'!$B$6:$B$40,0))="NONE",H107,IF(INDEX('TDS Rates'!$F$6:$F$40,MATCH(G107,'TDS Rates'!$B$6:$B$40,0))="PER",IF(H107&gt;INDEX('TDS Rates'!$G$6:$G$40,MATCH(G107,'TDS Rates'!$B$6:$B$40,0)),H107,0),IF(INDEX('TDS Rates'!$F$6:$F$40,MATCH(G107,'TDS Rates'!$B$6:$B$40,0))="EXCESS",MAX(0,L107+H107-INDEX('TDS Rates'!$H$6:$H$40,MATCH(G107,'TDS Rates'!$B$6:$B$40,0)))-MAX(0,L107-INDEX('TDS Rates'!$H$6:$H$40,MATCH(G107,'TDS Rates'!$B$6:$B$40,0))),IF(INDEX('TDS Rates'!$F$6:$F$40,MATCH(G107,'TDS Rates'!$B$6:$B$40,0))="SA",IF(L107+H107&gt;INDEX('TDS Rates'!$H$6:$H$40,MATCH(G107,'TDS Rates'!$B$6:$B$40,0)),H107+M107,IF(H107&gt;INDEX('TDS Rates'!$G$6:$G$40,MATCH(G107,'TDS Rates'!$B$6:$B$40,0)),H107,0)),IF(L107+H107&gt;INDEX('TDS Rates'!$H$6:$H$40,MATCH(G107,'TDS Rates'!$B$6:$B$40,0)),H107+M107,0))))),0))</f>
        <v/>
      </c>
      <c r="O107" s="33" t="str">
        <f aca="false">IF(OR(G107="",H107=""),"",IFERROR(IF(F107="No",IF(INDEX('TDS Rates'!$C$6:$C$40,MATCH(G107,'TDS Rates'!$B$6:$B$40,0))="194Q",Settings!$C$14,MAX(Settings!$C$13,IF(E107="Individual / HUF",INDEX('TDS Rates'!$I$6:$I$40,MATCH(G107,'TDS Rates'!$B$6:$B$40,0)),IF(E107="Company",INDEX('TDS Rates'!$J$6:$J$40,MATCH(G107,'TDS Rates'!$B$6:$B$40,0)),INDEX('TDS Rates'!$K$6:$K$40,MATCH(G107,'TDS Rates'!$B$6:$B$40,0)))))),IF(E107="Individual / HUF",INDEX('TDS Rates'!$I$6:$I$40,MATCH(G107,'TDS Rates'!$B$6:$B$40,0)),IF(E107="Company",INDEX('TDS Rates'!$J$6:$J$40,MATCH(G107,'TDS Rates'!$B$6:$B$40,0)),INDEX('TDS Rates'!$K$6:$K$40,MATCH(G107,'TDS Rates'!$B$6:$B$40,0))))),0))</f>
        <v/>
      </c>
      <c r="P107" s="34" t="str">
        <f aca="false">IF(OR(G107="",H107=""),"",ROUND(N107*O107,0))</f>
        <v/>
      </c>
      <c r="Q107" s="27" t="str">
        <f aca="false">IF(OR(G107="",H107=""),"",IFERROR(IF(INDEX('TDS Rates'!$E$6:$E$40,MATCH(G107,'TDS Rates'!$B$6:$B$40,0))="Form 141",EOMONTH(IF(R107="",B107,R107),0)+30,IF(MONTH(IF(R107="",B107,R107))=3,DATE(YEAR(IF(R107="",B107,R107)),4,30),DATE(YEAR(IF(R107="",B107,R107)),MONTH(IF(R107="",B107,R107))+1,7))),""))</f>
        <v/>
      </c>
      <c r="R107" s="17"/>
      <c r="S107" s="17"/>
      <c r="T107" s="5"/>
      <c r="U107" s="28" t="str">
        <f aca="false">IF(OR(G107="",H107=""),"",IF(P107=0,0,IF(IF(R107="",Settings!$C$9,R107)&lt;=B107,0,((YEAR(IF(R107="",Settings!$C$9,R107))-YEAR(B107))*12+MONTH(IF(R107="",Settings!$C$9,R107))-MONTH(B107)+1))))</f>
        <v/>
      </c>
      <c r="V107" s="29" t="str">
        <f aca="false">IF(OR(G107="",H107=""),"",ROUND(P107*Settings!$C$10*U107,0))</f>
        <v/>
      </c>
      <c r="W107" s="28" t="str">
        <f aca="false">IF(OR(G107="",H107=""),"",IF(OR(P107=0,R107=""),0,IF(IF(S107="",Settings!$C$9,S107)&lt;=Q107,0,((YEAR(IF(S107="",Settings!$C$9,S107))-YEAR(R107))*12+MONTH(IF(S107="",Settings!$C$9,S107))-MONTH(R107)+1))))</f>
        <v/>
      </c>
      <c r="X107" s="29" t="str">
        <f aca="false">IF(OR(G107="",H107=""),"",ROUND(P107*Settings!$C$11*W107,0))</f>
        <v/>
      </c>
      <c r="Y107" s="29" t="str">
        <f aca="false">IF(OR(G107="",H107=""),"",V107+X107)</f>
        <v/>
      </c>
      <c r="Z107" s="7" t="str">
        <f aca="false">IF(OR(G107="",H107=""),"",IF(P107=0,"Below threshold",IF(R107="","Not yet deducted",IF(S107="",IF(Settings!$C$9&gt;Q107,"Overdue — pay now","Deducted, due "&amp;TEXT(Q107,"dd-mmm")),IF(S107&lt;=Q107,IF(N(U107)&gt;0,"Deducted late, paid on time","Paid on time"),"Paid late")))))</f>
        <v/>
      </c>
      <c r="AA107" s="35" t="str">
        <f aca="false">IF(OR(G107="",H107=""),"",IF(D107&lt;&gt;"",UPPER(TRIM(D107)),UPPER(TRIM(C107))))</f>
        <v/>
      </c>
    </row>
    <row r="108" customFormat="false" ht="15" hidden="false" customHeight="false" outlineLevel="0" collapsed="false">
      <c r="B108" s="17"/>
      <c r="C108" s="5"/>
      <c r="D108" s="5"/>
      <c r="E108" s="5"/>
      <c r="F108" s="5"/>
      <c r="G108" s="5"/>
      <c r="H108" s="16"/>
      <c r="I108" s="7" t="str">
        <f aca="false">IF(OR(G108="",H108=""),"",IFERROR(INDEX('TDS Rates'!$D$6:$D$40,MATCH(G108,'TDS Rates'!$B$6:$B$40,0)),"Check nature"))</f>
        <v/>
      </c>
      <c r="J108" s="7" t="str">
        <f aca="false">IF(OR(G108="",H108=""),"",IFERROR(INDEX('TDS Rates'!$C$6:$C$40,MATCH(G108,'TDS Rates'!$B$6:$B$40,0)),""))</f>
        <v/>
      </c>
      <c r="K108" s="7" t="str">
        <f aca="false">IF(OR(G108="",H108=""),"",IFERROR(INDEX('TDS Rates'!$E$6:$E$40,MATCH(G108,'TDS Rates'!$B$6:$B$40,0)),""))</f>
        <v/>
      </c>
      <c r="L108" s="29" t="str">
        <f aca="false">IF(OR(G108="",H108=""),"",SUMIFS(H$6:H107,AA$6:AA107,AA108,G$6:G107,G108))</f>
        <v/>
      </c>
      <c r="M108" s="29" t="str">
        <f aca="false">IF(OR(G108="",H108=""),"",SUMIFS(H$6:H107,AA$6:AA107,AA108,G$6:G107,G108,N$6:N107,0))</f>
        <v/>
      </c>
      <c r="N108" s="29" t="str">
        <f aca="false">IF(OR(G108="",H108=""),"",IFERROR(IF(INDEX('TDS Rates'!$F$6:$F$40,MATCH(G108,'TDS Rates'!$B$6:$B$40,0))="NONE",H108,IF(INDEX('TDS Rates'!$F$6:$F$40,MATCH(G108,'TDS Rates'!$B$6:$B$40,0))="PER",IF(H108&gt;INDEX('TDS Rates'!$G$6:$G$40,MATCH(G108,'TDS Rates'!$B$6:$B$40,0)),H108,0),IF(INDEX('TDS Rates'!$F$6:$F$40,MATCH(G108,'TDS Rates'!$B$6:$B$40,0))="EXCESS",MAX(0,L108+H108-INDEX('TDS Rates'!$H$6:$H$40,MATCH(G108,'TDS Rates'!$B$6:$B$40,0)))-MAX(0,L108-INDEX('TDS Rates'!$H$6:$H$40,MATCH(G108,'TDS Rates'!$B$6:$B$40,0))),IF(INDEX('TDS Rates'!$F$6:$F$40,MATCH(G108,'TDS Rates'!$B$6:$B$40,0))="SA",IF(L108+H108&gt;INDEX('TDS Rates'!$H$6:$H$40,MATCH(G108,'TDS Rates'!$B$6:$B$40,0)),H108+M108,IF(H108&gt;INDEX('TDS Rates'!$G$6:$G$40,MATCH(G108,'TDS Rates'!$B$6:$B$40,0)),H108,0)),IF(L108+H108&gt;INDEX('TDS Rates'!$H$6:$H$40,MATCH(G108,'TDS Rates'!$B$6:$B$40,0)),H108+M108,0))))),0))</f>
        <v/>
      </c>
      <c r="O108" s="33" t="str">
        <f aca="false">IF(OR(G108="",H108=""),"",IFERROR(IF(F108="No",IF(INDEX('TDS Rates'!$C$6:$C$40,MATCH(G108,'TDS Rates'!$B$6:$B$40,0))="194Q",Settings!$C$14,MAX(Settings!$C$13,IF(E108="Individual / HUF",INDEX('TDS Rates'!$I$6:$I$40,MATCH(G108,'TDS Rates'!$B$6:$B$40,0)),IF(E108="Company",INDEX('TDS Rates'!$J$6:$J$40,MATCH(G108,'TDS Rates'!$B$6:$B$40,0)),INDEX('TDS Rates'!$K$6:$K$40,MATCH(G108,'TDS Rates'!$B$6:$B$40,0)))))),IF(E108="Individual / HUF",INDEX('TDS Rates'!$I$6:$I$40,MATCH(G108,'TDS Rates'!$B$6:$B$40,0)),IF(E108="Company",INDEX('TDS Rates'!$J$6:$J$40,MATCH(G108,'TDS Rates'!$B$6:$B$40,0)),INDEX('TDS Rates'!$K$6:$K$40,MATCH(G108,'TDS Rates'!$B$6:$B$40,0))))),0))</f>
        <v/>
      </c>
      <c r="P108" s="34" t="str">
        <f aca="false">IF(OR(G108="",H108=""),"",ROUND(N108*O108,0))</f>
        <v/>
      </c>
      <c r="Q108" s="27" t="str">
        <f aca="false">IF(OR(G108="",H108=""),"",IFERROR(IF(INDEX('TDS Rates'!$E$6:$E$40,MATCH(G108,'TDS Rates'!$B$6:$B$40,0))="Form 141",EOMONTH(IF(R108="",B108,R108),0)+30,IF(MONTH(IF(R108="",B108,R108))=3,DATE(YEAR(IF(R108="",B108,R108)),4,30),DATE(YEAR(IF(R108="",B108,R108)),MONTH(IF(R108="",B108,R108))+1,7))),""))</f>
        <v/>
      </c>
      <c r="R108" s="17"/>
      <c r="S108" s="17"/>
      <c r="T108" s="5"/>
      <c r="U108" s="28" t="str">
        <f aca="false">IF(OR(G108="",H108=""),"",IF(P108=0,0,IF(IF(R108="",Settings!$C$9,R108)&lt;=B108,0,((YEAR(IF(R108="",Settings!$C$9,R108))-YEAR(B108))*12+MONTH(IF(R108="",Settings!$C$9,R108))-MONTH(B108)+1))))</f>
        <v/>
      </c>
      <c r="V108" s="29" t="str">
        <f aca="false">IF(OR(G108="",H108=""),"",ROUND(P108*Settings!$C$10*U108,0))</f>
        <v/>
      </c>
      <c r="W108" s="28" t="str">
        <f aca="false">IF(OR(G108="",H108=""),"",IF(OR(P108=0,R108=""),0,IF(IF(S108="",Settings!$C$9,S108)&lt;=Q108,0,((YEAR(IF(S108="",Settings!$C$9,S108))-YEAR(R108))*12+MONTH(IF(S108="",Settings!$C$9,S108))-MONTH(R108)+1))))</f>
        <v/>
      </c>
      <c r="X108" s="29" t="str">
        <f aca="false">IF(OR(G108="",H108=""),"",ROUND(P108*Settings!$C$11*W108,0))</f>
        <v/>
      </c>
      <c r="Y108" s="29" t="str">
        <f aca="false">IF(OR(G108="",H108=""),"",V108+X108)</f>
        <v/>
      </c>
      <c r="Z108" s="7" t="str">
        <f aca="false">IF(OR(G108="",H108=""),"",IF(P108=0,"Below threshold",IF(R108="","Not yet deducted",IF(S108="",IF(Settings!$C$9&gt;Q108,"Overdue — pay now","Deducted, due "&amp;TEXT(Q108,"dd-mmm")),IF(S108&lt;=Q108,IF(N(U108)&gt;0,"Deducted late, paid on time","Paid on time"),"Paid late")))))</f>
        <v/>
      </c>
      <c r="AA108" s="35" t="str">
        <f aca="false">IF(OR(G108="",H108=""),"",IF(D108&lt;&gt;"",UPPER(TRIM(D108)),UPPER(TRIM(C108))))</f>
        <v/>
      </c>
    </row>
    <row r="109" customFormat="false" ht="15" hidden="false" customHeight="false" outlineLevel="0" collapsed="false">
      <c r="B109" s="17"/>
      <c r="C109" s="5"/>
      <c r="D109" s="5"/>
      <c r="E109" s="5"/>
      <c r="F109" s="5"/>
      <c r="G109" s="5"/>
      <c r="H109" s="16"/>
      <c r="I109" s="7" t="str">
        <f aca="false">IF(OR(G109="",H109=""),"",IFERROR(INDEX('TDS Rates'!$D$6:$D$40,MATCH(G109,'TDS Rates'!$B$6:$B$40,0)),"Check nature"))</f>
        <v/>
      </c>
      <c r="J109" s="7" t="str">
        <f aca="false">IF(OR(G109="",H109=""),"",IFERROR(INDEX('TDS Rates'!$C$6:$C$40,MATCH(G109,'TDS Rates'!$B$6:$B$40,0)),""))</f>
        <v/>
      </c>
      <c r="K109" s="7" t="str">
        <f aca="false">IF(OR(G109="",H109=""),"",IFERROR(INDEX('TDS Rates'!$E$6:$E$40,MATCH(G109,'TDS Rates'!$B$6:$B$40,0)),""))</f>
        <v/>
      </c>
      <c r="L109" s="29" t="str">
        <f aca="false">IF(OR(G109="",H109=""),"",SUMIFS(H$6:H108,AA$6:AA108,AA109,G$6:G108,G109))</f>
        <v/>
      </c>
      <c r="M109" s="29" t="str">
        <f aca="false">IF(OR(G109="",H109=""),"",SUMIFS(H$6:H108,AA$6:AA108,AA109,G$6:G108,G109,N$6:N108,0))</f>
        <v/>
      </c>
      <c r="N109" s="29" t="str">
        <f aca="false">IF(OR(G109="",H109=""),"",IFERROR(IF(INDEX('TDS Rates'!$F$6:$F$40,MATCH(G109,'TDS Rates'!$B$6:$B$40,0))="NONE",H109,IF(INDEX('TDS Rates'!$F$6:$F$40,MATCH(G109,'TDS Rates'!$B$6:$B$40,0))="PER",IF(H109&gt;INDEX('TDS Rates'!$G$6:$G$40,MATCH(G109,'TDS Rates'!$B$6:$B$40,0)),H109,0),IF(INDEX('TDS Rates'!$F$6:$F$40,MATCH(G109,'TDS Rates'!$B$6:$B$40,0))="EXCESS",MAX(0,L109+H109-INDEX('TDS Rates'!$H$6:$H$40,MATCH(G109,'TDS Rates'!$B$6:$B$40,0)))-MAX(0,L109-INDEX('TDS Rates'!$H$6:$H$40,MATCH(G109,'TDS Rates'!$B$6:$B$40,0))),IF(INDEX('TDS Rates'!$F$6:$F$40,MATCH(G109,'TDS Rates'!$B$6:$B$40,0))="SA",IF(L109+H109&gt;INDEX('TDS Rates'!$H$6:$H$40,MATCH(G109,'TDS Rates'!$B$6:$B$40,0)),H109+M109,IF(H109&gt;INDEX('TDS Rates'!$G$6:$G$40,MATCH(G109,'TDS Rates'!$B$6:$B$40,0)),H109,0)),IF(L109+H109&gt;INDEX('TDS Rates'!$H$6:$H$40,MATCH(G109,'TDS Rates'!$B$6:$B$40,0)),H109+M109,0))))),0))</f>
        <v/>
      </c>
      <c r="O109" s="33" t="str">
        <f aca="false">IF(OR(G109="",H109=""),"",IFERROR(IF(F109="No",IF(INDEX('TDS Rates'!$C$6:$C$40,MATCH(G109,'TDS Rates'!$B$6:$B$40,0))="194Q",Settings!$C$14,MAX(Settings!$C$13,IF(E109="Individual / HUF",INDEX('TDS Rates'!$I$6:$I$40,MATCH(G109,'TDS Rates'!$B$6:$B$40,0)),IF(E109="Company",INDEX('TDS Rates'!$J$6:$J$40,MATCH(G109,'TDS Rates'!$B$6:$B$40,0)),INDEX('TDS Rates'!$K$6:$K$40,MATCH(G109,'TDS Rates'!$B$6:$B$40,0)))))),IF(E109="Individual / HUF",INDEX('TDS Rates'!$I$6:$I$40,MATCH(G109,'TDS Rates'!$B$6:$B$40,0)),IF(E109="Company",INDEX('TDS Rates'!$J$6:$J$40,MATCH(G109,'TDS Rates'!$B$6:$B$40,0)),INDEX('TDS Rates'!$K$6:$K$40,MATCH(G109,'TDS Rates'!$B$6:$B$40,0))))),0))</f>
        <v/>
      </c>
      <c r="P109" s="34" t="str">
        <f aca="false">IF(OR(G109="",H109=""),"",ROUND(N109*O109,0))</f>
        <v/>
      </c>
      <c r="Q109" s="27" t="str">
        <f aca="false">IF(OR(G109="",H109=""),"",IFERROR(IF(INDEX('TDS Rates'!$E$6:$E$40,MATCH(G109,'TDS Rates'!$B$6:$B$40,0))="Form 141",EOMONTH(IF(R109="",B109,R109),0)+30,IF(MONTH(IF(R109="",B109,R109))=3,DATE(YEAR(IF(R109="",B109,R109)),4,30),DATE(YEAR(IF(R109="",B109,R109)),MONTH(IF(R109="",B109,R109))+1,7))),""))</f>
        <v/>
      </c>
      <c r="R109" s="17"/>
      <c r="S109" s="17"/>
      <c r="T109" s="5"/>
      <c r="U109" s="28" t="str">
        <f aca="false">IF(OR(G109="",H109=""),"",IF(P109=0,0,IF(IF(R109="",Settings!$C$9,R109)&lt;=B109,0,((YEAR(IF(R109="",Settings!$C$9,R109))-YEAR(B109))*12+MONTH(IF(R109="",Settings!$C$9,R109))-MONTH(B109)+1))))</f>
        <v/>
      </c>
      <c r="V109" s="29" t="str">
        <f aca="false">IF(OR(G109="",H109=""),"",ROUND(P109*Settings!$C$10*U109,0))</f>
        <v/>
      </c>
      <c r="W109" s="28" t="str">
        <f aca="false">IF(OR(G109="",H109=""),"",IF(OR(P109=0,R109=""),0,IF(IF(S109="",Settings!$C$9,S109)&lt;=Q109,0,((YEAR(IF(S109="",Settings!$C$9,S109))-YEAR(R109))*12+MONTH(IF(S109="",Settings!$C$9,S109))-MONTH(R109)+1))))</f>
        <v/>
      </c>
      <c r="X109" s="29" t="str">
        <f aca="false">IF(OR(G109="",H109=""),"",ROUND(P109*Settings!$C$11*W109,0))</f>
        <v/>
      </c>
      <c r="Y109" s="29" t="str">
        <f aca="false">IF(OR(G109="",H109=""),"",V109+X109)</f>
        <v/>
      </c>
      <c r="Z109" s="7" t="str">
        <f aca="false">IF(OR(G109="",H109=""),"",IF(P109=0,"Below threshold",IF(R109="","Not yet deducted",IF(S109="",IF(Settings!$C$9&gt;Q109,"Overdue — pay now","Deducted, due "&amp;TEXT(Q109,"dd-mmm")),IF(S109&lt;=Q109,IF(N(U109)&gt;0,"Deducted late, paid on time","Paid on time"),"Paid late")))))</f>
        <v/>
      </c>
      <c r="AA109" s="35" t="str">
        <f aca="false">IF(OR(G109="",H109=""),"",IF(D109&lt;&gt;"",UPPER(TRIM(D109)),UPPER(TRIM(C109))))</f>
        <v/>
      </c>
    </row>
    <row r="110" customFormat="false" ht="15" hidden="false" customHeight="false" outlineLevel="0" collapsed="false">
      <c r="B110" s="17"/>
      <c r="C110" s="5"/>
      <c r="D110" s="5"/>
      <c r="E110" s="5"/>
      <c r="F110" s="5"/>
      <c r="G110" s="5"/>
      <c r="H110" s="16"/>
      <c r="I110" s="7" t="str">
        <f aca="false">IF(OR(G110="",H110=""),"",IFERROR(INDEX('TDS Rates'!$D$6:$D$40,MATCH(G110,'TDS Rates'!$B$6:$B$40,0)),"Check nature"))</f>
        <v/>
      </c>
      <c r="J110" s="7" t="str">
        <f aca="false">IF(OR(G110="",H110=""),"",IFERROR(INDEX('TDS Rates'!$C$6:$C$40,MATCH(G110,'TDS Rates'!$B$6:$B$40,0)),""))</f>
        <v/>
      </c>
      <c r="K110" s="7" t="str">
        <f aca="false">IF(OR(G110="",H110=""),"",IFERROR(INDEX('TDS Rates'!$E$6:$E$40,MATCH(G110,'TDS Rates'!$B$6:$B$40,0)),""))</f>
        <v/>
      </c>
      <c r="L110" s="29" t="str">
        <f aca="false">IF(OR(G110="",H110=""),"",SUMIFS(H$6:H109,AA$6:AA109,AA110,G$6:G109,G110))</f>
        <v/>
      </c>
      <c r="M110" s="29" t="str">
        <f aca="false">IF(OR(G110="",H110=""),"",SUMIFS(H$6:H109,AA$6:AA109,AA110,G$6:G109,G110,N$6:N109,0))</f>
        <v/>
      </c>
      <c r="N110" s="29" t="str">
        <f aca="false">IF(OR(G110="",H110=""),"",IFERROR(IF(INDEX('TDS Rates'!$F$6:$F$40,MATCH(G110,'TDS Rates'!$B$6:$B$40,0))="NONE",H110,IF(INDEX('TDS Rates'!$F$6:$F$40,MATCH(G110,'TDS Rates'!$B$6:$B$40,0))="PER",IF(H110&gt;INDEX('TDS Rates'!$G$6:$G$40,MATCH(G110,'TDS Rates'!$B$6:$B$40,0)),H110,0),IF(INDEX('TDS Rates'!$F$6:$F$40,MATCH(G110,'TDS Rates'!$B$6:$B$40,0))="EXCESS",MAX(0,L110+H110-INDEX('TDS Rates'!$H$6:$H$40,MATCH(G110,'TDS Rates'!$B$6:$B$40,0)))-MAX(0,L110-INDEX('TDS Rates'!$H$6:$H$40,MATCH(G110,'TDS Rates'!$B$6:$B$40,0))),IF(INDEX('TDS Rates'!$F$6:$F$40,MATCH(G110,'TDS Rates'!$B$6:$B$40,0))="SA",IF(L110+H110&gt;INDEX('TDS Rates'!$H$6:$H$40,MATCH(G110,'TDS Rates'!$B$6:$B$40,0)),H110+M110,IF(H110&gt;INDEX('TDS Rates'!$G$6:$G$40,MATCH(G110,'TDS Rates'!$B$6:$B$40,0)),H110,0)),IF(L110+H110&gt;INDEX('TDS Rates'!$H$6:$H$40,MATCH(G110,'TDS Rates'!$B$6:$B$40,0)),H110+M110,0))))),0))</f>
        <v/>
      </c>
      <c r="O110" s="33" t="str">
        <f aca="false">IF(OR(G110="",H110=""),"",IFERROR(IF(F110="No",IF(INDEX('TDS Rates'!$C$6:$C$40,MATCH(G110,'TDS Rates'!$B$6:$B$40,0))="194Q",Settings!$C$14,MAX(Settings!$C$13,IF(E110="Individual / HUF",INDEX('TDS Rates'!$I$6:$I$40,MATCH(G110,'TDS Rates'!$B$6:$B$40,0)),IF(E110="Company",INDEX('TDS Rates'!$J$6:$J$40,MATCH(G110,'TDS Rates'!$B$6:$B$40,0)),INDEX('TDS Rates'!$K$6:$K$40,MATCH(G110,'TDS Rates'!$B$6:$B$40,0)))))),IF(E110="Individual / HUF",INDEX('TDS Rates'!$I$6:$I$40,MATCH(G110,'TDS Rates'!$B$6:$B$40,0)),IF(E110="Company",INDEX('TDS Rates'!$J$6:$J$40,MATCH(G110,'TDS Rates'!$B$6:$B$40,0)),INDEX('TDS Rates'!$K$6:$K$40,MATCH(G110,'TDS Rates'!$B$6:$B$40,0))))),0))</f>
        <v/>
      </c>
      <c r="P110" s="34" t="str">
        <f aca="false">IF(OR(G110="",H110=""),"",ROUND(N110*O110,0))</f>
        <v/>
      </c>
      <c r="Q110" s="27" t="str">
        <f aca="false">IF(OR(G110="",H110=""),"",IFERROR(IF(INDEX('TDS Rates'!$E$6:$E$40,MATCH(G110,'TDS Rates'!$B$6:$B$40,0))="Form 141",EOMONTH(IF(R110="",B110,R110),0)+30,IF(MONTH(IF(R110="",B110,R110))=3,DATE(YEAR(IF(R110="",B110,R110)),4,30),DATE(YEAR(IF(R110="",B110,R110)),MONTH(IF(R110="",B110,R110))+1,7))),""))</f>
        <v/>
      </c>
      <c r="R110" s="17"/>
      <c r="S110" s="17"/>
      <c r="T110" s="5"/>
      <c r="U110" s="28" t="str">
        <f aca="false">IF(OR(G110="",H110=""),"",IF(P110=0,0,IF(IF(R110="",Settings!$C$9,R110)&lt;=B110,0,((YEAR(IF(R110="",Settings!$C$9,R110))-YEAR(B110))*12+MONTH(IF(R110="",Settings!$C$9,R110))-MONTH(B110)+1))))</f>
        <v/>
      </c>
      <c r="V110" s="29" t="str">
        <f aca="false">IF(OR(G110="",H110=""),"",ROUND(P110*Settings!$C$10*U110,0))</f>
        <v/>
      </c>
      <c r="W110" s="28" t="str">
        <f aca="false">IF(OR(G110="",H110=""),"",IF(OR(P110=0,R110=""),0,IF(IF(S110="",Settings!$C$9,S110)&lt;=Q110,0,((YEAR(IF(S110="",Settings!$C$9,S110))-YEAR(R110))*12+MONTH(IF(S110="",Settings!$C$9,S110))-MONTH(R110)+1))))</f>
        <v/>
      </c>
      <c r="X110" s="29" t="str">
        <f aca="false">IF(OR(G110="",H110=""),"",ROUND(P110*Settings!$C$11*W110,0))</f>
        <v/>
      </c>
      <c r="Y110" s="29" t="str">
        <f aca="false">IF(OR(G110="",H110=""),"",V110+X110)</f>
        <v/>
      </c>
      <c r="Z110" s="7" t="str">
        <f aca="false">IF(OR(G110="",H110=""),"",IF(P110=0,"Below threshold",IF(R110="","Not yet deducted",IF(S110="",IF(Settings!$C$9&gt;Q110,"Overdue — pay now","Deducted, due "&amp;TEXT(Q110,"dd-mmm")),IF(S110&lt;=Q110,IF(N(U110)&gt;0,"Deducted late, paid on time","Paid on time"),"Paid late")))))</f>
        <v/>
      </c>
      <c r="AA110" s="35" t="str">
        <f aca="false">IF(OR(G110="",H110=""),"",IF(D110&lt;&gt;"",UPPER(TRIM(D110)),UPPER(TRIM(C110))))</f>
        <v/>
      </c>
    </row>
    <row r="111" customFormat="false" ht="15" hidden="false" customHeight="false" outlineLevel="0" collapsed="false">
      <c r="B111" s="17"/>
      <c r="C111" s="5"/>
      <c r="D111" s="5"/>
      <c r="E111" s="5"/>
      <c r="F111" s="5"/>
      <c r="G111" s="5"/>
      <c r="H111" s="16"/>
      <c r="I111" s="7" t="str">
        <f aca="false">IF(OR(G111="",H111=""),"",IFERROR(INDEX('TDS Rates'!$D$6:$D$40,MATCH(G111,'TDS Rates'!$B$6:$B$40,0)),"Check nature"))</f>
        <v/>
      </c>
      <c r="J111" s="7" t="str">
        <f aca="false">IF(OR(G111="",H111=""),"",IFERROR(INDEX('TDS Rates'!$C$6:$C$40,MATCH(G111,'TDS Rates'!$B$6:$B$40,0)),""))</f>
        <v/>
      </c>
      <c r="K111" s="7" t="str">
        <f aca="false">IF(OR(G111="",H111=""),"",IFERROR(INDEX('TDS Rates'!$E$6:$E$40,MATCH(G111,'TDS Rates'!$B$6:$B$40,0)),""))</f>
        <v/>
      </c>
      <c r="L111" s="29" t="str">
        <f aca="false">IF(OR(G111="",H111=""),"",SUMIFS(H$6:H110,AA$6:AA110,AA111,G$6:G110,G111))</f>
        <v/>
      </c>
      <c r="M111" s="29" t="str">
        <f aca="false">IF(OR(G111="",H111=""),"",SUMIFS(H$6:H110,AA$6:AA110,AA111,G$6:G110,G111,N$6:N110,0))</f>
        <v/>
      </c>
      <c r="N111" s="29" t="str">
        <f aca="false">IF(OR(G111="",H111=""),"",IFERROR(IF(INDEX('TDS Rates'!$F$6:$F$40,MATCH(G111,'TDS Rates'!$B$6:$B$40,0))="NONE",H111,IF(INDEX('TDS Rates'!$F$6:$F$40,MATCH(G111,'TDS Rates'!$B$6:$B$40,0))="PER",IF(H111&gt;INDEX('TDS Rates'!$G$6:$G$40,MATCH(G111,'TDS Rates'!$B$6:$B$40,0)),H111,0),IF(INDEX('TDS Rates'!$F$6:$F$40,MATCH(G111,'TDS Rates'!$B$6:$B$40,0))="EXCESS",MAX(0,L111+H111-INDEX('TDS Rates'!$H$6:$H$40,MATCH(G111,'TDS Rates'!$B$6:$B$40,0)))-MAX(0,L111-INDEX('TDS Rates'!$H$6:$H$40,MATCH(G111,'TDS Rates'!$B$6:$B$40,0))),IF(INDEX('TDS Rates'!$F$6:$F$40,MATCH(G111,'TDS Rates'!$B$6:$B$40,0))="SA",IF(L111+H111&gt;INDEX('TDS Rates'!$H$6:$H$40,MATCH(G111,'TDS Rates'!$B$6:$B$40,0)),H111+M111,IF(H111&gt;INDEX('TDS Rates'!$G$6:$G$40,MATCH(G111,'TDS Rates'!$B$6:$B$40,0)),H111,0)),IF(L111+H111&gt;INDEX('TDS Rates'!$H$6:$H$40,MATCH(G111,'TDS Rates'!$B$6:$B$40,0)),H111+M111,0))))),0))</f>
        <v/>
      </c>
      <c r="O111" s="33" t="str">
        <f aca="false">IF(OR(G111="",H111=""),"",IFERROR(IF(F111="No",IF(INDEX('TDS Rates'!$C$6:$C$40,MATCH(G111,'TDS Rates'!$B$6:$B$40,0))="194Q",Settings!$C$14,MAX(Settings!$C$13,IF(E111="Individual / HUF",INDEX('TDS Rates'!$I$6:$I$40,MATCH(G111,'TDS Rates'!$B$6:$B$40,0)),IF(E111="Company",INDEX('TDS Rates'!$J$6:$J$40,MATCH(G111,'TDS Rates'!$B$6:$B$40,0)),INDEX('TDS Rates'!$K$6:$K$40,MATCH(G111,'TDS Rates'!$B$6:$B$40,0)))))),IF(E111="Individual / HUF",INDEX('TDS Rates'!$I$6:$I$40,MATCH(G111,'TDS Rates'!$B$6:$B$40,0)),IF(E111="Company",INDEX('TDS Rates'!$J$6:$J$40,MATCH(G111,'TDS Rates'!$B$6:$B$40,0)),INDEX('TDS Rates'!$K$6:$K$40,MATCH(G111,'TDS Rates'!$B$6:$B$40,0))))),0))</f>
        <v/>
      </c>
      <c r="P111" s="34" t="str">
        <f aca="false">IF(OR(G111="",H111=""),"",ROUND(N111*O111,0))</f>
        <v/>
      </c>
      <c r="Q111" s="27" t="str">
        <f aca="false">IF(OR(G111="",H111=""),"",IFERROR(IF(INDEX('TDS Rates'!$E$6:$E$40,MATCH(G111,'TDS Rates'!$B$6:$B$40,0))="Form 141",EOMONTH(IF(R111="",B111,R111),0)+30,IF(MONTH(IF(R111="",B111,R111))=3,DATE(YEAR(IF(R111="",B111,R111)),4,30),DATE(YEAR(IF(R111="",B111,R111)),MONTH(IF(R111="",B111,R111))+1,7))),""))</f>
        <v/>
      </c>
      <c r="R111" s="17"/>
      <c r="S111" s="17"/>
      <c r="T111" s="5"/>
      <c r="U111" s="28" t="str">
        <f aca="false">IF(OR(G111="",H111=""),"",IF(P111=0,0,IF(IF(R111="",Settings!$C$9,R111)&lt;=B111,0,((YEAR(IF(R111="",Settings!$C$9,R111))-YEAR(B111))*12+MONTH(IF(R111="",Settings!$C$9,R111))-MONTH(B111)+1))))</f>
        <v/>
      </c>
      <c r="V111" s="29" t="str">
        <f aca="false">IF(OR(G111="",H111=""),"",ROUND(P111*Settings!$C$10*U111,0))</f>
        <v/>
      </c>
      <c r="W111" s="28" t="str">
        <f aca="false">IF(OR(G111="",H111=""),"",IF(OR(P111=0,R111=""),0,IF(IF(S111="",Settings!$C$9,S111)&lt;=Q111,0,((YEAR(IF(S111="",Settings!$C$9,S111))-YEAR(R111))*12+MONTH(IF(S111="",Settings!$C$9,S111))-MONTH(R111)+1))))</f>
        <v/>
      </c>
      <c r="X111" s="29" t="str">
        <f aca="false">IF(OR(G111="",H111=""),"",ROUND(P111*Settings!$C$11*W111,0))</f>
        <v/>
      </c>
      <c r="Y111" s="29" t="str">
        <f aca="false">IF(OR(G111="",H111=""),"",V111+X111)</f>
        <v/>
      </c>
      <c r="Z111" s="7" t="str">
        <f aca="false">IF(OR(G111="",H111=""),"",IF(P111=0,"Below threshold",IF(R111="","Not yet deducted",IF(S111="",IF(Settings!$C$9&gt;Q111,"Overdue — pay now","Deducted, due "&amp;TEXT(Q111,"dd-mmm")),IF(S111&lt;=Q111,IF(N(U111)&gt;0,"Deducted late, paid on time","Paid on time"),"Paid late")))))</f>
        <v/>
      </c>
      <c r="AA111" s="35" t="str">
        <f aca="false">IF(OR(G111="",H111=""),"",IF(D111&lt;&gt;"",UPPER(TRIM(D111)),UPPER(TRIM(C111))))</f>
        <v/>
      </c>
    </row>
    <row r="112" customFormat="false" ht="15" hidden="false" customHeight="false" outlineLevel="0" collapsed="false">
      <c r="B112" s="17"/>
      <c r="C112" s="5"/>
      <c r="D112" s="5"/>
      <c r="E112" s="5"/>
      <c r="F112" s="5"/>
      <c r="G112" s="5"/>
      <c r="H112" s="16"/>
      <c r="I112" s="7" t="str">
        <f aca="false">IF(OR(G112="",H112=""),"",IFERROR(INDEX('TDS Rates'!$D$6:$D$40,MATCH(G112,'TDS Rates'!$B$6:$B$40,0)),"Check nature"))</f>
        <v/>
      </c>
      <c r="J112" s="7" t="str">
        <f aca="false">IF(OR(G112="",H112=""),"",IFERROR(INDEX('TDS Rates'!$C$6:$C$40,MATCH(G112,'TDS Rates'!$B$6:$B$40,0)),""))</f>
        <v/>
      </c>
      <c r="K112" s="7" t="str">
        <f aca="false">IF(OR(G112="",H112=""),"",IFERROR(INDEX('TDS Rates'!$E$6:$E$40,MATCH(G112,'TDS Rates'!$B$6:$B$40,0)),""))</f>
        <v/>
      </c>
      <c r="L112" s="29" t="str">
        <f aca="false">IF(OR(G112="",H112=""),"",SUMIFS(H$6:H111,AA$6:AA111,AA112,G$6:G111,G112))</f>
        <v/>
      </c>
      <c r="M112" s="29" t="str">
        <f aca="false">IF(OR(G112="",H112=""),"",SUMIFS(H$6:H111,AA$6:AA111,AA112,G$6:G111,G112,N$6:N111,0))</f>
        <v/>
      </c>
      <c r="N112" s="29" t="str">
        <f aca="false">IF(OR(G112="",H112=""),"",IFERROR(IF(INDEX('TDS Rates'!$F$6:$F$40,MATCH(G112,'TDS Rates'!$B$6:$B$40,0))="NONE",H112,IF(INDEX('TDS Rates'!$F$6:$F$40,MATCH(G112,'TDS Rates'!$B$6:$B$40,0))="PER",IF(H112&gt;INDEX('TDS Rates'!$G$6:$G$40,MATCH(G112,'TDS Rates'!$B$6:$B$40,0)),H112,0),IF(INDEX('TDS Rates'!$F$6:$F$40,MATCH(G112,'TDS Rates'!$B$6:$B$40,0))="EXCESS",MAX(0,L112+H112-INDEX('TDS Rates'!$H$6:$H$40,MATCH(G112,'TDS Rates'!$B$6:$B$40,0)))-MAX(0,L112-INDEX('TDS Rates'!$H$6:$H$40,MATCH(G112,'TDS Rates'!$B$6:$B$40,0))),IF(INDEX('TDS Rates'!$F$6:$F$40,MATCH(G112,'TDS Rates'!$B$6:$B$40,0))="SA",IF(L112+H112&gt;INDEX('TDS Rates'!$H$6:$H$40,MATCH(G112,'TDS Rates'!$B$6:$B$40,0)),H112+M112,IF(H112&gt;INDEX('TDS Rates'!$G$6:$G$40,MATCH(G112,'TDS Rates'!$B$6:$B$40,0)),H112,0)),IF(L112+H112&gt;INDEX('TDS Rates'!$H$6:$H$40,MATCH(G112,'TDS Rates'!$B$6:$B$40,0)),H112+M112,0))))),0))</f>
        <v/>
      </c>
      <c r="O112" s="33" t="str">
        <f aca="false">IF(OR(G112="",H112=""),"",IFERROR(IF(F112="No",IF(INDEX('TDS Rates'!$C$6:$C$40,MATCH(G112,'TDS Rates'!$B$6:$B$40,0))="194Q",Settings!$C$14,MAX(Settings!$C$13,IF(E112="Individual / HUF",INDEX('TDS Rates'!$I$6:$I$40,MATCH(G112,'TDS Rates'!$B$6:$B$40,0)),IF(E112="Company",INDEX('TDS Rates'!$J$6:$J$40,MATCH(G112,'TDS Rates'!$B$6:$B$40,0)),INDEX('TDS Rates'!$K$6:$K$40,MATCH(G112,'TDS Rates'!$B$6:$B$40,0)))))),IF(E112="Individual / HUF",INDEX('TDS Rates'!$I$6:$I$40,MATCH(G112,'TDS Rates'!$B$6:$B$40,0)),IF(E112="Company",INDEX('TDS Rates'!$J$6:$J$40,MATCH(G112,'TDS Rates'!$B$6:$B$40,0)),INDEX('TDS Rates'!$K$6:$K$40,MATCH(G112,'TDS Rates'!$B$6:$B$40,0))))),0))</f>
        <v/>
      </c>
      <c r="P112" s="34" t="str">
        <f aca="false">IF(OR(G112="",H112=""),"",ROUND(N112*O112,0))</f>
        <v/>
      </c>
      <c r="Q112" s="27" t="str">
        <f aca="false">IF(OR(G112="",H112=""),"",IFERROR(IF(INDEX('TDS Rates'!$E$6:$E$40,MATCH(G112,'TDS Rates'!$B$6:$B$40,0))="Form 141",EOMONTH(IF(R112="",B112,R112),0)+30,IF(MONTH(IF(R112="",B112,R112))=3,DATE(YEAR(IF(R112="",B112,R112)),4,30),DATE(YEAR(IF(R112="",B112,R112)),MONTH(IF(R112="",B112,R112))+1,7))),""))</f>
        <v/>
      </c>
      <c r="R112" s="17"/>
      <c r="S112" s="17"/>
      <c r="T112" s="5"/>
      <c r="U112" s="28" t="str">
        <f aca="false">IF(OR(G112="",H112=""),"",IF(P112=0,0,IF(IF(R112="",Settings!$C$9,R112)&lt;=B112,0,((YEAR(IF(R112="",Settings!$C$9,R112))-YEAR(B112))*12+MONTH(IF(R112="",Settings!$C$9,R112))-MONTH(B112)+1))))</f>
        <v/>
      </c>
      <c r="V112" s="29" t="str">
        <f aca="false">IF(OR(G112="",H112=""),"",ROUND(P112*Settings!$C$10*U112,0))</f>
        <v/>
      </c>
      <c r="W112" s="28" t="str">
        <f aca="false">IF(OR(G112="",H112=""),"",IF(OR(P112=0,R112=""),0,IF(IF(S112="",Settings!$C$9,S112)&lt;=Q112,0,((YEAR(IF(S112="",Settings!$C$9,S112))-YEAR(R112))*12+MONTH(IF(S112="",Settings!$C$9,S112))-MONTH(R112)+1))))</f>
        <v/>
      </c>
      <c r="X112" s="29" t="str">
        <f aca="false">IF(OR(G112="",H112=""),"",ROUND(P112*Settings!$C$11*W112,0))</f>
        <v/>
      </c>
      <c r="Y112" s="29" t="str">
        <f aca="false">IF(OR(G112="",H112=""),"",V112+X112)</f>
        <v/>
      </c>
      <c r="Z112" s="7" t="str">
        <f aca="false">IF(OR(G112="",H112=""),"",IF(P112=0,"Below threshold",IF(R112="","Not yet deducted",IF(S112="",IF(Settings!$C$9&gt;Q112,"Overdue — pay now","Deducted, due "&amp;TEXT(Q112,"dd-mmm")),IF(S112&lt;=Q112,IF(N(U112)&gt;0,"Deducted late, paid on time","Paid on time"),"Paid late")))))</f>
        <v/>
      </c>
      <c r="AA112" s="35" t="str">
        <f aca="false">IF(OR(G112="",H112=""),"",IF(D112&lt;&gt;"",UPPER(TRIM(D112)),UPPER(TRIM(C112))))</f>
        <v/>
      </c>
    </row>
    <row r="113" customFormat="false" ht="15" hidden="false" customHeight="false" outlineLevel="0" collapsed="false">
      <c r="B113" s="17"/>
      <c r="C113" s="5"/>
      <c r="D113" s="5"/>
      <c r="E113" s="5"/>
      <c r="F113" s="5"/>
      <c r="G113" s="5"/>
      <c r="H113" s="16"/>
      <c r="I113" s="7" t="str">
        <f aca="false">IF(OR(G113="",H113=""),"",IFERROR(INDEX('TDS Rates'!$D$6:$D$40,MATCH(G113,'TDS Rates'!$B$6:$B$40,0)),"Check nature"))</f>
        <v/>
      </c>
      <c r="J113" s="7" t="str">
        <f aca="false">IF(OR(G113="",H113=""),"",IFERROR(INDEX('TDS Rates'!$C$6:$C$40,MATCH(G113,'TDS Rates'!$B$6:$B$40,0)),""))</f>
        <v/>
      </c>
      <c r="K113" s="7" t="str">
        <f aca="false">IF(OR(G113="",H113=""),"",IFERROR(INDEX('TDS Rates'!$E$6:$E$40,MATCH(G113,'TDS Rates'!$B$6:$B$40,0)),""))</f>
        <v/>
      </c>
      <c r="L113" s="29" t="str">
        <f aca="false">IF(OR(G113="",H113=""),"",SUMIFS(H$6:H112,AA$6:AA112,AA113,G$6:G112,G113))</f>
        <v/>
      </c>
      <c r="M113" s="29" t="str">
        <f aca="false">IF(OR(G113="",H113=""),"",SUMIFS(H$6:H112,AA$6:AA112,AA113,G$6:G112,G113,N$6:N112,0))</f>
        <v/>
      </c>
      <c r="N113" s="29" t="str">
        <f aca="false">IF(OR(G113="",H113=""),"",IFERROR(IF(INDEX('TDS Rates'!$F$6:$F$40,MATCH(G113,'TDS Rates'!$B$6:$B$40,0))="NONE",H113,IF(INDEX('TDS Rates'!$F$6:$F$40,MATCH(G113,'TDS Rates'!$B$6:$B$40,0))="PER",IF(H113&gt;INDEX('TDS Rates'!$G$6:$G$40,MATCH(G113,'TDS Rates'!$B$6:$B$40,0)),H113,0),IF(INDEX('TDS Rates'!$F$6:$F$40,MATCH(G113,'TDS Rates'!$B$6:$B$40,0))="EXCESS",MAX(0,L113+H113-INDEX('TDS Rates'!$H$6:$H$40,MATCH(G113,'TDS Rates'!$B$6:$B$40,0)))-MAX(0,L113-INDEX('TDS Rates'!$H$6:$H$40,MATCH(G113,'TDS Rates'!$B$6:$B$40,0))),IF(INDEX('TDS Rates'!$F$6:$F$40,MATCH(G113,'TDS Rates'!$B$6:$B$40,0))="SA",IF(L113+H113&gt;INDEX('TDS Rates'!$H$6:$H$40,MATCH(G113,'TDS Rates'!$B$6:$B$40,0)),H113+M113,IF(H113&gt;INDEX('TDS Rates'!$G$6:$G$40,MATCH(G113,'TDS Rates'!$B$6:$B$40,0)),H113,0)),IF(L113+H113&gt;INDEX('TDS Rates'!$H$6:$H$40,MATCH(G113,'TDS Rates'!$B$6:$B$40,0)),H113+M113,0))))),0))</f>
        <v/>
      </c>
      <c r="O113" s="33" t="str">
        <f aca="false">IF(OR(G113="",H113=""),"",IFERROR(IF(F113="No",IF(INDEX('TDS Rates'!$C$6:$C$40,MATCH(G113,'TDS Rates'!$B$6:$B$40,0))="194Q",Settings!$C$14,MAX(Settings!$C$13,IF(E113="Individual / HUF",INDEX('TDS Rates'!$I$6:$I$40,MATCH(G113,'TDS Rates'!$B$6:$B$40,0)),IF(E113="Company",INDEX('TDS Rates'!$J$6:$J$40,MATCH(G113,'TDS Rates'!$B$6:$B$40,0)),INDEX('TDS Rates'!$K$6:$K$40,MATCH(G113,'TDS Rates'!$B$6:$B$40,0)))))),IF(E113="Individual / HUF",INDEX('TDS Rates'!$I$6:$I$40,MATCH(G113,'TDS Rates'!$B$6:$B$40,0)),IF(E113="Company",INDEX('TDS Rates'!$J$6:$J$40,MATCH(G113,'TDS Rates'!$B$6:$B$40,0)),INDEX('TDS Rates'!$K$6:$K$40,MATCH(G113,'TDS Rates'!$B$6:$B$40,0))))),0))</f>
        <v/>
      </c>
      <c r="P113" s="34" t="str">
        <f aca="false">IF(OR(G113="",H113=""),"",ROUND(N113*O113,0))</f>
        <v/>
      </c>
      <c r="Q113" s="27" t="str">
        <f aca="false">IF(OR(G113="",H113=""),"",IFERROR(IF(INDEX('TDS Rates'!$E$6:$E$40,MATCH(G113,'TDS Rates'!$B$6:$B$40,0))="Form 141",EOMONTH(IF(R113="",B113,R113),0)+30,IF(MONTH(IF(R113="",B113,R113))=3,DATE(YEAR(IF(R113="",B113,R113)),4,30),DATE(YEAR(IF(R113="",B113,R113)),MONTH(IF(R113="",B113,R113))+1,7))),""))</f>
        <v/>
      </c>
      <c r="R113" s="17"/>
      <c r="S113" s="17"/>
      <c r="T113" s="5"/>
      <c r="U113" s="28" t="str">
        <f aca="false">IF(OR(G113="",H113=""),"",IF(P113=0,0,IF(IF(R113="",Settings!$C$9,R113)&lt;=B113,0,((YEAR(IF(R113="",Settings!$C$9,R113))-YEAR(B113))*12+MONTH(IF(R113="",Settings!$C$9,R113))-MONTH(B113)+1))))</f>
        <v/>
      </c>
      <c r="V113" s="29" t="str">
        <f aca="false">IF(OR(G113="",H113=""),"",ROUND(P113*Settings!$C$10*U113,0))</f>
        <v/>
      </c>
      <c r="W113" s="28" t="str">
        <f aca="false">IF(OR(G113="",H113=""),"",IF(OR(P113=0,R113=""),0,IF(IF(S113="",Settings!$C$9,S113)&lt;=Q113,0,((YEAR(IF(S113="",Settings!$C$9,S113))-YEAR(R113))*12+MONTH(IF(S113="",Settings!$C$9,S113))-MONTH(R113)+1))))</f>
        <v/>
      </c>
      <c r="X113" s="29" t="str">
        <f aca="false">IF(OR(G113="",H113=""),"",ROUND(P113*Settings!$C$11*W113,0))</f>
        <v/>
      </c>
      <c r="Y113" s="29" t="str">
        <f aca="false">IF(OR(G113="",H113=""),"",V113+X113)</f>
        <v/>
      </c>
      <c r="Z113" s="7" t="str">
        <f aca="false">IF(OR(G113="",H113=""),"",IF(P113=0,"Below threshold",IF(R113="","Not yet deducted",IF(S113="",IF(Settings!$C$9&gt;Q113,"Overdue — pay now","Deducted, due "&amp;TEXT(Q113,"dd-mmm")),IF(S113&lt;=Q113,IF(N(U113)&gt;0,"Deducted late, paid on time","Paid on time"),"Paid late")))))</f>
        <v/>
      </c>
      <c r="AA113" s="35" t="str">
        <f aca="false">IF(OR(G113="",H113=""),"",IF(D113&lt;&gt;"",UPPER(TRIM(D113)),UPPER(TRIM(C113))))</f>
        <v/>
      </c>
    </row>
    <row r="114" customFormat="false" ht="15" hidden="false" customHeight="false" outlineLevel="0" collapsed="false">
      <c r="B114" s="17"/>
      <c r="C114" s="5"/>
      <c r="D114" s="5"/>
      <c r="E114" s="5"/>
      <c r="F114" s="5"/>
      <c r="G114" s="5"/>
      <c r="H114" s="16"/>
      <c r="I114" s="7" t="str">
        <f aca="false">IF(OR(G114="",H114=""),"",IFERROR(INDEX('TDS Rates'!$D$6:$D$40,MATCH(G114,'TDS Rates'!$B$6:$B$40,0)),"Check nature"))</f>
        <v/>
      </c>
      <c r="J114" s="7" t="str">
        <f aca="false">IF(OR(G114="",H114=""),"",IFERROR(INDEX('TDS Rates'!$C$6:$C$40,MATCH(G114,'TDS Rates'!$B$6:$B$40,0)),""))</f>
        <v/>
      </c>
      <c r="K114" s="7" t="str">
        <f aca="false">IF(OR(G114="",H114=""),"",IFERROR(INDEX('TDS Rates'!$E$6:$E$40,MATCH(G114,'TDS Rates'!$B$6:$B$40,0)),""))</f>
        <v/>
      </c>
      <c r="L114" s="29" t="str">
        <f aca="false">IF(OR(G114="",H114=""),"",SUMIFS(H$6:H113,AA$6:AA113,AA114,G$6:G113,G114))</f>
        <v/>
      </c>
      <c r="M114" s="29" t="str">
        <f aca="false">IF(OR(G114="",H114=""),"",SUMIFS(H$6:H113,AA$6:AA113,AA114,G$6:G113,G114,N$6:N113,0))</f>
        <v/>
      </c>
      <c r="N114" s="29" t="str">
        <f aca="false">IF(OR(G114="",H114=""),"",IFERROR(IF(INDEX('TDS Rates'!$F$6:$F$40,MATCH(G114,'TDS Rates'!$B$6:$B$40,0))="NONE",H114,IF(INDEX('TDS Rates'!$F$6:$F$40,MATCH(G114,'TDS Rates'!$B$6:$B$40,0))="PER",IF(H114&gt;INDEX('TDS Rates'!$G$6:$G$40,MATCH(G114,'TDS Rates'!$B$6:$B$40,0)),H114,0),IF(INDEX('TDS Rates'!$F$6:$F$40,MATCH(G114,'TDS Rates'!$B$6:$B$40,0))="EXCESS",MAX(0,L114+H114-INDEX('TDS Rates'!$H$6:$H$40,MATCH(G114,'TDS Rates'!$B$6:$B$40,0)))-MAX(0,L114-INDEX('TDS Rates'!$H$6:$H$40,MATCH(G114,'TDS Rates'!$B$6:$B$40,0))),IF(INDEX('TDS Rates'!$F$6:$F$40,MATCH(G114,'TDS Rates'!$B$6:$B$40,0))="SA",IF(L114+H114&gt;INDEX('TDS Rates'!$H$6:$H$40,MATCH(G114,'TDS Rates'!$B$6:$B$40,0)),H114+M114,IF(H114&gt;INDEX('TDS Rates'!$G$6:$G$40,MATCH(G114,'TDS Rates'!$B$6:$B$40,0)),H114,0)),IF(L114+H114&gt;INDEX('TDS Rates'!$H$6:$H$40,MATCH(G114,'TDS Rates'!$B$6:$B$40,0)),H114+M114,0))))),0))</f>
        <v/>
      </c>
      <c r="O114" s="33" t="str">
        <f aca="false">IF(OR(G114="",H114=""),"",IFERROR(IF(F114="No",IF(INDEX('TDS Rates'!$C$6:$C$40,MATCH(G114,'TDS Rates'!$B$6:$B$40,0))="194Q",Settings!$C$14,MAX(Settings!$C$13,IF(E114="Individual / HUF",INDEX('TDS Rates'!$I$6:$I$40,MATCH(G114,'TDS Rates'!$B$6:$B$40,0)),IF(E114="Company",INDEX('TDS Rates'!$J$6:$J$40,MATCH(G114,'TDS Rates'!$B$6:$B$40,0)),INDEX('TDS Rates'!$K$6:$K$40,MATCH(G114,'TDS Rates'!$B$6:$B$40,0)))))),IF(E114="Individual / HUF",INDEX('TDS Rates'!$I$6:$I$40,MATCH(G114,'TDS Rates'!$B$6:$B$40,0)),IF(E114="Company",INDEX('TDS Rates'!$J$6:$J$40,MATCH(G114,'TDS Rates'!$B$6:$B$40,0)),INDEX('TDS Rates'!$K$6:$K$40,MATCH(G114,'TDS Rates'!$B$6:$B$40,0))))),0))</f>
        <v/>
      </c>
      <c r="P114" s="34" t="str">
        <f aca="false">IF(OR(G114="",H114=""),"",ROUND(N114*O114,0))</f>
        <v/>
      </c>
      <c r="Q114" s="27" t="str">
        <f aca="false">IF(OR(G114="",H114=""),"",IFERROR(IF(INDEX('TDS Rates'!$E$6:$E$40,MATCH(G114,'TDS Rates'!$B$6:$B$40,0))="Form 141",EOMONTH(IF(R114="",B114,R114),0)+30,IF(MONTH(IF(R114="",B114,R114))=3,DATE(YEAR(IF(R114="",B114,R114)),4,30),DATE(YEAR(IF(R114="",B114,R114)),MONTH(IF(R114="",B114,R114))+1,7))),""))</f>
        <v/>
      </c>
      <c r="R114" s="17"/>
      <c r="S114" s="17"/>
      <c r="T114" s="5"/>
      <c r="U114" s="28" t="str">
        <f aca="false">IF(OR(G114="",H114=""),"",IF(P114=0,0,IF(IF(R114="",Settings!$C$9,R114)&lt;=B114,0,((YEAR(IF(R114="",Settings!$C$9,R114))-YEAR(B114))*12+MONTH(IF(R114="",Settings!$C$9,R114))-MONTH(B114)+1))))</f>
        <v/>
      </c>
      <c r="V114" s="29" t="str">
        <f aca="false">IF(OR(G114="",H114=""),"",ROUND(P114*Settings!$C$10*U114,0))</f>
        <v/>
      </c>
      <c r="W114" s="28" t="str">
        <f aca="false">IF(OR(G114="",H114=""),"",IF(OR(P114=0,R114=""),0,IF(IF(S114="",Settings!$C$9,S114)&lt;=Q114,0,((YEAR(IF(S114="",Settings!$C$9,S114))-YEAR(R114))*12+MONTH(IF(S114="",Settings!$C$9,S114))-MONTH(R114)+1))))</f>
        <v/>
      </c>
      <c r="X114" s="29" t="str">
        <f aca="false">IF(OR(G114="",H114=""),"",ROUND(P114*Settings!$C$11*W114,0))</f>
        <v/>
      </c>
      <c r="Y114" s="29" t="str">
        <f aca="false">IF(OR(G114="",H114=""),"",V114+X114)</f>
        <v/>
      </c>
      <c r="Z114" s="7" t="str">
        <f aca="false">IF(OR(G114="",H114=""),"",IF(P114=0,"Below threshold",IF(R114="","Not yet deducted",IF(S114="",IF(Settings!$C$9&gt;Q114,"Overdue — pay now","Deducted, due "&amp;TEXT(Q114,"dd-mmm")),IF(S114&lt;=Q114,IF(N(U114)&gt;0,"Deducted late, paid on time","Paid on time"),"Paid late")))))</f>
        <v/>
      </c>
      <c r="AA114" s="35" t="str">
        <f aca="false">IF(OR(G114="",H114=""),"",IF(D114&lt;&gt;"",UPPER(TRIM(D114)),UPPER(TRIM(C114))))</f>
        <v/>
      </c>
    </row>
    <row r="115" customFormat="false" ht="15" hidden="false" customHeight="false" outlineLevel="0" collapsed="false">
      <c r="B115" s="17"/>
      <c r="C115" s="5"/>
      <c r="D115" s="5"/>
      <c r="E115" s="5"/>
      <c r="F115" s="5"/>
      <c r="G115" s="5"/>
      <c r="H115" s="16"/>
      <c r="I115" s="7" t="str">
        <f aca="false">IF(OR(G115="",H115=""),"",IFERROR(INDEX('TDS Rates'!$D$6:$D$40,MATCH(G115,'TDS Rates'!$B$6:$B$40,0)),"Check nature"))</f>
        <v/>
      </c>
      <c r="J115" s="7" t="str">
        <f aca="false">IF(OR(G115="",H115=""),"",IFERROR(INDEX('TDS Rates'!$C$6:$C$40,MATCH(G115,'TDS Rates'!$B$6:$B$40,0)),""))</f>
        <v/>
      </c>
      <c r="K115" s="7" t="str">
        <f aca="false">IF(OR(G115="",H115=""),"",IFERROR(INDEX('TDS Rates'!$E$6:$E$40,MATCH(G115,'TDS Rates'!$B$6:$B$40,0)),""))</f>
        <v/>
      </c>
      <c r="L115" s="29" t="str">
        <f aca="false">IF(OR(G115="",H115=""),"",SUMIFS(H$6:H114,AA$6:AA114,AA115,G$6:G114,G115))</f>
        <v/>
      </c>
      <c r="M115" s="29" t="str">
        <f aca="false">IF(OR(G115="",H115=""),"",SUMIFS(H$6:H114,AA$6:AA114,AA115,G$6:G114,G115,N$6:N114,0))</f>
        <v/>
      </c>
      <c r="N115" s="29" t="str">
        <f aca="false">IF(OR(G115="",H115=""),"",IFERROR(IF(INDEX('TDS Rates'!$F$6:$F$40,MATCH(G115,'TDS Rates'!$B$6:$B$40,0))="NONE",H115,IF(INDEX('TDS Rates'!$F$6:$F$40,MATCH(G115,'TDS Rates'!$B$6:$B$40,0))="PER",IF(H115&gt;INDEX('TDS Rates'!$G$6:$G$40,MATCH(G115,'TDS Rates'!$B$6:$B$40,0)),H115,0),IF(INDEX('TDS Rates'!$F$6:$F$40,MATCH(G115,'TDS Rates'!$B$6:$B$40,0))="EXCESS",MAX(0,L115+H115-INDEX('TDS Rates'!$H$6:$H$40,MATCH(G115,'TDS Rates'!$B$6:$B$40,0)))-MAX(0,L115-INDEX('TDS Rates'!$H$6:$H$40,MATCH(G115,'TDS Rates'!$B$6:$B$40,0))),IF(INDEX('TDS Rates'!$F$6:$F$40,MATCH(G115,'TDS Rates'!$B$6:$B$40,0))="SA",IF(L115+H115&gt;INDEX('TDS Rates'!$H$6:$H$40,MATCH(G115,'TDS Rates'!$B$6:$B$40,0)),H115+M115,IF(H115&gt;INDEX('TDS Rates'!$G$6:$G$40,MATCH(G115,'TDS Rates'!$B$6:$B$40,0)),H115,0)),IF(L115+H115&gt;INDEX('TDS Rates'!$H$6:$H$40,MATCH(G115,'TDS Rates'!$B$6:$B$40,0)),H115+M115,0))))),0))</f>
        <v/>
      </c>
      <c r="O115" s="33" t="str">
        <f aca="false">IF(OR(G115="",H115=""),"",IFERROR(IF(F115="No",IF(INDEX('TDS Rates'!$C$6:$C$40,MATCH(G115,'TDS Rates'!$B$6:$B$40,0))="194Q",Settings!$C$14,MAX(Settings!$C$13,IF(E115="Individual / HUF",INDEX('TDS Rates'!$I$6:$I$40,MATCH(G115,'TDS Rates'!$B$6:$B$40,0)),IF(E115="Company",INDEX('TDS Rates'!$J$6:$J$40,MATCH(G115,'TDS Rates'!$B$6:$B$40,0)),INDEX('TDS Rates'!$K$6:$K$40,MATCH(G115,'TDS Rates'!$B$6:$B$40,0)))))),IF(E115="Individual / HUF",INDEX('TDS Rates'!$I$6:$I$40,MATCH(G115,'TDS Rates'!$B$6:$B$40,0)),IF(E115="Company",INDEX('TDS Rates'!$J$6:$J$40,MATCH(G115,'TDS Rates'!$B$6:$B$40,0)),INDEX('TDS Rates'!$K$6:$K$40,MATCH(G115,'TDS Rates'!$B$6:$B$40,0))))),0))</f>
        <v/>
      </c>
      <c r="P115" s="34" t="str">
        <f aca="false">IF(OR(G115="",H115=""),"",ROUND(N115*O115,0))</f>
        <v/>
      </c>
      <c r="Q115" s="27" t="str">
        <f aca="false">IF(OR(G115="",H115=""),"",IFERROR(IF(INDEX('TDS Rates'!$E$6:$E$40,MATCH(G115,'TDS Rates'!$B$6:$B$40,0))="Form 141",EOMONTH(IF(R115="",B115,R115),0)+30,IF(MONTH(IF(R115="",B115,R115))=3,DATE(YEAR(IF(R115="",B115,R115)),4,30),DATE(YEAR(IF(R115="",B115,R115)),MONTH(IF(R115="",B115,R115))+1,7))),""))</f>
        <v/>
      </c>
      <c r="R115" s="17"/>
      <c r="S115" s="17"/>
      <c r="T115" s="5"/>
      <c r="U115" s="28" t="str">
        <f aca="false">IF(OR(G115="",H115=""),"",IF(P115=0,0,IF(IF(R115="",Settings!$C$9,R115)&lt;=B115,0,((YEAR(IF(R115="",Settings!$C$9,R115))-YEAR(B115))*12+MONTH(IF(R115="",Settings!$C$9,R115))-MONTH(B115)+1))))</f>
        <v/>
      </c>
      <c r="V115" s="29" t="str">
        <f aca="false">IF(OR(G115="",H115=""),"",ROUND(P115*Settings!$C$10*U115,0))</f>
        <v/>
      </c>
      <c r="W115" s="28" t="str">
        <f aca="false">IF(OR(G115="",H115=""),"",IF(OR(P115=0,R115=""),0,IF(IF(S115="",Settings!$C$9,S115)&lt;=Q115,0,((YEAR(IF(S115="",Settings!$C$9,S115))-YEAR(R115))*12+MONTH(IF(S115="",Settings!$C$9,S115))-MONTH(R115)+1))))</f>
        <v/>
      </c>
      <c r="X115" s="29" t="str">
        <f aca="false">IF(OR(G115="",H115=""),"",ROUND(P115*Settings!$C$11*W115,0))</f>
        <v/>
      </c>
      <c r="Y115" s="29" t="str">
        <f aca="false">IF(OR(G115="",H115=""),"",V115+X115)</f>
        <v/>
      </c>
      <c r="Z115" s="7" t="str">
        <f aca="false">IF(OR(G115="",H115=""),"",IF(P115=0,"Below threshold",IF(R115="","Not yet deducted",IF(S115="",IF(Settings!$C$9&gt;Q115,"Overdue — pay now","Deducted, due "&amp;TEXT(Q115,"dd-mmm")),IF(S115&lt;=Q115,IF(N(U115)&gt;0,"Deducted late, paid on time","Paid on time"),"Paid late")))))</f>
        <v/>
      </c>
      <c r="AA115" s="35" t="str">
        <f aca="false">IF(OR(G115="",H115=""),"",IF(D115&lt;&gt;"",UPPER(TRIM(D115)),UPPER(TRIM(C115))))</f>
        <v/>
      </c>
    </row>
    <row r="116" customFormat="false" ht="15" hidden="false" customHeight="false" outlineLevel="0" collapsed="false">
      <c r="B116" s="17"/>
      <c r="C116" s="5"/>
      <c r="D116" s="5"/>
      <c r="E116" s="5"/>
      <c r="F116" s="5"/>
      <c r="G116" s="5"/>
      <c r="H116" s="16"/>
      <c r="I116" s="7" t="str">
        <f aca="false">IF(OR(G116="",H116=""),"",IFERROR(INDEX('TDS Rates'!$D$6:$D$40,MATCH(G116,'TDS Rates'!$B$6:$B$40,0)),"Check nature"))</f>
        <v/>
      </c>
      <c r="J116" s="7" t="str">
        <f aca="false">IF(OR(G116="",H116=""),"",IFERROR(INDEX('TDS Rates'!$C$6:$C$40,MATCH(G116,'TDS Rates'!$B$6:$B$40,0)),""))</f>
        <v/>
      </c>
      <c r="K116" s="7" t="str">
        <f aca="false">IF(OR(G116="",H116=""),"",IFERROR(INDEX('TDS Rates'!$E$6:$E$40,MATCH(G116,'TDS Rates'!$B$6:$B$40,0)),""))</f>
        <v/>
      </c>
      <c r="L116" s="29" t="str">
        <f aca="false">IF(OR(G116="",H116=""),"",SUMIFS(H$6:H115,AA$6:AA115,AA116,G$6:G115,G116))</f>
        <v/>
      </c>
      <c r="M116" s="29" t="str">
        <f aca="false">IF(OR(G116="",H116=""),"",SUMIFS(H$6:H115,AA$6:AA115,AA116,G$6:G115,G116,N$6:N115,0))</f>
        <v/>
      </c>
      <c r="N116" s="29" t="str">
        <f aca="false">IF(OR(G116="",H116=""),"",IFERROR(IF(INDEX('TDS Rates'!$F$6:$F$40,MATCH(G116,'TDS Rates'!$B$6:$B$40,0))="NONE",H116,IF(INDEX('TDS Rates'!$F$6:$F$40,MATCH(G116,'TDS Rates'!$B$6:$B$40,0))="PER",IF(H116&gt;INDEX('TDS Rates'!$G$6:$G$40,MATCH(G116,'TDS Rates'!$B$6:$B$40,0)),H116,0),IF(INDEX('TDS Rates'!$F$6:$F$40,MATCH(G116,'TDS Rates'!$B$6:$B$40,0))="EXCESS",MAX(0,L116+H116-INDEX('TDS Rates'!$H$6:$H$40,MATCH(G116,'TDS Rates'!$B$6:$B$40,0)))-MAX(0,L116-INDEX('TDS Rates'!$H$6:$H$40,MATCH(G116,'TDS Rates'!$B$6:$B$40,0))),IF(INDEX('TDS Rates'!$F$6:$F$40,MATCH(G116,'TDS Rates'!$B$6:$B$40,0))="SA",IF(L116+H116&gt;INDEX('TDS Rates'!$H$6:$H$40,MATCH(G116,'TDS Rates'!$B$6:$B$40,0)),H116+M116,IF(H116&gt;INDEX('TDS Rates'!$G$6:$G$40,MATCH(G116,'TDS Rates'!$B$6:$B$40,0)),H116,0)),IF(L116+H116&gt;INDEX('TDS Rates'!$H$6:$H$40,MATCH(G116,'TDS Rates'!$B$6:$B$40,0)),H116+M116,0))))),0))</f>
        <v/>
      </c>
      <c r="O116" s="33" t="str">
        <f aca="false">IF(OR(G116="",H116=""),"",IFERROR(IF(F116="No",IF(INDEX('TDS Rates'!$C$6:$C$40,MATCH(G116,'TDS Rates'!$B$6:$B$40,0))="194Q",Settings!$C$14,MAX(Settings!$C$13,IF(E116="Individual / HUF",INDEX('TDS Rates'!$I$6:$I$40,MATCH(G116,'TDS Rates'!$B$6:$B$40,0)),IF(E116="Company",INDEX('TDS Rates'!$J$6:$J$40,MATCH(G116,'TDS Rates'!$B$6:$B$40,0)),INDEX('TDS Rates'!$K$6:$K$40,MATCH(G116,'TDS Rates'!$B$6:$B$40,0)))))),IF(E116="Individual / HUF",INDEX('TDS Rates'!$I$6:$I$40,MATCH(G116,'TDS Rates'!$B$6:$B$40,0)),IF(E116="Company",INDEX('TDS Rates'!$J$6:$J$40,MATCH(G116,'TDS Rates'!$B$6:$B$40,0)),INDEX('TDS Rates'!$K$6:$K$40,MATCH(G116,'TDS Rates'!$B$6:$B$40,0))))),0))</f>
        <v/>
      </c>
      <c r="P116" s="34" t="str">
        <f aca="false">IF(OR(G116="",H116=""),"",ROUND(N116*O116,0))</f>
        <v/>
      </c>
      <c r="Q116" s="27" t="str">
        <f aca="false">IF(OR(G116="",H116=""),"",IFERROR(IF(INDEX('TDS Rates'!$E$6:$E$40,MATCH(G116,'TDS Rates'!$B$6:$B$40,0))="Form 141",EOMONTH(IF(R116="",B116,R116),0)+30,IF(MONTH(IF(R116="",B116,R116))=3,DATE(YEAR(IF(R116="",B116,R116)),4,30),DATE(YEAR(IF(R116="",B116,R116)),MONTH(IF(R116="",B116,R116))+1,7))),""))</f>
        <v/>
      </c>
      <c r="R116" s="17"/>
      <c r="S116" s="17"/>
      <c r="T116" s="5"/>
      <c r="U116" s="28" t="str">
        <f aca="false">IF(OR(G116="",H116=""),"",IF(P116=0,0,IF(IF(R116="",Settings!$C$9,R116)&lt;=B116,0,((YEAR(IF(R116="",Settings!$C$9,R116))-YEAR(B116))*12+MONTH(IF(R116="",Settings!$C$9,R116))-MONTH(B116)+1))))</f>
        <v/>
      </c>
      <c r="V116" s="29" t="str">
        <f aca="false">IF(OR(G116="",H116=""),"",ROUND(P116*Settings!$C$10*U116,0))</f>
        <v/>
      </c>
      <c r="W116" s="28" t="str">
        <f aca="false">IF(OR(G116="",H116=""),"",IF(OR(P116=0,R116=""),0,IF(IF(S116="",Settings!$C$9,S116)&lt;=Q116,0,((YEAR(IF(S116="",Settings!$C$9,S116))-YEAR(R116))*12+MONTH(IF(S116="",Settings!$C$9,S116))-MONTH(R116)+1))))</f>
        <v/>
      </c>
      <c r="X116" s="29" t="str">
        <f aca="false">IF(OR(G116="",H116=""),"",ROUND(P116*Settings!$C$11*W116,0))</f>
        <v/>
      </c>
      <c r="Y116" s="29" t="str">
        <f aca="false">IF(OR(G116="",H116=""),"",V116+X116)</f>
        <v/>
      </c>
      <c r="Z116" s="7" t="str">
        <f aca="false">IF(OR(G116="",H116=""),"",IF(P116=0,"Below threshold",IF(R116="","Not yet deducted",IF(S116="",IF(Settings!$C$9&gt;Q116,"Overdue — pay now","Deducted, due "&amp;TEXT(Q116,"dd-mmm")),IF(S116&lt;=Q116,IF(N(U116)&gt;0,"Deducted late, paid on time","Paid on time"),"Paid late")))))</f>
        <v/>
      </c>
      <c r="AA116" s="35" t="str">
        <f aca="false">IF(OR(G116="",H116=""),"",IF(D116&lt;&gt;"",UPPER(TRIM(D116)),UPPER(TRIM(C116))))</f>
        <v/>
      </c>
    </row>
    <row r="117" customFormat="false" ht="15" hidden="false" customHeight="false" outlineLevel="0" collapsed="false">
      <c r="B117" s="17"/>
      <c r="C117" s="5"/>
      <c r="D117" s="5"/>
      <c r="E117" s="5"/>
      <c r="F117" s="5"/>
      <c r="G117" s="5"/>
      <c r="H117" s="16"/>
      <c r="I117" s="7" t="str">
        <f aca="false">IF(OR(G117="",H117=""),"",IFERROR(INDEX('TDS Rates'!$D$6:$D$40,MATCH(G117,'TDS Rates'!$B$6:$B$40,0)),"Check nature"))</f>
        <v/>
      </c>
      <c r="J117" s="7" t="str">
        <f aca="false">IF(OR(G117="",H117=""),"",IFERROR(INDEX('TDS Rates'!$C$6:$C$40,MATCH(G117,'TDS Rates'!$B$6:$B$40,0)),""))</f>
        <v/>
      </c>
      <c r="K117" s="7" t="str">
        <f aca="false">IF(OR(G117="",H117=""),"",IFERROR(INDEX('TDS Rates'!$E$6:$E$40,MATCH(G117,'TDS Rates'!$B$6:$B$40,0)),""))</f>
        <v/>
      </c>
      <c r="L117" s="29" t="str">
        <f aca="false">IF(OR(G117="",H117=""),"",SUMIFS(H$6:H116,AA$6:AA116,AA117,G$6:G116,G117))</f>
        <v/>
      </c>
      <c r="M117" s="29" t="str">
        <f aca="false">IF(OR(G117="",H117=""),"",SUMIFS(H$6:H116,AA$6:AA116,AA117,G$6:G116,G117,N$6:N116,0))</f>
        <v/>
      </c>
      <c r="N117" s="29" t="str">
        <f aca="false">IF(OR(G117="",H117=""),"",IFERROR(IF(INDEX('TDS Rates'!$F$6:$F$40,MATCH(G117,'TDS Rates'!$B$6:$B$40,0))="NONE",H117,IF(INDEX('TDS Rates'!$F$6:$F$40,MATCH(G117,'TDS Rates'!$B$6:$B$40,0))="PER",IF(H117&gt;INDEX('TDS Rates'!$G$6:$G$40,MATCH(G117,'TDS Rates'!$B$6:$B$40,0)),H117,0),IF(INDEX('TDS Rates'!$F$6:$F$40,MATCH(G117,'TDS Rates'!$B$6:$B$40,0))="EXCESS",MAX(0,L117+H117-INDEX('TDS Rates'!$H$6:$H$40,MATCH(G117,'TDS Rates'!$B$6:$B$40,0)))-MAX(0,L117-INDEX('TDS Rates'!$H$6:$H$40,MATCH(G117,'TDS Rates'!$B$6:$B$40,0))),IF(INDEX('TDS Rates'!$F$6:$F$40,MATCH(G117,'TDS Rates'!$B$6:$B$40,0))="SA",IF(L117+H117&gt;INDEX('TDS Rates'!$H$6:$H$40,MATCH(G117,'TDS Rates'!$B$6:$B$40,0)),H117+M117,IF(H117&gt;INDEX('TDS Rates'!$G$6:$G$40,MATCH(G117,'TDS Rates'!$B$6:$B$40,0)),H117,0)),IF(L117+H117&gt;INDEX('TDS Rates'!$H$6:$H$40,MATCH(G117,'TDS Rates'!$B$6:$B$40,0)),H117+M117,0))))),0))</f>
        <v/>
      </c>
      <c r="O117" s="33" t="str">
        <f aca="false">IF(OR(G117="",H117=""),"",IFERROR(IF(F117="No",IF(INDEX('TDS Rates'!$C$6:$C$40,MATCH(G117,'TDS Rates'!$B$6:$B$40,0))="194Q",Settings!$C$14,MAX(Settings!$C$13,IF(E117="Individual / HUF",INDEX('TDS Rates'!$I$6:$I$40,MATCH(G117,'TDS Rates'!$B$6:$B$40,0)),IF(E117="Company",INDEX('TDS Rates'!$J$6:$J$40,MATCH(G117,'TDS Rates'!$B$6:$B$40,0)),INDEX('TDS Rates'!$K$6:$K$40,MATCH(G117,'TDS Rates'!$B$6:$B$40,0)))))),IF(E117="Individual / HUF",INDEX('TDS Rates'!$I$6:$I$40,MATCH(G117,'TDS Rates'!$B$6:$B$40,0)),IF(E117="Company",INDEX('TDS Rates'!$J$6:$J$40,MATCH(G117,'TDS Rates'!$B$6:$B$40,0)),INDEX('TDS Rates'!$K$6:$K$40,MATCH(G117,'TDS Rates'!$B$6:$B$40,0))))),0))</f>
        <v/>
      </c>
      <c r="P117" s="34" t="str">
        <f aca="false">IF(OR(G117="",H117=""),"",ROUND(N117*O117,0))</f>
        <v/>
      </c>
      <c r="Q117" s="27" t="str">
        <f aca="false">IF(OR(G117="",H117=""),"",IFERROR(IF(INDEX('TDS Rates'!$E$6:$E$40,MATCH(G117,'TDS Rates'!$B$6:$B$40,0))="Form 141",EOMONTH(IF(R117="",B117,R117),0)+30,IF(MONTH(IF(R117="",B117,R117))=3,DATE(YEAR(IF(R117="",B117,R117)),4,30),DATE(YEAR(IF(R117="",B117,R117)),MONTH(IF(R117="",B117,R117))+1,7))),""))</f>
        <v/>
      </c>
      <c r="R117" s="17"/>
      <c r="S117" s="17"/>
      <c r="T117" s="5"/>
      <c r="U117" s="28" t="str">
        <f aca="false">IF(OR(G117="",H117=""),"",IF(P117=0,0,IF(IF(R117="",Settings!$C$9,R117)&lt;=B117,0,((YEAR(IF(R117="",Settings!$C$9,R117))-YEAR(B117))*12+MONTH(IF(R117="",Settings!$C$9,R117))-MONTH(B117)+1))))</f>
        <v/>
      </c>
      <c r="V117" s="29" t="str">
        <f aca="false">IF(OR(G117="",H117=""),"",ROUND(P117*Settings!$C$10*U117,0))</f>
        <v/>
      </c>
      <c r="W117" s="28" t="str">
        <f aca="false">IF(OR(G117="",H117=""),"",IF(OR(P117=0,R117=""),0,IF(IF(S117="",Settings!$C$9,S117)&lt;=Q117,0,((YEAR(IF(S117="",Settings!$C$9,S117))-YEAR(R117))*12+MONTH(IF(S117="",Settings!$C$9,S117))-MONTH(R117)+1))))</f>
        <v/>
      </c>
      <c r="X117" s="29" t="str">
        <f aca="false">IF(OR(G117="",H117=""),"",ROUND(P117*Settings!$C$11*W117,0))</f>
        <v/>
      </c>
      <c r="Y117" s="29" t="str">
        <f aca="false">IF(OR(G117="",H117=""),"",V117+X117)</f>
        <v/>
      </c>
      <c r="Z117" s="7" t="str">
        <f aca="false">IF(OR(G117="",H117=""),"",IF(P117=0,"Below threshold",IF(R117="","Not yet deducted",IF(S117="",IF(Settings!$C$9&gt;Q117,"Overdue — pay now","Deducted, due "&amp;TEXT(Q117,"dd-mmm")),IF(S117&lt;=Q117,IF(N(U117)&gt;0,"Deducted late, paid on time","Paid on time"),"Paid late")))))</f>
        <v/>
      </c>
      <c r="AA117" s="35" t="str">
        <f aca="false">IF(OR(G117="",H117=""),"",IF(D117&lt;&gt;"",UPPER(TRIM(D117)),UPPER(TRIM(C117))))</f>
        <v/>
      </c>
    </row>
    <row r="118" customFormat="false" ht="15" hidden="false" customHeight="false" outlineLevel="0" collapsed="false">
      <c r="B118" s="17"/>
      <c r="C118" s="5"/>
      <c r="D118" s="5"/>
      <c r="E118" s="5"/>
      <c r="F118" s="5"/>
      <c r="G118" s="5"/>
      <c r="H118" s="16"/>
      <c r="I118" s="7" t="str">
        <f aca="false">IF(OR(G118="",H118=""),"",IFERROR(INDEX('TDS Rates'!$D$6:$D$40,MATCH(G118,'TDS Rates'!$B$6:$B$40,0)),"Check nature"))</f>
        <v/>
      </c>
      <c r="J118" s="7" t="str">
        <f aca="false">IF(OR(G118="",H118=""),"",IFERROR(INDEX('TDS Rates'!$C$6:$C$40,MATCH(G118,'TDS Rates'!$B$6:$B$40,0)),""))</f>
        <v/>
      </c>
      <c r="K118" s="7" t="str">
        <f aca="false">IF(OR(G118="",H118=""),"",IFERROR(INDEX('TDS Rates'!$E$6:$E$40,MATCH(G118,'TDS Rates'!$B$6:$B$40,0)),""))</f>
        <v/>
      </c>
      <c r="L118" s="29" t="str">
        <f aca="false">IF(OR(G118="",H118=""),"",SUMIFS(H$6:H117,AA$6:AA117,AA118,G$6:G117,G118))</f>
        <v/>
      </c>
      <c r="M118" s="29" t="str">
        <f aca="false">IF(OR(G118="",H118=""),"",SUMIFS(H$6:H117,AA$6:AA117,AA118,G$6:G117,G118,N$6:N117,0))</f>
        <v/>
      </c>
      <c r="N118" s="29" t="str">
        <f aca="false">IF(OR(G118="",H118=""),"",IFERROR(IF(INDEX('TDS Rates'!$F$6:$F$40,MATCH(G118,'TDS Rates'!$B$6:$B$40,0))="NONE",H118,IF(INDEX('TDS Rates'!$F$6:$F$40,MATCH(G118,'TDS Rates'!$B$6:$B$40,0))="PER",IF(H118&gt;INDEX('TDS Rates'!$G$6:$G$40,MATCH(G118,'TDS Rates'!$B$6:$B$40,0)),H118,0),IF(INDEX('TDS Rates'!$F$6:$F$40,MATCH(G118,'TDS Rates'!$B$6:$B$40,0))="EXCESS",MAX(0,L118+H118-INDEX('TDS Rates'!$H$6:$H$40,MATCH(G118,'TDS Rates'!$B$6:$B$40,0)))-MAX(0,L118-INDEX('TDS Rates'!$H$6:$H$40,MATCH(G118,'TDS Rates'!$B$6:$B$40,0))),IF(INDEX('TDS Rates'!$F$6:$F$40,MATCH(G118,'TDS Rates'!$B$6:$B$40,0))="SA",IF(L118+H118&gt;INDEX('TDS Rates'!$H$6:$H$40,MATCH(G118,'TDS Rates'!$B$6:$B$40,0)),H118+M118,IF(H118&gt;INDEX('TDS Rates'!$G$6:$G$40,MATCH(G118,'TDS Rates'!$B$6:$B$40,0)),H118,0)),IF(L118+H118&gt;INDEX('TDS Rates'!$H$6:$H$40,MATCH(G118,'TDS Rates'!$B$6:$B$40,0)),H118+M118,0))))),0))</f>
        <v/>
      </c>
      <c r="O118" s="33" t="str">
        <f aca="false">IF(OR(G118="",H118=""),"",IFERROR(IF(F118="No",IF(INDEX('TDS Rates'!$C$6:$C$40,MATCH(G118,'TDS Rates'!$B$6:$B$40,0))="194Q",Settings!$C$14,MAX(Settings!$C$13,IF(E118="Individual / HUF",INDEX('TDS Rates'!$I$6:$I$40,MATCH(G118,'TDS Rates'!$B$6:$B$40,0)),IF(E118="Company",INDEX('TDS Rates'!$J$6:$J$40,MATCH(G118,'TDS Rates'!$B$6:$B$40,0)),INDEX('TDS Rates'!$K$6:$K$40,MATCH(G118,'TDS Rates'!$B$6:$B$40,0)))))),IF(E118="Individual / HUF",INDEX('TDS Rates'!$I$6:$I$40,MATCH(G118,'TDS Rates'!$B$6:$B$40,0)),IF(E118="Company",INDEX('TDS Rates'!$J$6:$J$40,MATCH(G118,'TDS Rates'!$B$6:$B$40,0)),INDEX('TDS Rates'!$K$6:$K$40,MATCH(G118,'TDS Rates'!$B$6:$B$40,0))))),0))</f>
        <v/>
      </c>
      <c r="P118" s="34" t="str">
        <f aca="false">IF(OR(G118="",H118=""),"",ROUND(N118*O118,0))</f>
        <v/>
      </c>
      <c r="Q118" s="27" t="str">
        <f aca="false">IF(OR(G118="",H118=""),"",IFERROR(IF(INDEX('TDS Rates'!$E$6:$E$40,MATCH(G118,'TDS Rates'!$B$6:$B$40,0))="Form 141",EOMONTH(IF(R118="",B118,R118),0)+30,IF(MONTH(IF(R118="",B118,R118))=3,DATE(YEAR(IF(R118="",B118,R118)),4,30),DATE(YEAR(IF(R118="",B118,R118)),MONTH(IF(R118="",B118,R118))+1,7))),""))</f>
        <v/>
      </c>
      <c r="R118" s="17"/>
      <c r="S118" s="17"/>
      <c r="T118" s="5"/>
      <c r="U118" s="28" t="str">
        <f aca="false">IF(OR(G118="",H118=""),"",IF(P118=0,0,IF(IF(R118="",Settings!$C$9,R118)&lt;=B118,0,((YEAR(IF(R118="",Settings!$C$9,R118))-YEAR(B118))*12+MONTH(IF(R118="",Settings!$C$9,R118))-MONTH(B118)+1))))</f>
        <v/>
      </c>
      <c r="V118" s="29" t="str">
        <f aca="false">IF(OR(G118="",H118=""),"",ROUND(P118*Settings!$C$10*U118,0))</f>
        <v/>
      </c>
      <c r="W118" s="28" t="str">
        <f aca="false">IF(OR(G118="",H118=""),"",IF(OR(P118=0,R118=""),0,IF(IF(S118="",Settings!$C$9,S118)&lt;=Q118,0,((YEAR(IF(S118="",Settings!$C$9,S118))-YEAR(R118))*12+MONTH(IF(S118="",Settings!$C$9,S118))-MONTH(R118)+1))))</f>
        <v/>
      </c>
      <c r="X118" s="29" t="str">
        <f aca="false">IF(OR(G118="",H118=""),"",ROUND(P118*Settings!$C$11*W118,0))</f>
        <v/>
      </c>
      <c r="Y118" s="29" t="str">
        <f aca="false">IF(OR(G118="",H118=""),"",V118+X118)</f>
        <v/>
      </c>
      <c r="Z118" s="7" t="str">
        <f aca="false">IF(OR(G118="",H118=""),"",IF(P118=0,"Below threshold",IF(R118="","Not yet deducted",IF(S118="",IF(Settings!$C$9&gt;Q118,"Overdue — pay now","Deducted, due "&amp;TEXT(Q118,"dd-mmm")),IF(S118&lt;=Q118,IF(N(U118)&gt;0,"Deducted late, paid on time","Paid on time"),"Paid late")))))</f>
        <v/>
      </c>
      <c r="AA118" s="35" t="str">
        <f aca="false">IF(OR(G118="",H118=""),"",IF(D118&lt;&gt;"",UPPER(TRIM(D118)),UPPER(TRIM(C118))))</f>
        <v/>
      </c>
    </row>
    <row r="119" customFormat="false" ht="15" hidden="false" customHeight="false" outlineLevel="0" collapsed="false">
      <c r="B119" s="17"/>
      <c r="C119" s="5"/>
      <c r="D119" s="5"/>
      <c r="E119" s="5"/>
      <c r="F119" s="5"/>
      <c r="G119" s="5"/>
      <c r="H119" s="16"/>
      <c r="I119" s="7" t="str">
        <f aca="false">IF(OR(G119="",H119=""),"",IFERROR(INDEX('TDS Rates'!$D$6:$D$40,MATCH(G119,'TDS Rates'!$B$6:$B$40,0)),"Check nature"))</f>
        <v/>
      </c>
      <c r="J119" s="7" t="str">
        <f aca="false">IF(OR(G119="",H119=""),"",IFERROR(INDEX('TDS Rates'!$C$6:$C$40,MATCH(G119,'TDS Rates'!$B$6:$B$40,0)),""))</f>
        <v/>
      </c>
      <c r="K119" s="7" t="str">
        <f aca="false">IF(OR(G119="",H119=""),"",IFERROR(INDEX('TDS Rates'!$E$6:$E$40,MATCH(G119,'TDS Rates'!$B$6:$B$40,0)),""))</f>
        <v/>
      </c>
      <c r="L119" s="29" t="str">
        <f aca="false">IF(OR(G119="",H119=""),"",SUMIFS(H$6:H118,AA$6:AA118,AA119,G$6:G118,G119))</f>
        <v/>
      </c>
      <c r="M119" s="29" t="str">
        <f aca="false">IF(OR(G119="",H119=""),"",SUMIFS(H$6:H118,AA$6:AA118,AA119,G$6:G118,G119,N$6:N118,0))</f>
        <v/>
      </c>
      <c r="N119" s="29" t="str">
        <f aca="false">IF(OR(G119="",H119=""),"",IFERROR(IF(INDEX('TDS Rates'!$F$6:$F$40,MATCH(G119,'TDS Rates'!$B$6:$B$40,0))="NONE",H119,IF(INDEX('TDS Rates'!$F$6:$F$40,MATCH(G119,'TDS Rates'!$B$6:$B$40,0))="PER",IF(H119&gt;INDEX('TDS Rates'!$G$6:$G$40,MATCH(G119,'TDS Rates'!$B$6:$B$40,0)),H119,0),IF(INDEX('TDS Rates'!$F$6:$F$40,MATCH(G119,'TDS Rates'!$B$6:$B$40,0))="EXCESS",MAX(0,L119+H119-INDEX('TDS Rates'!$H$6:$H$40,MATCH(G119,'TDS Rates'!$B$6:$B$40,0)))-MAX(0,L119-INDEX('TDS Rates'!$H$6:$H$40,MATCH(G119,'TDS Rates'!$B$6:$B$40,0))),IF(INDEX('TDS Rates'!$F$6:$F$40,MATCH(G119,'TDS Rates'!$B$6:$B$40,0))="SA",IF(L119+H119&gt;INDEX('TDS Rates'!$H$6:$H$40,MATCH(G119,'TDS Rates'!$B$6:$B$40,0)),H119+M119,IF(H119&gt;INDEX('TDS Rates'!$G$6:$G$40,MATCH(G119,'TDS Rates'!$B$6:$B$40,0)),H119,0)),IF(L119+H119&gt;INDEX('TDS Rates'!$H$6:$H$40,MATCH(G119,'TDS Rates'!$B$6:$B$40,0)),H119+M119,0))))),0))</f>
        <v/>
      </c>
      <c r="O119" s="33" t="str">
        <f aca="false">IF(OR(G119="",H119=""),"",IFERROR(IF(F119="No",IF(INDEX('TDS Rates'!$C$6:$C$40,MATCH(G119,'TDS Rates'!$B$6:$B$40,0))="194Q",Settings!$C$14,MAX(Settings!$C$13,IF(E119="Individual / HUF",INDEX('TDS Rates'!$I$6:$I$40,MATCH(G119,'TDS Rates'!$B$6:$B$40,0)),IF(E119="Company",INDEX('TDS Rates'!$J$6:$J$40,MATCH(G119,'TDS Rates'!$B$6:$B$40,0)),INDEX('TDS Rates'!$K$6:$K$40,MATCH(G119,'TDS Rates'!$B$6:$B$40,0)))))),IF(E119="Individual / HUF",INDEX('TDS Rates'!$I$6:$I$40,MATCH(G119,'TDS Rates'!$B$6:$B$40,0)),IF(E119="Company",INDEX('TDS Rates'!$J$6:$J$40,MATCH(G119,'TDS Rates'!$B$6:$B$40,0)),INDEX('TDS Rates'!$K$6:$K$40,MATCH(G119,'TDS Rates'!$B$6:$B$40,0))))),0))</f>
        <v/>
      </c>
      <c r="P119" s="34" t="str">
        <f aca="false">IF(OR(G119="",H119=""),"",ROUND(N119*O119,0))</f>
        <v/>
      </c>
      <c r="Q119" s="27" t="str">
        <f aca="false">IF(OR(G119="",H119=""),"",IFERROR(IF(INDEX('TDS Rates'!$E$6:$E$40,MATCH(G119,'TDS Rates'!$B$6:$B$40,0))="Form 141",EOMONTH(IF(R119="",B119,R119),0)+30,IF(MONTH(IF(R119="",B119,R119))=3,DATE(YEAR(IF(R119="",B119,R119)),4,30),DATE(YEAR(IF(R119="",B119,R119)),MONTH(IF(R119="",B119,R119))+1,7))),""))</f>
        <v/>
      </c>
      <c r="R119" s="17"/>
      <c r="S119" s="17"/>
      <c r="T119" s="5"/>
      <c r="U119" s="28" t="str">
        <f aca="false">IF(OR(G119="",H119=""),"",IF(P119=0,0,IF(IF(R119="",Settings!$C$9,R119)&lt;=B119,0,((YEAR(IF(R119="",Settings!$C$9,R119))-YEAR(B119))*12+MONTH(IF(R119="",Settings!$C$9,R119))-MONTH(B119)+1))))</f>
        <v/>
      </c>
      <c r="V119" s="29" t="str">
        <f aca="false">IF(OR(G119="",H119=""),"",ROUND(P119*Settings!$C$10*U119,0))</f>
        <v/>
      </c>
      <c r="W119" s="28" t="str">
        <f aca="false">IF(OR(G119="",H119=""),"",IF(OR(P119=0,R119=""),0,IF(IF(S119="",Settings!$C$9,S119)&lt;=Q119,0,((YEAR(IF(S119="",Settings!$C$9,S119))-YEAR(R119))*12+MONTH(IF(S119="",Settings!$C$9,S119))-MONTH(R119)+1))))</f>
        <v/>
      </c>
      <c r="X119" s="29" t="str">
        <f aca="false">IF(OR(G119="",H119=""),"",ROUND(P119*Settings!$C$11*W119,0))</f>
        <v/>
      </c>
      <c r="Y119" s="29" t="str">
        <f aca="false">IF(OR(G119="",H119=""),"",V119+X119)</f>
        <v/>
      </c>
      <c r="Z119" s="7" t="str">
        <f aca="false">IF(OR(G119="",H119=""),"",IF(P119=0,"Below threshold",IF(R119="","Not yet deducted",IF(S119="",IF(Settings!$C$9&gt;Q119,"Overdue — pay now","Deducted, due "&amp;TEXT(Q119,"dd-mmm")),IF(S119&lt;=Q119,IF(N(U119)&gt;0,"Deducted late, paid on time","Paid on time"),"Paid late")))))</f>
        <v/>
      </c>
      <c r="AA119" s="35" t="str">
        <f aca="false">IF(OR(G119="",H119=""),"",IF(D119&lt;&gt;"",UPPER(TRIM(D119)),UPPER(TRIM(C119))))</f>
        <v/>
      </c>
    </row>
    <row r="120" customFormat="false" ht="15" hidden="false" customHeight="false" outlineLevel="0" collapsed="false">
      <c r="B120" s="17"/>
      <c r="C120" s="5"/>
      <c r="D120" s="5"/>
      <c r="E120" s="5"/>
      <c r="F120" s="5"/>
      <c r="G120" s="5"/>
      <c r="H120" s="16"/>
      <c r="I120" s="7" t="str">
        <f aca="false">IF(OR(G120="",H120=""),"",IFERROR(INDEX('TDS Rates'!$D$6:$D$40,MATCH(G120,'TDS Rates'!$B$6:$B$40,0)),"Check nature"))</f>
        <v/>
      </c>
      <c r="J120" s="7" t="str">
        <f aca="false">IF(OR(G120="",H120=""),"",IFERROR(INDEX('TDS Rates'!$C$6:$C$40,MATCH(G120,'TDS Rates'!$B$6:$B$40,0)),""))</f>
        <v/>
      </c>
      <c r="K120" s="7" t="str">
        <f aca="false">IF(OR(G120="",H120=""),"",IFERROR(INDEX('TDS Rates'!$E$6:$E$40,MATCH(G120,'TDS Rates'!$B$6:$B$40,0)),""))</f>
        <v/>
      </c>
      <c r="L120" s="29" t="str">
        <f aca="false">IF(OR(G120="",H120=""),"",SUMIFS(H$6:H119,AA$6:AA119,AA120,G$6:G119,G120))</f>
        <v/>
      </c>
      <c r="M120" s="29" t="str">
        <f aca="false">IF(OR(G120="",H120=""),"",SUMIFS(H$6:H119,AA$6:AA119,AA120,G$6:G119,G120,N$6:N119,0))</f>
        <v/>
      </c>
      <c r="N120" s="29" t="str">
        <f aca="false">IF(OR(G120="",H120=""),"",IFERROR(IF(INDEX('TDS Rates'!$F$6:$F$40,MATCH(G120,'TDS Rates'!$B$6:$B$40,0))="NONE",H120,IF(INDEX('TDS Rates'!$F$6:$F$40,MATCH(G120,'TDS Rates'!$B$6:$B$40,0))="PER",IF(H120&gt;INDEX('TDS Rates'!$G$6:$G$40,MATCH(G120,'TDS Rates'!$B$6:$B$40,0)),H120,0),IF(INDEX('TDS Rates'!$F$6:$F$40,MATCH(G120,'TDS Rates'!$B$6:$B$40,0))="EXCESS",MAX(0,L120+H120-INDEX('TDS Rates'!$H$6:$H$40,MATCH(G120,'TDS Rates'!$B$6:$B$40,0)))-MAX(0,L120-INDEX('TDS Rates'!$H$6:$H$40,MATCH(G120,'TDS Rates'!$B$6:$B$40,0))),IF(INDEX('TDS Rates'!$F$6:$F$40,MATCH(G120,'TDS Rates'!$B$6:$B$40,0))="SA",IF(L120+H120&gt;INDEX('TDS Rates'!$H$6:$H$40,MATCH(G120,'TDS Rates'!$B$6:$B$40,0)),H120+M120,IF(H120&gt;INDEX('TDS Rates'!$G$6:$G$40,MATCH(G120,'TDS Rates'!$B$6:$B$40,0)),H120,0)),IF(L120+H120&gt;INDEX('TDS Rates'!$H$6:$H$40,MATCH(G120,'TDS Rates'!$B$6:$B$40,0)),H120+M120,0))))),0))</f>
        <v/>
      </c>
      <c r="O120" s="33" t="str">
        <f aca="false">IF(OR(G120="",H120=""),"",IFERROR(IF(F120="No",IF(INDEX('TDS Rates'!$C$6:$C$40,MATCH(G120,'TDS Rates'!$B$6:$B$40,0))="194Q",Settings!$C$14,MAX(Settings!$C$13,IF(E120="Individual / HUF",INDEX('TDS Rates'!$I$6:$I$40,MATCH(G120,'TDS Rates'!$B$6:$B$40,0)),IF(E120="Company",INDEX('TDS Rates'!$J$6:$J$40,MATCH(G120,'TDS Rates'!$B$6:$B$40,0)),INDEX('TDS Rates'!$K$6:$K$40,MATCH(G120,'TDS Rates'!$B$6:$B$40,0)))))),IF(E120="Individual / HUF",INDEX('TDS Rates'!$I$6:$I$40,MATCH(G120,'TDS Rates'!$B$6:$B$40,0)),IF(E120="Company",INDEX('TDS Rates'!$J$6:$J$40,MATCH(G120,'TDS Rates'!$B$6:$B$40,0)),INDEX('TDS Rates'!$K$6:$K$40,MATCH(G120,'TDS Rates'!$B$6:$B$40,0))))),0))</f>
        <v/>
      </c>
      <c r="P120" s="34" t="str">
        <f aca="false">IF(OR(G120="",H120=""),"",ROUND(N120*O120,0))</f>
        <v/>
      </c>
      <c r="Q120" s="27" t="str">
        <f aca="false">IF(OR(G120="",H120=""),"",IFERROR(IF(INDEX('TDS Rates'!$E$6:$E$40,MATCH(G120,'TDS Rates'!$B$6:$B$40,0))="Form 141",EOMONTH(IF(R120="",B120,R120),0)+30,IF(MONTH(IF(R120="",B120,R120))=3,DATE(YEAR(IF(R120="",B120,R120)),4,30),DATE(YEAR(IF(R120="",B120,R120)),MONTH(IF(R120="",B120,R120))+1,7))),""))</f>
        <v/>
      </c>
      <c r="R120" s="17"/>
      <c r="S120" s="17"/>
      <c r="T120" s="5"/>
      <c r="U120" s="28" t="str">
        <f aca="false">IF(OR(G120="",H120=""),"",IF(P120=0,0,IF(IF(R120="",Settings!$C$9,R120)&lt;=B120,0,((YEAR(IF(R120="",Settings!$C$9,R120))-YEAR(B120))*12+MONTH(IF(R120="",Settings!$C$9,R120))-MONTH(B120)+1))))</f>
        <v/>
      </c>
      <c r="V120" s="29" t="str">
        <f aca="false">IF(OR(G120="",H120=""),"",ROUND(P120*Settings!$C$10*U120,0))</f>
        <v/>
      </c>
      <c r="W120" s="28" t="str">
        <f aca="false">IF(OR(G120="",H120=""),"",IF(OR(P120=0,R120=""),0,IF(IF(S120="",Settings!$C$9,S120)&lt;=Q120,0,((YEAR(IF(S120="",Settings!$C$9,S120))-YEAR(R120))*12+MONTH(IF(S120="",Settings!$C$9,S120))-MONTH(R120)+1))))</f>
        <v/>
      </c>
      <c r="X120" s="29" t="str">
        <f aca="false">IF(OR(G120="",H120=""),"",ROUND(P120*Settings!$C$11*W120,0))</f>
        <v/>
      </c>
      <c r="Y120" s="29" t="str">
        <f aca="false">IF(OR(G120="",H120=""),"",V120+X120)</f>
        <v/>
      </c>
      <c r="Z120" s="7" t="str">
        <f aca="false">IF(OR(G120="",H120=""),"",IF(P120=0,"Below threshold",IF(R120="","Not yet deducted",IF(S120="",IF(Settings!$C$9&gt;Q120,"Overdue — pay now","Deducted, due "&amp;TEXT(Q120,"dd-mmm")),IF(S120&lt;=Q120,IF(N(U120)&gt;0,"Deducted late, paid on time","Paid on time"),"Paid late")))))</f>
        <v/>
      </c>
      <c r="AA120" s="35" t="str">
        <f aca="false">IF(OR(G120="",H120=""),"",IF(D120&lt;&gt;"",UPPER(TRIM(D120)),UPPER(TRIM(C120))))</f>
        <v/>
      </c>
    </row>
    <row r="121" customFormat="false" ht="15" hidden="false" customHeight="false" outlineLevel="0" collapsed="false">
      <c r="B121" s="17"/>
      <c r="C121" s="5"/>
      <c r="D121" s="5"/>
      <c r="E121" s="5"/>
      <c r="F121" s="5"/>
      <c r="G121" s="5"/>
      <c r="H121" s="16"/>
      <c r="I121" s="7" t="str">
        <f aca="false">IF(OR(G121="",H121=""),"",IFERROR(INDEX('TDS Rates'!$D$6:$D$40,MATCH(G121,'TDS Rates'!$B$6:$B$40,0)),"Check nature"))</f>
        <v/>
      </c>
      <c r="J121" s="7" t="str">
        <f aca="false">IF(OR(G121="",H121=""),"",IFERROR(INDEX('TDS Rates'!$C$6:$C$40,MATCH(G121,'TDS Rates'!$B$6:$B$40,0)),""))</f>
        <v/>
      </c>
      <c r="K121" s="7" t="str">
        <f aca="false">IF(OR(G121="",H121=""),"",IFERROR(INDEX('TDS Rates'!$E$6:$E$40,MATCH(G121,'TDS Rates'!$B$6:$B$40,0)),""))</f>
        <v/>
      </c>
      <c r="L121" s="29" t="str">
        <f aca="false">IF(OR(G121="",H121=""),"",SUMIFS(H$6:H120,AA$6:AA120,AA121,G$6:G120,G121))</f>
        <v/>
      </c>
      <c r="M121" s="29" t="str">
        <f aca="false">IF(OR(G121="",H121=""),"",SUMIFS(H$6:H120,AA$6:AA120,AA121,G$6:G120,G121,N$6:N120,0))</f>
        <v/>
      </c>
      <c r="N121" s="29" t="str">
        <f aca="false">IF(OR(G121="",H121=""),"",IFERROR(IF(INDEX('TDS Rates'!$F$6:$F$40,MATCH(G121,'TDS Rates'!$B$6:$B$40,0))="NONE",H121,IF(INDEX('TDS Rates'!$F$6:$F$40,MATCH(G121,'TDS Rates'!$B$6:$B$40,0))="PER",IF(H121&gt;INDEX('TDS Rates'!$G$6:$G$40,MATCH(G121,'TDS Rates'!$B$6:$B$40,0)),H121,0),IF(INDEX('TDS Rates'!$F$6:$F$40,MATCH(G121,'TDS Rates'!$B$6:$B$40,0))="EXCESS",MAX(0,L121+H121-INDEX('TDS Rates'!$H$6:$H$40,MATCH(G121,'TDS Rates'!$B$6:$B$40,0)))-MAX(0,L121-INDEX('TDS Rates'!$H$6:$H$40,MATCH(G121,'TDS Rates'!$B$6:$B$40,0))),IF(INDEX('TDS Rates'!$F$6:$F$40,MATCH(G121,'TDS Rates'!$B$6:$B$40,0))="SA",IF(L121+H121&gt;INDEX('TDS Rates'!$H$6:$H$40,MATCH(G121,'TDS Rates'!$B$6:$B$40,0)),H121+M121,IF(H121&gt;INDEX('TDS Rates'!$G$6:$G$40,MATCH(G121,'TDS Rates'!$B$6:$B$40,0)),H121,0)),IF(L121+H121&gt;INDEX('TDS Rates'!$H$6:$H$40,MATCH(G121,'TDS Rates'!$B$6:$B$40,0)),H121+M121,0))))),0))</f>
        <v/>
      </c>
      <c r="O121" s="33" t="str">
        <f aca="false">IF(OR(G121="",H121=""),"",IFERROR(IF(F121="No",IF(INDEX('TDS Rates'!$C$6:$C$40,MATCH(G121,'TDS Rates'!$B$6:$B$40,0))="194Q",Settings!$C$14,MAX(Settings!$C$13,IF(E121="Individual / HUF",INDEX('TDS Rates'!$I$6:$I$40,MATCH(G121,'TDS Rates'!$B$6:$B$40,0)),IF(E121="Company",INDEX('TDS Rates'!$J$6:$J$40,MATCH(G121,'TDS Rates'!$B$6:$B$40,0)),INDEX('TDS Rates'!$K$6:$K$40,MATCH(G121,'TDS Rates'!$B$6:$B$40,0)))))),IF(E121="Individual / HUF",INDEX('TDS Rates'!$I$6:$I$40,MATCH(G121,'TDS Rates'!$B$6:$B$40,0)),IF(E121="Company",INDEX('TDS Rates'!$J$6:$J$40,MATCH(G121,'TDS Rates'!$B$6:$B$40,0)),INDEX('TDS Rates'!$K$6:$K$40,MATCH(G121,'TDS Rates'!$B$6:$B$40,0))))),0))</f>
        <v/>
      </c>
      <c r="P121" s="34" t="str">
        <f aca="false">IF(OR(G121="",H121=""),"",ROUND(N121*O121,0))</f>
        <v/>
      </c>
      <c r="Q121" s="27" t="str">
        <f aca="false">IF(OR(G121="",H121=""),"",IFERROR(IF(INDEX('TDS Rates'!$E$6:$E$40,MATCH(G121,'TDS Rates'!$B$6:$B$40,0))="Form 141",EOMONTH(IF(R121="",B121,R121),0)+30,IF(MONTH(IF(R121="",B121,R121))=3,DATE(YEAR(IF(R121="",B121,R121)),4,30),DATE(YEAR(IF(R121="",B121,R121)),MONTH(IF(R121="",B121,R121))+1,7))),""))</f>
        <v/>
      </c>
      <c r="R121" s="17"/>
      <c r="S121" s="17"/>
      <c r="T121" s="5"/>
      <c r="U121" s="28" t="str">
        <f aca="false">IF(OR(G121="",H121=""),"",IF(P121=0,0,IF(IF(R121="",Settings!$C$9,R121)&lt;=B121,0,((YEAR(IF(R121="",Settings!$C$9,R121))-YEAR(B121))*12+MONTH(IF(R121="",Settings!$C$9,R121))-MONTH(B121)+1))))</f>
        <v/>
      </c>
      <c r="V121" s="29" t="str">
        <f aca="false">IF(OR(G121="",H121=""),"",ROUND(P121*Settings!$C$10*U121,0))</f>
        <v/>
      </c>
      <c r="W121" s="28" t="str">
        <f aca="false">IF(OR(G121="",H121=""),"",IF(OR(P121=0,R121=""),0,IF(IF(S121="",Settings!$C$9,S121)&lt;=Q121,0,((YEAR(IF(S121="",Settings!$C$9,S121))-YEAR(R121))*12+MONTH(IF(S121="",Settings!$C$9,S121))-MONTH(R121)+1))))</f>
        <v/>
      </c>
      <c r="X121" s="29" t="str">
        <f aca="false">IF(OR(G121="",H121=""),"",ROUND(P121*Settings!$C$11*W121,0))</f>
        <v/>
      </c>
      <c r="Y121" s="29" t="str">
        <f aca="false">IF(OR(G121="",H121=""),"",V121+X121)</f>
        <v/>
      </c>
      <c r="Z121" s="7" t="str">
        <f aca="false">IF(OR(G121="",H121=""),"",IF(P121=0,"Below threshold",IF(R121="","Not yet deducted",IF(S121="",IF(Settings!$C$9&gt;Q121,"Overdue — pay now","Deducted, due "&amp;TEXT(Q121,"dd-mmm")),IF(S121&lt;=Q121,IF(N(U121)&gt;0,"Deducted late, paid on time","Paid on time"),"Paid late")))))</f>
        <v/>
      </c>
      <c r="AA121" s="35" t="str">
        <f aca="false">IF(OR(G121="",H121=""),"",IF(D121&lt;&gt;"",UPPER(TRIM(D121)),UPPER(TRIM(C121))))</f>
        <v/>
      </c>
    </row>
    <row r="122" customFormat="false" ht="15" hidden="false" customHeight="false" outlineLevel="0" collapsed="false">
      <c r="B122" s="17"/>
      <c r="C122" s="5"/>
      <c r="D122" s="5"/>
      <c r="E122" s="5"/>
      <c r="F122" s="5"/>
      <c r="G122" s="5"/>
      <c r="H122" s="16"/>
      <c r="I122" s="7" t="str">
        <f aca="false">IF(OR(G122="",H122=""),"",IFERROR(INDEX('TDS Rates'!$D$6:$D$40,MATCH(G122,'TDS Rates'!$B$6:$B$40,0)),"Check nature"))</f>
        <v/>
      </c>
      <c r="J122" s="7" t="str">
        <f aca="false">IF(OR(G122="",H122=""),"",IFERROR(INDEX('TDS Rates'!$C$6:$C$40,MATCH(G122,'TDS Rates'!$B$6:$B$40,0)),""))</f>
        <v/>
      </c>
      <c r="K122" s="7" t="str">
        <f aca="false">IF(OR(G122="",H122=""),"",IFERROR(INDEX('TDS Rates'!$E$6:$E$40,MATCH(G122,'TDS Rates'!$B$6:$B$40,0)),""))</f>
        <v/>
      </c>
      <c r="L122" s="29" t="str">
        <f aca="false">IF(OR(G122="",H122=""),"",SUMIFS(H$6:H121,AA$6:AA121,AA122,G$6:G121,G122))</f>
        <v/>
      </c>
      <c r="M122" s="29" t="str">
        <f aca="false">IF(OR(G122="",H122=""),"",SUMIFS(H$6:H121,AA$6:AA121,AA122,G$6:G121,G122,N$6:N121,0))</f>
        <v/>
      </c>
      <c r="N122" s="29" t="str">
        <f aca="false">IF(OR(G122="",H122=""),"",IFERROR(IF(INDEX('TDS Rates'!$F$6:$F$40,MATCH(G122,'TDS Rates'!$B$6:$B$40,0))="NONE",H122,IF(INDEX('TDS Rates'!$F$6:$F$40,MATCH(G122,'TDS Rates'!$B$6:$B$40,0))="PER",IF(H122&gt;INDEX('TDS Rates'!$G$6:$G$40,MATCH(G122,'TDS Rates'!$B$6:$B$40,0)),H122,0),IF(INDEX('TDS Rates'!$F$6:$F$40,MATCH(G122,'TDS Rates'!$B$6:$B$40,0))="EXCESS",MAX(0,L122+H122-INDEX('TDS Rates'!$H$6:$H$40,MATCH(G122,'TDS Rates'!$B$6:$B$40,0)))-MAX(0,L122-INDEX('TDS Rates'!$H$6:$H$40,MATCH(G122,'TDS Rates'!$B$6:$B$40,0))),IF(INDEX('TDS Rates'!$F$6:$F$40,MATCH(G122,'TDS Rates'!$B$6:$B$40,0))="SA",IF(L122+H122&gt;INDEX('TDS Rates'!$H$6:$H$40,MATCH(G122,'TDS Rates'!$B$6:$B$40,0)),H122+M122,IF(H122&gt;INDEX('TDS Rates'!$G$6:$G$40,MATCH(G122,'TDS Rates'!$B$6:$B$40,0)),H122,0)),IF(L122+H122&gt;INDEX('TDS Rates'!$H$6:$H$40,MATCH(G122,'TDS Rates'!$B$6:$B$40,0)),H122+M122,0))))),0))</f>
        <v/>
      </c>
      <c r="O122" s="33" t="str">
        <f aca="false">IF(OR(G122="",H122=""),"",IFERROR(IF(F122="No",IF(INDEX('TDS Rates'!$C$6:$C$40,MATCH(G122,'TDS Rates'!$B$6:$B$40,0))="194Q",Settings!$C$14,MAX(Settings!$C$13,IF(E122="Individual / HUF",INDEX('TDS Rates'!$I$6:$I$40,MATCH(G122,'TDS Rates'!$B$6:$B$40,0)),IF(E122="Company",INDEX('TDS Rates'!$J$6:$J$40,MATCH(G122,'TDS Rates'!$B$6:$B$40,0)),INDEX('TDS Rates'!$K$6:$K$40,MATCH(G122,'TDS Rates'!$B$6:$B$40,0)))))),IF(E122="Individual / HUF",INDEX('TDS Rates'!$I$6:$I$40,MATCH(G122,'TDS Rates'!$B$6:$B$40,0)),IF(E122="Company",INDEX('TDS Rates'!$J$6:$J$40,MATCH(G122,'TDS Rates'!$B$6:$B$40,0)),INDEX('TDS Rates'!$K$6:$K$40,MATCH(G122,'TDS Rates'!$B$6:$B$40,0))))),0))</f>
        <v/>
      </c>
      <c r="P122" s="34" t="str">
        <f aca="false">IF(OR(G122="",H122=""),"",ROUND(N122*O122,0))</f>
        <v/>
      </c>
      <c r="Q122" s="27" t="str">
        <f aca="false">IF(OR(G122="",H122=""),"",IFERROR(IF(INDEX('TDS Rates'!$E$6:$E$40,MATCH(G122,'TDS Rates'!$B$6:$B$40,0))="Form 141",EOMONTH(IF(R122="",B122,R122),0)+30,IF(MONTH(IF(R122="",B122,R122))=3,DATE(YEAR(IF(R122="",B122,R122)),4,30),DATE(YEAR(IF(R122="",B122,R122)),MONTH(IF(R122="",B122,R122))+1,7))),""))</f>
        <v/>
      </c>
      <c r="R122" s="17"/>
      <c r="S122" s="17"/>
      <c r="T122" s="5"/>
      <c r="U122" s="28" t="str">
        <f aca="false">IF(OR(G122="",H122=""),"",IF(P122=0,0,IF(IF(R122="",Settings!$C$9,R122)&lt;=B122,0,((YEAR(IF(R122="",Settings!$C$9,R122))-YEAR(B122))*12+MONTH(IF(R122="",Settings!$C$9,R122))-MONTH(B122)+1))))</f>
        <v/>
      </c>
      <c r="V122" s="29" t="str">
        <f aca="false">IF(OR(G122="",H122=""),"",ROUND(P122*Settings!$C$10*U122,0))</f>
        <v/>
      </c>
      <c r="W122" s="28" t="str">
        <f aca="false">IF(OR(G122="",H122=""),"",IF(OR(P122=0,R122=""),0,IF(IF(S122="",Settings!$C$9,S122)&lt;=Q122,0,((YEAR(IF(S122="",Settings!$C$9,S122))-YEAR(R122))*12+MONTH(IF(S122="",Settings!$C$9,S122))-MONTH(R122)+1))))</f>
        <v/>
      </c>
      <c r="X122" s="29" t="str">
        <f aca="false">IF(OR(G122="",H122=""),"",ROUND(P122*Settings!$C$11*W122,0))</f>
        <v/>
      </c>
      <c r="Y122" s="29" t="str">
        <f aca="false">IF(OR(G122="",H122=""),"",V122+X122)</f>
        <v/>
      </c>
      <c r="Z122" s="7" t="str">
        <f aca="false">IF(OR(G122="",H122=""),"",IF(P122=0,"Below threshold",IF(R122="","Not yet deducted",IF(S122="",IF(Settings!$C$9&gt;Q122,"Overdue — pay now","Deducted, due "&amp;TEXT(Q122,"dd-mmm")),IF(S122&lt;=Q122,IF(N(U122)&gt;0,"Deducted late, paid on time","Paid on time"),"Paid late")))))</f>
        <v/>
      </c>
      <c r="AA122" s="35" t="str">
        <f aca="false">IF(OR(G122="",H122=""),"",IF(D122&lt;&gt;"",UPPER(TRIM(D122)),UPPER(TRIM(C122))))</f>
        <v/>
      </c>
    </row>
    <row r="123" customFormat="false" ht="15" hidden="false" customHeight="false" outlineLevel="0" collapsed="false">
      <c r="B123" s="17"/>
      <c r="C123" s="5"/>
      <c r="D123" s="5"/>
      <c r="E123" s="5"/>
      <c r="F123" s="5"/>
      <c r="G123" s="5"/>
      <c r="H123" s="16"/>
      <c r="I123" s="7" t="str">
        <f aca="false">IF(OR(G123="",H123=""),"",IFERROR(INDEX('TDS Rates'!$D$6:$D$40,MATCH(G123,'TDS Rates'!$B$6:$B$40,0)),"Check nature"))</f>
        <v/>
      </c>
      <c r="J123" s="7" t="str">
        <f aca="false">IF(OR(G123="",H123=""),"",IFERROR(INDEX('TDS Rates'!$C$6:$C$40,MATCH(G123,'TDS Rates'!$B$6:$B$40,0)),""))</f>
        <v/>
      </c>
      <c r="K123" s="7" t="str">
        <f aca="false">IF(OR(G123="",H123=""),"",IFERROR(INDEX('TDS Rates'!$E$6:$E$40,MATCH(G123,'TDS Rates'!$B$6:$B$40,0)),""))</f>
        <v/>
      </c>
      <c r="L123" s="29" t="str">
        <f aca="false">IF(OR(G123="",H123=""),"",SUMIFS(H$6:H122,AA$6:AA122,AA123,G$6:G122,G123))</f>
        <v/>
      </c>
      <c r="M123" s="29" t="str">
        <f aca="false">IF(OR(G123="",H123=""),"",SUMIFS(H$6:H122,AA$6:AA122,AA123,G$6:G122,G123,N$6:N122,0))</f>
        <v/>
      </c>
      <c r="N123" s="29" t="str">
        <f aca="false">IF(OR(G123="",H123=""),"",IFERROR(IF(INDEX('TDS Rates'!$F$6:$F$40,MATCH(G123,'TDS Rates'!$B$6:$B$40,0))="NONE",H123,IF(INDEX('TDS Rates'!$F$6:$F$40,MATCH(G123,'TDS Rates'!$B$6:$B$40,0))="PER",IF(H123&gt;INDEX('TDS Rates'!$G$6:$G$40,MATCH(G123,'TDS Rates'!$B$6:$B$40,0)),H123,0),IF(INDEX('TDS Rates'!$F$6:$F$40,MATCH(G123,'TDS Rates'!$B$6:$B$40,0))="EXCESS",MAX(0,L123+H123-INDEX('TDS Rates'!$H$6:$H$40,MATCH(G123,'TDS Rates'!$B$6:$B$40,0)))-MAX(0,L123-INDEX('TDS Rates'!$H$6:$H$40,MATCH(G123,'TDS Rates'!$B$6:$B$40,0))),IF(INDEX('TDS Rates'!$F$6:$F$40,MATCH(G123,'TDS Rates'!$B$6:$B$40,0))="SA",IF(L123+H123&gt;INDEX('TDS Rates'!$H$6:$H$40,MATCH(G123,'TDS Rates'!$B$6:$B$40,0)),H123+M123,IF(H123&gt;INDEX('TDS Rates'!$G$6:$G$40,MATCH(G123,'TDS Rates'!$B$6:$B$40,0)),H123,0)),IF(L123+H123&gt;INDEX('TDS Rates'!$H$6:$H$40,MATCH(G123,'TDS Rates'!$B$6:$B$40,0)),H123+M123,0))))),0))</f>
        <v/>
      </c>
      <c r="O123" s="33" t="str">
        <f aca="false">IF(OR(G123="",H123=""),"",IFERROR(IF(F123="No",IF(INDEX('TDS Rates'!$C$6:$C$40,MATCH(G123,'TDS Rates'!$B$6:$B$40,0))="194Q",Settings!$C$14,MAX(Settings!$C$13,IF(E123="Individual / HUF",INDEX('TDS Rates'!$I$6:$I$40,MATCH(G123,'TDS Rates'!$B$6:$B$40,0)),IF(E123="Company",INDEX('TDS Rates'!$J$6:$J$40,MATCH(G123,'TDS Rates'!$B$6:$B$40,0)),INDEX('TDS Rates'!$K$6:$K$40,MATCH(G123,'TDS Rates'!$B$6:$B$40,0)))))),IF(E123="Individual / HUF",INDEX('TDS Rates'!$I$6:$I$40,MATCH(G123,'TDS Rates'!$B$6:$B$40,0)),IF(E123="Company",INDEX('TDS Rates'!$J$6:$J$40,MATCH(G123,'TDS Rates'!$B$6:$B$40,0)),INDEX('TDS Rates'!$K$6:$K$40,MATCH(G123,'TDS Rates'!$B$6:$B$40,0))))),0))</f>
        <v/>
      </c>
      <c r="P123" s="34" t="str">
        <f aca="false">IF(OR(G123="",H123=""),"",ROUND(N123*O123,0))</f>
        <v/>
      </c>
      <c r="Q123" s="27" t="str">
        <f aca="false">IF(OR(G123="",H123=""),"",IFERROR(IF(INDEX('TDS Rates'!$E$6:$E$40,MATCH(G123,'TDS Rates'!$B$6:$B$40,0))="Form 141",EOMONTH(IF(R123="",B123,R123),0)+30,IF(MONTH(IF(R123="",B123,R123))=3,DATE(YEAR(IF(R123="",B123,R123)),4,30),DATE(YEAR(IF(R123="",B123,R123)),MONTH(IF(R123="",B123,R123))+1,7))),""))</f>
        <v/>
      </c>
      <c r="R123" s="17"/>
      <c r="S123" s="17"/>
      <c r="T123" s="5"/>
      <c r="U123" s="28" t="str">
        <f aca="false">IF(OR(G123="",H123=""),"",IF(P123=0,0,IF(IF(R123="",Settings!$C$9,R123)&lt;=B123,0,((YEAR(IF(R123="",Settings!$C$9,R123))-YEAR(B123))*12+MONTH(IF(R123="",Settings!$C$9,R123))-MONTH(B123)+1))))</f>
        <v/>
      </c>
      <c r="V123" s="29" t="str">
        <f aca="false">IF(OR(G123="",H123=""),"",ROUND(P123*Settings!$C$10*U123,0))</f>
        <v/>
      </c>
      <c r="W123" s="28" t="str">
        <f aca="false">IF(OR(G123="",H123=""),"",IF(OR(P123=0,R123=""),0,IF(IF(S123="",Settings!$C$9,S123)&lt;=Q123,0,((YEAR(IF(S123="",Settings!$C$9,S123))-YEAR(R123))*12+MONTH(IF(S123="",Settings!$C$9,S123))-MONTH(R123)+1))))</f>
        <v/>
      </c>
      <c r="X123" s="29" t="str">
        <f aca="false">IF(OR(G123="",H123=""),"",ROUND(P123*Settings!$C$11*W123,0))</f>
        <v/>
      </c>
      <c r="Y123" s="29" t="str">
        <f aca="false">IF(OR(G123="",H123=""),"",V123+X123)</f>
        <v/>
      </c>
      <c r="Z123" s="7" t="str">
        <f aca="false">IF(OR(G123="",H123=""),"",IF(P123=0,"Below threshold",IF(R123="","Not yet deducted",IF(S123="",IF(Settings!$C$9&gt;Q123,"Overdue — pay now","Deducted, due "&amp;TEXT(Q123,"dd-mmm")),IF(S123&lt;=Q123,IF(N(U123)&gt;0,"Deducted late, paid on time","Paid on time"),"Paid late")))))</f>
        <v/>
      </c>
      <c r="AA123" s="35" t="str">
        <f aca="false">IF(OR(G123="",H123=""),"",IF(D123&lt;&gt;"",UPPER(TRIM(D123)),UPPER(TRIM(C123))))</f>
        <v/>
      </c>
    </row>
    <row r="124" customFormat="false" ht="15" hidden="false" customHeight="false" outlineLevel="0" collapsed="false">
      <c r="B124" s="17"/>
      <c r="C124" s="5"/>
      <c r="D124" s="5"/>
      <c r="E124" s="5"/>
      <c r="F124" s="5"/>
      <c r="G124" s="5"/>
      <c r="H124" s="16"/>
      <c r="I124" s="7" t="str">
        <f aca="false">IF(OR(G124="",H124=""),"",IFERROR(INDEX('TDS Rates'!$D$6:$D$40,MATCH(G124,'TDS Rates'!$B$6:$B$40,0)),"Check nature"))</f>
        <v/>
      </c>
      <c r="J124" s="7" t="str">
        <f aca="false">IF(OR(G124="",H124=""),"",IFERROR(INDEX('TDS Rates'!$C$6:$C$40,MATCH(G124,'TDS Rates'!$B$6:$B$40,0)),""))</f>
        <v/>
      </c>
      <c r="K124" s="7" t="str">
        <f aca="false">IF(OR(G124="",H124=""),"",IFERROR(INDEX('TDS Rates'!$E$6:$E$40,MATCH(G124,'TDS Rates'!$B$6:$B$40,0)),""))</f>
        <v/>
      </c>
      <c r="L124" s="29" t="str">
        <f aca="false">IF(OR(G124="",H124=""),"",SUMIFS(H$6:H123,AA$6:AA123,AA124,G$6:G123,G124))</f>
        <v/>
      </c>
      <c r="M124" s="29" t="str">
        <f aca="false">IF(OR(G124="",H124=""),"",SUMIFS(H$6:H123,AA$6:AA123,AA124,G$6:G123,G124,N$6:N123,0))</f>
        <v/>
      </c>
      <c r="N124" s="29" t="str">
        <f aca="false">IF(OR(G124="",H124=""),"",IFERROR(IF(INDEX('TDS Rates'!$F$6:$F$40,MATCH(G124,'TDS Rates'!$B$6:$B$40,0))="NONE",H124,IF(INDEX('TDS Rates'!$F$6:$F$40,MATCH(G124,'TDS Rates'!$B$6:$B$40,0))="PER",IF(H124&gt;INDEX('TDS Rates'!$G$6:$G$40,MATCH(G124,'TDS Rates'!$B$6:$B$40,0)),H124,0),IF(INDEX('TDS Rates'!$F$6:$F$40,MATCH(G124,'TDS Rates'!$B$6:$B$40,0))="EXCESS",MAX(0,L124+H124-INDEX('TDS Rates'!$H$6:$H$40,MATCH(G124,'TDS Rates'!$B$6:$B$40,0)))-MAX(0,L124-INDEX('TDS Rates'!$H$6:$H$40,MATCH(G124,'TDS Rates'!$B$6:$B$40,0))),IF(INDEX('TDS Rates'!$F$6:$F$40,MATCH(G124,'TDS Rates'!$B$6:$B$40,0))="SA",IF(L124+H124&gt;INDEX('TDS Rates'!$H$6:$H$40,MATCH(G124,'TDS Rates'!$B$6:$B$40,0)),H124+M124,IF(H124&gt;INDEX('TDS Rates'!$G$6:$G$40,MATCH(G124,'TDS Rates'!$B$6:$B$40,0)),H124,0)),IF(L124+H124&gt;INDEX('TDS Rates'!$H$6:$H$40,MATCH(G124,'TDS Rates'!$B$6:$B$40,0)),H124+M124,0))))),0))</f>
        <v/>
      </c>
      <c r="O124" s="33" t="str">
        <f aca="false">IF(OR(G124="",H124=""),"",IFERROR(IF(F124="No",IF(INDEX('TDS Rates'!$C$6:$C$40,MATCH(G124,'TDS Rates'!$B$6:$B$40,0))="194Q",Settings!$C$14,MAX(Settings!$C$13,IF(E124="Individual / HUF",INDEX('TDS Rates'!$I$6:$I$40,MATCH(G124,'TDS Rates'!$B$6:$B$40,0)),IF(E124="Company",INDEX('TDS Rates'!$J$6:$J$40,MATCH(G124,'TDS Rates'!$B$6:$B$40,0)),INDEX('TDS Rates'!$K$6:$K$40,MATCH(G124,'TDS Rates'!$B$6:$B$40,0)))))),IF(E124="Individual / HUF",INDEX('TDS Rates'!$I$6:$I$40,MATCH(G124,'TDS Rates'!$B$6:$B$40,0)),IF(E124="Company",INDEX('TDS Rates'!$J$6:$J$40,MATCH(G124,'TDS Rates'!$B$6:$B$40,0)),INDEX('TDS Rates'!$K$6:$K$40,MATCH(G124,'TDS Rates'!$B$6:$B$40,0))))),0))</f>
        <v/>
      </c>
      <c r="P124" s="34" t="str">
        <f aca="false">IF(OR(G124="",H124=""),"",ROUND(N124*O124,0))</f>
        <v/>
      </c>
      <c r="Q124" s="27" t="str">
        <f aca="false">IF(OR(G124="",H124=""),"",IFERROR(IF(INDEX('TDS Rates'!$E$6:$E$40,MATCH(G124,'TDS Rates'!$B$6:$B$40,0))="Form 141",EOMONTH(IF(R124="",B124,R124),0)+30,IF(MONTH(IF(R124="",B124,R124))=3,DATE(YEAR(IF(R124="",B124,R124)),4,30),DATE(YEAR(IF(R124="",B124,R124)),MONTH(IF(R124="",B124,R124))+1,7))),""))</f>
        <v/>
      </c>
      <c r="R124" s="17"/>
      <c r="S124" s="17"/>
      <c r="T124" s="5"/>
      <c r="U124" s="28" t="str">
        <f aca="false">IF(OR(G124="",H124=""),"",IF(P124=0,0,IF(IF(R124="",Settings!$C$9,R124)&lt;=B124,0,((YEAR(IF(R124="",Settings!$C$9,R124))-YEAR(B124))*12+MONTH(IF(R124="",Settings!$C$9,R124))-MONTH(B124)+1))))</f>
        <v/>
      </c>
      <c r="V124" s="29" t="str">
        <f aca="false">IF(OR(G124="",H124=""),"",ROUND(P124*Settings!$C$10*U124,0))</f>
        <v/>
      </c>
      <c r="W124" s="28" t="str">
        <f aca="false">IF(OR(G124="",H124=""),"",IF(OR(P124=0,R124=""),0,IF(IF(S124="",Settings!$C$9,S124)&lt;=Q124,0,((YEAR(IF(S124="",Settings!$C$9,S124))-YEAR(R124))*12+MONTH(IF(S124="",Settings!$C$9,S124))-MONTH(R124)+1))))</f>
        <v/>
      </c>
      <c r="X124" s="29" t="str">
        <f aca="false">IF(OR(G124="",H124=""),"",ROUND(P124*Settings!$C$11*W124,0))</f>
        <v/>
      </c>
      <c r="Y124" s="29" t="str">
        <f aca="false">IF(OR(G124="",H124=""),"",V124+X124)</f>
        <v/>
      </c>
      <c r="Z124" s="7" t="str">
        <f aca="false">IF(OR(G124="",H124=""),"",IF(P124=0,"Below threshold",IF(R124="","Not yet deducted",IF(S124="",IF(Settings!$C$9&gt;Q124,"Overdue — pay now","Deducted, due "&amp;TEXT(Q124,"dd-mmm")),IF(S124&lt;=Q124,IF(N(U124)&gt;0,"Deducted late, paid on time","Paid on time"),"Paid late")))))</f>
        <v/>
      </c>
      <c r="AA124" s="35" t="str">
        <f aca="false">IF(OR(G124="",H124=""),"",IF(D124&lt;&gt;"",UPPER(TRIM(D124)),UPPER(TRIM(C124))))</f>
        <v/>
      </c>
    </row>
    <row r="125" customFormat="false" ht="15" hidden="false" customHeight="false" outlineLevel="0" collapsed="false">
      <c r="B125" s="17"/>
      <c r="C125" s="5"/>
      <c r="D125" s="5"/>
      <c r="E125" s="5"/>
      <c r="F125" s="5"/>
      <c r="G125" s="5"/>
      <c r="H125" s="16"/>
      <c r="I125" s="7" t="str">
        <f aca="false">IF(OR(G125="",H125=""),"",IFERROR(INDEX('TDS Rates'!$D$6:$D$40,MATCH(G125,'TDS Rates'!$B$6:$B$40,0)),"Check nature"))</f>
        <v/>
      </c>
      <c r="J125" s="7" t="str">
        <f aca="false">IF(OR(G125="",H125=""),"",IFERROR(INDEX('TDS Rates'!$C$6:$C$40,MATCH(G125,'TDS Rates'!$B$6:$B$40,0)),""))</f>
        <v/>
      </c>
      <c r="K125" s="7" t="str">
        <f aca="false">IF(OR(G125="",H125=""),"",IFERROR(INDEX('TDS Rates'!$E$6:$E$40,MATCH(G125,'TDS Rates'!$B$6:$B$40,0)),""))</f>
        <v/>
      </c>
      <c r="L125" s="29" t="str">
        <f aca="false">IF(OR(G125="",H125=""),"",SUMIFS(H$6:H124,AA$6:AA124,AA125,G$6:G124,G125))</f>
        <v/>
      </c>
      <c r="M125" s="29" t="str">
        <f aca="false">IF(OR(G125="",H125=""),"",SUMIFS(H$6:H124,AA$6:AA124,AA125,G$6:G124,G125,N$6:N124,0))</f>
        <v/>
      </c>
      <c r="N125" s="29" t="str">
        <f aca="false">IF(OR(G125="",H125=""),"",IFERROR(IF(INDEX('TDS Rates'!$F$6:$F$40,MATCH(G125,'TDS Rates'!$B$6:$B$40,0))="NONE",H125,IF(INDEX('TDS Rates'!$F$6:$F$40,MATCH(G125,'TDS Rates'!$B$6:$B$40,0))="PER",IF(H125&gt;INDEX('TDS Rates'!$G$6:$G$40,MATCH(G125,'TDS Rates'!$B$6:$B$40,0)),H125,0),IF(INDEX('TDS Rates'!$F$6:$F$40,MATCH(G125,'TDS Rates'!$B$6:$B$40,0))="EXCESS",MAX(0,L125+H125-INDEX('TDS Rates'!$H$6:$H$40,MATCH(G125,'TDS Rates'!$B$6:$B$40,0)))-MAX(0,L125-INDEX('TDS Rates'!$H$6:$H$40,MATCH(G125,'TDS Rates'!$B$6:$B$40,0))),IF(INDEX('TDS Rates'!$F$6:$F$40,MATCH(G125,'TDS Rates'!$B$6:$B$40,0))="SA",IF(L125+H125&gt;INDEX('TDS Rates'!$H$6:$H$40,MATCH(G125,'TDS Rates'!$B$6:$B$40,0)),H125+M125,IF(H125&gt;INDEX('TDS Rates'!$G$6:$G$40,MATCH(G125,'TDS Rates'!$B$6:$B$40,0)),H125,0)),IF(L125+H125&gt;INDEX('TDS Rates'!$H$6:$H$40,MATCH(G125,'TDS Rates'!$B$6:$B$40,0)),H125+M125,0))))),0))</f>
        <v/>
      </c>
      <c r="O125" s="33" t="str">
        <f aca="false">IF(OR(G125="",H125=""),"",IFERROR(IF(F125="No",IF(INDEX('TDS Rates'!$C$6:$C$40,MATCH(G125,'TDS Rates'!$B$6:$B$40,0))="194Q",Settings!$C$14,MAX(Settings!$C$13,IF(E125="Individual / HUF",INDEX('TDS Rates'!$I$6:$I$40,MATCH(G125,'TDS Rates'!$B$6:$B$40,0)),IF(E125="Company",INDEX('TDS Rates'!$J$6:$J$40,MATCH(G125,'TDS Rates'!$B$6:$B$40,0)),INDEX('TDS Rates'!$K$6:$K$40,MATCH(G125,'TDS Rates'!$B$6:$B$40,0)))))),IF(E125="Individual / HUF",INDEX('TDS Rates'!$I$6:$I$40,MATCH(G125,'TDS Rates'!$B$6:$B$40,0)),IF(E125="Company",INDEX('TDS Rates'!$J$6:$J$40,MATCH(G125,'TDS Rates'!$B$6:$B$40,0)),INDEX('TDS Rates'!$K$6:$K$40,MATCH(G125,'TDS Rates'!$B$6:$B$40,0))))),0))</f>
        <v/>
      </c>
      <c r="P125" s="34" t="str">
        <f aca="false">IF(OR(G125="",H125=""),"",ROUND(N125*O125,0))</f>
        <v/>
      </c>
      <c r="Q125" s="27" t="str">
        <f aca="false">IF(OR(G125="",H125=""),"",IFERROR(IF(INDEX('TDS Rates'!$E$6:$E$40,MATCH(G125,'TDS Rates'!$B$6:$B$40,0))="Form 141",EOMONTH(IF(R125="",B125,R125),0)+30,IF(MONTH(IF(R125="",B125,R125))=3,DATE(YEAR(IF(R125="",B125,R125)),4,30),DATE(YEAR(IF(R125="",B125,R125)),MONTH(IF(R125="",B125,R125))+1,7))),""))</f>
        <v/>
      </c>
      <c r="R125" s="17"/>
      <c r="S125" s="17"/>
      <c r="T125" s="5"/>
      <c r="U125" s="28" t="str">
        <f aca="false">IF(OR(G125="",H125=""),"",IF(P125=0,0,IF(IF(R125="",Settings!$C$9,R125)&lt;=B125,0,((YEAR(IF(R125="",Settings!$C$9,R125))-YEAR(B125))*12+MONTH(IF(R125="",Settings!$C$9,R125))-MONTH(B125)+1))))</f>
        <v/>
      </c>
      <c r="V125" s="29" t="str">
        <f aca="false">IF(OR(G125="",H125=""),"",ROUND(P125*Settings!$C$10*U125,0))</f>
        <v/>
      </c>
      <c r="W125" s="28" t="str">
        <f aca="false">IF(OR(G125="",H125=""),"",IF(OR(P125=0,R125=""),0,IF(IF(S125="",Settings!$C$9,S125)&lt;=Q125,0,((YEAR(IF(S125="",Settings!$C$9,S125))-YEAR(R125))*12+MONTH(IF(S125="",Settings!$C$9,S125))-MONTH(R125)+1))))</f>
        <v/>
      </c>
      <c r="X125" s="29" t="str">
        <f aca="false">IF(OR(G125="",H125=""),"",ROUND(P125*Settings!$C$11*W125,0))</f>
        <v/>
      </c>
      <c r="Y125" s="29" t="str">
        <f aca="false">IF(OR(G125="",H125=""),"",V125+X125)</f>
        <v/>
      </c>
      <c r="Z125" s="7" t="str">
        <f aca="false">IF(OR(G125="",H125=""),"",IF(P125=0,"Below threshold",IF(R125="","Not yet deducted",IF(S125="",IF(Settings!$C$9&gt;Q125,"Overdue — pay now","Deducted, due "&amp;TEXT(Q125,"dd-mmm")),IF(S125&lt;=Q125,IF(N(U125)&gt;0,"Deducted late, paid on time","Paid on time"),"Paid late")))))</f>
        <v/>
      </c>
      <c r="AA125" s="35" t="str">
        <f aca="false">IF(OR(G125="",H125=""),"",IF(D125&lt;&gt;"",UPPER(TRIM(D125)),UPPER(TRIM(C125))))</f>
        <v/>
      </c>
    </row>
    <row r="126" customFormat="false" ht="15" hidden="false" customHeight="false" outlineLevel="0" collapsed="false">
      <c r="B126" s="17"/>
      <c r="C126" s="5"/>
      <c r="D126" s="5"/>
      <c r="E126" s="5"/>
      <c r="F126" s="5"/>
      <c r="G126" s="5"/>
      <c r="H126" s="16"/>
      <c r="I126" s="7" t="str">
        <f aca="false">IF(OR(G126="",H126=""),"",IFERROR(INDEX('TDS Rates'!$D$6:$D$40,MATCH(G126,'TDS Rates'!$B$6:$B$40,0)),"Check nature"))</f>
        <v/>
      </c>
      <c r="J126" s="7" t="str">
        <f aca="false">IF(OR(G126="",H126=""),"",IFERROR(INDEX('TDS Rates'!$C$6:$C$40,MATCH(G126,'TDS Rates'!$B$6:$B$40,0)),""))</f>
        <v/>
      </c>
      <c r="K126" s="7" t="str">
        <f aca="false">IF(OR(G126="",H126=""),"",IFERROR(INDEX('TDS Rates'!$E$6:$E$40,MATCH(G126,'TDS Rates'!$B$6:$B$40,0)),""))</f>
        <v/>
      </c>
      <c r="L126" s="29" t="str">
        <f aca="false">IF(OR(G126="",H126=""),"",SUMIFS(H$6:H125,AA$6:AA125,AA126,G$6:G125,G126))</f>
        <v/>
      </c>
      <c r="M126" s="29" t="str">
        <f aca="false">IF(OR(G126="",H126=""),"",SUMIFS(H$6:H125,AA$6:AA125,AA126,G$6:G125,G126,N$6:N125,0))</f>
        <v/>
      </c>
      <c r="N126" s="29" t="str">
        <f aca="false">IF(OR(G126="",H126=""),"",IFERROR(IF(INDEX('TDS Rates'!$F$6:$F$40,MATCH(G126,'TDS Rates'!$B$6:$B$40,0))="NONE",H126,IF(INDEX('TDS Rates'!$F$6:$F$40,MATCH(G126,'TDS Rates'!$B$6:$B$40,0))="PER",IF(H126&gt;INDEX('TDS Rates'!$G$6:$G$40,MATCH(G126,'TDS Rates'!$B$6:$B$40,0)),H126,0),IF(INDEX('TDS Rates'!$F$6:$F$40,MATCH(G126,'TDS Rates'!$B$6:$B$40,0))="EXCESS",MAX(0,L126+H126-INDEX('TDS Rates'!$H$6:$H$40,MATCH(G126,'TDS Rates'!$B$6:$B$40,0)))-MAX(0,L126-INDEX('TDS Rates'!$H$6:$H$40,MATCH(G126,'TDS Rates'!$B$6:$B$40,0))),IF(INDEX('TDS Rates'!$F$6:$F$40,MATCH(G126,'TDS Rates'!$B$6:$B$40,0))="SA",IF(L126+H126&gt;INDEX('TDS Rates'!$H$6:$H$40,MATCH(G126,'TDS Rates'!$B$6:$B$40,0)),H126+M126,IF(H126&gt;INDEX('TDS Rates'!$G$6:$G$40,MATCH(G126,'TDS Rates'!$B$6:$B$40,0)),H126,0)),IF(L126+H126&gt;INDEX('TDS Rates'!$H$6:$H$40,MATCH(G126,'TDS Rates'!$B$6:$B$40,0)),H126+M126,0))))),0))</f>
        <v/>
      </c>
      <c r="O126" s="33" t="str">
        <f aca="false">IF(OR(G126="",H126=""),"",IFERROR(IF(F126="No",IF(INDEX('TDS Rates'!$C$6:$C$40,MATCH(G126,'TDS Rates'!$B$6:$B$40,0))="194Q",Settings!$C$14,MAX(Settings!$C$13,IF(E126="Individual / HUF",INDEX('TDS Rates'!$I$6:$I$40,MATCH(G126,'TDS Rates'!$B$6:$B$40,0)),IF(E126="Company",INDEX('TDS Rates'!$J$6:$J$40,MATCH(G126,'TDS Rates'!$B$6:$B$40,0)),INDEX('TDS Rates'!$K$6:$K$40,MATCH(G126,'TDS Rates'!$B$6:$B$40,0)))))),IF(E126="Individual / HUF",INDEX('TDS Rates'!$I$6:$I$40,MATCH(G126,'TDS Rates'!$B$6:$B$40,0)),IF(E126="Company",INDEX('TDS Rates'!$J$6:$J$40,MATCH(G126,'TDS Rates'!$B$6:$B$40,0)),INDEX('TDS Rates'!$K$6:$K$40,MATCH(G126,'TDS Rates'!$B$6:$B$40,0))))),0))</f>
        <v/>
      </c>
      <c r="P126" s="34" t="str">
        <f aca="false">IF(OR(G126="",H126=""),"",ROUND(N126*O126,0))</f>
        <v/>
      </c>
      <c r="Q126" s="27" t="str">
        <f aca="false">IF(OR(G126="",H126=""),"",IFERROR(IF(INDEX('TDS Rates'!$E$6:$E$40,MATCH(G126,'TDS Rates'!$B$6:$B$40,0))="Form 141",EOMONTH(IF(R126="",B126,R126),0)+30,IF(MONTH(IF(R126="",B126,R126))=3,DATE(YEAR(IF(R126="",B126,R126)),4,30),DATE(YEAR(IF(R126="",B126,R126)),MONTH(IF(R126="",B126,R126))+1,7))),""))</f>
        <v/>
      </c>
      <c r="R126" s="17"/>
      <c r="S126" s="17"/>
      <c r="T126" s="5"/>
      <c r="U126" s="28" t="str">
        <f aca="false">IF(OR(G126="",H126=""),"",IF(P126=0,0,IF(IF(R126="",Settings!$C$9,R126)&lt;=B126,0,((YEAR(IF(R126="",Settings!$C$9,R126))-YEAR(B126))*12+MONTH(IF(R126="",Settings!$C$9,R126))-MONTH(B126)+1))))</f>
        <v/>
      </c>
      <c r="V126" s="29" t="str">
        <f aca="false">IF(OR(G126="",H126=""),"",ROUND(P126*Settings!$C$10*U126,0))</f>
        <v/>
      </c>
      <c r="W126" s="28" t="str">
        <f aca="false">IF(OR(G126="",H126=""),"",IF(OR(P126=0,R126=""),0,IF(IF(S126="",Settings!$C$9,S126)&lt;=Q126,0,((YEAR(IF(S126="",Settings!$C$9,S126))-YEAR(R126))*12+MONTH(IF(S126="",Settings!$C$9,S126))-MONTH(R126)+1))))</f>
        <v/>
      </c>
      <c r="X126" s="29" t="str">
        <f aca="false">IF(OR(G126="",H126=""),"",ROUND(P126*Settings!$C$11*W126,0))</f>
        <v/>
      </c>
      <c r="Y126" s="29" t="str">
        <f aca="false">IF(OR(G126="",H126=""),"",V126+X126)</f>
        <v/>
      </c>
      <c r="Z126" s="7" t="str">
        <f aca="false">IF(OR(G126="",H126=""),"",IF(P126=0,"Below threshold",IF(R126="","Not yet deducted",IF(S126="",IF(Settings!$C$9&gt;Q126,"Overdue — pay now","Deducted, due "&amp;TEXT(Q126,"dd-mmm")),IF(S126&lt;=Q126,IF(N(U126)&gt;0,"Deducted late, paid on time","Paid on time"),"Paid late")))))</f>
        <v/>
      </c>
      <c r="AA126" s="35" t="str">
        <f aca="false">IF(OR(G126="",H126=""),"",IF(D126&lt;&gt;"",UPPER(TRIM(D126)),UPPER(TRIM(C126))))</f>
        <v/>
      </c>
    </row>
    <row r="127" customFormat="false" ht="15" hidden="false" customHeight="false" outlineLevel="0" collapsed="false">
      <c r="B127" s="17"/>
      <c r="C127" s="5"/>
      <c r="D127" s="5"/>
      <c r="E127" s="5"/>
      <c r="F127" s="5"/>
      <c r="G127" s="5"/>
      <c r="H127" s="16"/>
      <c r="I127" s="7" t="str">
        <f aca="false">IF(OR(G127="",H127=""),"",IFERROR(INDEX('TDS Rates'!$D$6:$D$40,MATCH(G127,'TDS Rates'!$B$6:$B$40,0)),"Check nature"))</f>
        <v/>
      </c>
      <c r="J127" s="7" t="str">
        <f aca="false">IF(OR(G127="",H127=""),"",IFERROR(INDEX('TDS Rates'!$C$6:$C$40,MATCH(G127,'TDS Rates'!$B$6:$B$40,0)),""))</f>
        <v/>
      </c>
      <c r="K127" s="7" t="str">
        <f aca="false">IF(OR(G127="",H127=""),"",IFERROR(INDEX('TDS Rates'!$E$6:$E$40,MATCH(G127,'TDS Rates'!$B$6:$B$40,0)),""))</f>
        <v/>
      </c>
      <c r="L127" s="29" t="str">
        <f aca="false">IF(OR(G127="",H127=""),"",SUMIFS(H$6:H126,AA$6:AA126,AA127,G$6:G126,G127))</f>
        <v/>
      </c>
      <c r="M127" s="29" t="str">
        <f aca="false">IF(OR(G127="",H127=""),"",SUMIFS(H$6:H126,AA$6:AA126,AA127,G$6:G126,G127,N$6:N126,0))</f>
        <v/>
      </c>
      <c r="N127" s="29" t="str">
        <f aca="false">IF(OR(G127="",H127=""),"",IFERROR(IF(INDEX('TDS Rates'!$F$6:$F$40,MATCH(G127,'TDS Rates'!$B$6:$B$40,0))="NONE",H127,IF(INDEX('TDS Rates'!$F$6:$F$40,MATCH(G127,'TDS Rates'!$B$6:$B$40,0))="PER",IF(H127&gt;INDEX('TDS Rates'!$G$6:$G$40,MATCH(G127,'TDS Rates'!$B$6:$B$40,0)),H127,0),IF(INDEX('TDS Rates'!$F$6:$F$40,MATCH(G127,'TDS Rates'!$B$6:$B$40,0))="EXCESS",MAX(0,L127+H127-INDEX('TDS Rates'!$H$6:$H$40,MATCH(G127,'TDS Rates'!$B$6:$B$40,0)))-MAX(0,L127-INDEX('TDS Rates'!$H$6:$H$40,MATCH(G127,'TDS Rates'!$B$6:$B$40,0))),IF(INDEX('TDS Rates'!$F$6:$F$40,MATCH(G127,'TDS Rates'!$B$6:$B$40,0))="SA",IF(L127+H127&gt;INDEX('TDS Rates'!$H$6:$H$40,MATCH(G127,'TDS Rates'!$B$6:$B$40,0)),H127+M127,IF(H127&gt;INDEX('TDS Rates'!$G$6:$G$40,MATCH(G127,'TDS Rates'!$B$6:$B$40,0)),H127,0)),IF(L127+H127&gt;INDEX('TDS Rates'!$H$6:$H$40,MATCH(G127,'TDS Rates'!$B$6:$B$40,0)),H127+M127,0))))),0))</f>
        <v/>
      </c>
      <c r="O127" s="33" t="str">
        <f aca="false">IF(OR(G127="",H127=""),"",IFERROR(IF(F127="No",IF(INDEX('TDS Rates'!$C$6:$C$40,MATCH(G127,'TDS Rates'!$B$6:$B$40,0))="194Q",Settings!$C$14,MAX(Settings!$C$13,IF(E127="Individual / HUF",INDEX('TDS Rates'!$I$6:$I$40,MATCH(G127,'TDS Rates'!$B$6:$B$40,0)),IF(E127="Company",INDEX('TDS Rates'!$J$6:$J$40,MATCH(G127,'TDS Rates'!$B$6:$B$40,0)),INDEX('TDS Rates'!$K$6:$K$40,MATCH(G127,'TDS Rates'!$B$6:$B$40,0)))))),IF(E127="Individual / HUF",INDEX('TDS Rates'!$I$6:$I$40,MATCH(G127,'TDS Rates'!$B$6:$B$40,0)),IF(E127="Company",INDEX('TDS Rates'!$J$6:$J$40,MATCH(G127,'TDS Rates'!$B$6:$B$40,0)),INDEX('TDS Rates'!$K$6:$K$40,MATCH(G127,'TDS Rates'!$B$6:$B$40,0))))),0))</f>
        <v/>
      </c>
      <c r="P127" s="34" t="str">
        <f aca="false">IF(OR(G127="",H127=""),"",ROUND(N127*O127,0))</f>
        <v/>
      </c>
      <c r="Q127" s="27" t="str">
        <f aca="false">IF(OR(G127="",H127=""),"",IFERROR(IF(INDEX('TDS Rates'!$E$6:$E$40,MATCH(G127,'TDS Rates'!$B$6:$B$40,0))="Form 141",EOMONTH(IF(R127="",B127,R127),0)+30,IF(MONTH(IF(R127="",B127,R127))=3,DATE(YEAR(IF(R127="",B127,R127)),4,30),DATE(YEAR(IF(R127="",B127,R127)),MONTH(IF(R127="",B127,R127))+1,7))),""))</f>
        <v/>
      </c>
      <c r="R127" s="17"/>
      <c r="S127" s="17"/>
      <c r="T127" s="5"/>
      <c r="U127" s="28" t="str">
        <f aca="false">IF(OR(G127="",H127=""),"",IF(P127=0,0,IF(IF(R127="",Settings!$C$9,R127)&lt;=B127,0,((YEAR(IF(R127="",Settings!$C$9,R127))-YEAR(B127))*12+MONTH(IF(R127="",Settings!$C$9,R127))-MONTH(B127)+1))))</f>
        <v/>
      </c>
      <c r="V127" s="29" t="str">
        <f aca="false">IF(OR(G127="",H127=""),"",ROUND(P127*Settings!$C$10*U127,0))</f>
        <v/>
      </c>
      <c r="W127" s="28" t="str">
        <f aca="false">IF(OR(G127="",H127=""),"",IF(OR(P127=0,R127=""),0,IF(IF(S127="",Settings!$C$9,S127)&lt;=Q127,0,((YEAR(IF(S127="",Settings!$C$9,S127))-YEAR(R127))*12+MONTH(IF(S127="",Settings!$C$9,S127))-MONTH(R127)+1))))</f>
        <v/>
      </c>
      <c r="X127" s="29" t="str">
        <f aca="false">IF(OR(G127="",H127=""),"",ROUND(P127*Settings!$C$11*W127,0))</f>
        <v/>
      </c>
      <c r="Y127" s="29" t="str">
        <f aca="false">IF(OR(G127="",H127=""),"",V127+X127)</f>
        <v/>
      </c>
      <c r="Z127" s="7" t="str">
        <f aca="false">IF(OR(G127="",H127=""),"",IF(P127=0,"Below threshold",IF(R127="","Not yet deducted",IF(S127="",IF(Settings!$C$9&gt;Q127,"Overdue — pay now","Deducted, due "&amp;TEXT(Q127,"dd-mmm")),IF(S127&lt;=Q127,IF(N(U127)&gt;0,"Deducted late, paid on time","Paid on time"),"Paid late")))))</f>
        <v/>
      </c>
      <c r="AA127" s="35" t="str">
        <f aca="false">IF(OR(G127="",H127=""),"",IF(D127&lt;&gt;"",UPPER(TRIM(D127)),UPPER(TRIM(C127))))</f>
        <v/>
      </c>
    </row>
    <row r="128" customFormat="false" ht="15" hidden="false" customHeight="false" outlineLevel="0" collapsed="false">
      <c r="B128" s="17"/>
      <c r="C128" s="5"/>
      <c r="D128" s="5"/>
      <c r="E128" s="5"/>
      <c r="F128" s="5"/>
      <c r="G128" s="5"/>
      <c r="H128" s="16"/>
      <c r="I128" s="7" t="str">
        <f aca="false">IF(OR(G128="",H128=""),"",IFERROR(INDEX('TDS Rates'!$D$6:$D$40,MATCH(G128,'TDS Rates'!$B$6:$B$40,0)),"Check nature"))</f>
        <v/>
      </c>
      <c r="J128" s="7" t="str">
        <f aca="false">IF(OR(G128="",H128=""),"",IFERROR(INDEX('TDS Rates'!$C$6:$C$40,MATCH(G128,'TDS Rates'!$B$6:$B$40,0)),""))</f>
        <v/>
      </c>
      <c r="K128" s="7" t="str">
        <f aca="false">IF(OR(G128="",H128=""),"",IFERROR(INDEX('TDS Rates'!$E$6:$E$40,MATCH(G128,'TDS Rates'!$B$6:$B$40,0)),""))</f>
        <v/>
      </c>
      <c r="L128" s="29" t="str">
        <f aca="false">IF(OR(G128="",H128=""),"",SUMIFS(H$6:H127,AA$6:AA127,AA128,G$6:G127,G128))</f>
        <v/>
      </c>
      <c r="M128" s="29" t="str">
        <f aca="false">IF(OR(G128="",H128=""),"",SUMIFS(H$6:H127,AA$6:AA127,AA128,G$6:G127,G128,N$6:N127,0))</f>
        <v/>
      </c>
      <c r="N128" s="29" t="str">
        <f aca="false">IF(OR(G128="",H128=""),"",IFERROR(IF(INDEX('TDS Rates'!$F$6:$F$40,MATCH(G128,'TDS Rates'!$B$6:$B$40,0))="NONE",H128,IF(INDEX('TDS Rates'!$F$6:$F$40,MATCH(G128,'TDS Rates'!$B$6:$B$40,0))="PER",IF(H128&gt;INDEX('TDS Rates'!$G$6:$G$40,MATCH(G128,'TDS Rates'!$B$6:$B$40,0)),H128,0),IF(INDEX('TDS Rates'!$F$6:$F$40,MATCH(G128,'TDS Rates'!$B$6:$B$40,0))="EXCESS",MAX(0,L128+H128-INDEX('TDS Rates'!$H$6:$H$40,MATCH(G128,'TDS Rates'!$B$6:$B$40,0)))-MAX(0,L128-INDEX('TDS Rates'!$H$6:$H$40,MATCH(G128,'TDS Rates'!$B$6:$B$40,0))),IF(INDEX('TDS Rates'!$F$6:$F$40,MATCH(G128,'TDS Rates'!$B$6:$B$40,0))="SA",IF(L128+H128&gt;INDEX('TDS Rates'!$H$6:$H$40,MATCH(G128,'TDS Rates'!$B$6:$B$40,0)),H128+M128,IF(H128&gt;INDEX('TDS Rates'!$G$6:$G$40,MATCH(G128,'TDS Rates'!$B$6:$B$40,0)),H128,0)),IF(L128+H128&gt;INDEX('TDS Rates'!$H$6:$H$40,MATCH(G128,'TDS Rates'!$B$6:$B$40,0)),H128+M128,0))))),0))</f>
        <v/>
      </c>
      <c r="O128" s="33" t="str">
        <f aca="false">IF(OR(G128="",H128=""),"",IFERROR(IF(F128="No",IF(INDEX('TDS Rates'!$C$6:$C$40,MATCH(G128,'TDS Rates'!$B$6:$B$40,0))="194Q",Settings!$C$14,MAX(Settings!$C$13,IF(E128="Individual / HUF",INDEX('TDS Rates'!$I$6:$I$40,MATCH(G128,'TDS Rates'!$B$6:$B$40,0)),IF(E128="Company",INDEX('TDS Rates'!$J$6:$J$40,MATCH(G128,'TDS Rates'!$B$6:$B$40,0)),INDEX('TDS Rates'!$K$6:$K$40,MATCH(G128,'TDS Rates'!$B$6:$B$40,0)))))),IF(E128="Individual / HUF",INDEX('TDS Rates'!$I$6:$I$40,MATCH(G128,'TDS Rates'!$B$6:$B$40,0)),IF(E128="Company",INDEX('TDS Rates'!$J$6:$J$40,MATCH(G128,'TDS Rates'!$B$6:$B$40,0)),INDEX('TDS Rates'!$K$6:$K$40,MATCH(G128,'TDS Rates'!$B$6:$B$40,0))))),0))</f>
        <v/>
      </c>
      <c r="P128" s="34" t="str">
        <f aca="false">IF(OR(G128="",H128=""),"",ROUND(N128*O128,0))</f>
        <v/>
      </c>
      <c r="Q128" s="27" t="str">
        <f aca="false">IF(OR(G128="",H128=""),"",IFERROR(IF(INDEX('TDS Rates'!$E$6:$E$40,MATCH(G128,'TDS Rates'!$B$6:$B$40,0))="Form 141",EOMONTH(IF(R128="",B128,R128),0)+30,IF(MONTH(IF(R128="",B128,R128))=3,DATE(YEAR(IF(R128="",B128,R128)),4,30),DATE(YEAR(IF(R128="",B128,R128)),MONTH(IF(R128="",B128,R128))+1,7))),""))</f>
        <v/>
      </c>
      <c r="R128" s="17"/>
      <c r="S128" s="17"/>
      <c r="T128" s="5"/>
      <c r="U128" s="28" t="str">
        <f aca="false">IF(OR(G128="",H128=""),"",IF(P128=0,0,IF(IF(R128="",Settings!$C$9,R128)&lt;=B128,0,((YEAR(IF(R128="",Settings!$C$9,R128))-YEAR(B128))*12+MONTH(IF(R128="",Settings!$C$9,R128))-MONTH(B128)+1))))</f>
        <v/>
      </c>
      <c r="V128" s="29" t="str">
        <f aca="false">IF(OR(G128="",H128=""),"",ROUND(P128*Settings!$C$10*U128,0))</f>
        <v/>
      </c>
      <c r="W128" s="28" t="str">
        <f aca="false">IF(OR(G128="",H128=""),"",IF(OR(P128=0,R128=""),0,IF(IF(S128="",Settings!$C$9,S128)&lt;=Q128,0,((YEAR(IF(S128="",Settings!$C$9,S128))-YEAR(R128))*12+MONTH(IF(S128="",Settings!$C$9,S128))-MONTH(R128)+1))))</f>
        <v/>
      </c>
      <c r="X128" s="29" t="str">
        <f aca="false">IF(OR(G128="",H128=""),"",ROUND(P128*Settings!$C$11*W128,0))</f>
        <v/>
      </c>
      <c r="Y128" s="29" t="str">
        <f aca="false">IF(OR(G128="",H128=""),"",V128+X128)</f>
        <v/>
      </c>
      <c r="Z128" s="7" t="str">
        <f aca="false">IF(OR(G128="",H128=""),"",IF(P128=0,"Below threshold",IF(R128="","Not yet deducted",IF(S128="",IF(Settings!$C$9&gt;Q128,"Overdue — pay now","Deducted, due "&amp;TEXT(Q128,"dd-mmm")),IF(S128&lt;=Q128,IF(N(U128)&gt;0,"Deducted late, paid on time","Paid on time"),"Paid late")))))</f>
        <v/>
      </c>
      <c r="AA128" s="35" t="str">
        <f aca="false">IF(OR(G128="",H128=""),"",IF(D128&lt;&gt;"",UPPER(TRIM(D128)),UPPER(TRIM(C128))))</f>
        <v/>
      </c>
    </row>
    <row r="129" customFormat="false" ht="15" hidden="false" customHeight="false" outlineLevel="0" collapsed="false">
      <c r="B129" s="17"/>
      <c r="C129" s="5"/>
      <c r="D129" s="5"/>
      <c r="E129" s="5"/>
      <c r="F129" s="5"/>
      <c r="G129" s="5"/>
      <c r="H129" s="16"/>
      <c r="I129" s="7" t="str">
        <f aca="false">IF(OR(G129="",H129=""),"",IFERROR(INDEX('TDS Rates'!$D$6:$D$40,MATCH(G129,'TDS Rates'!$B$6:$B$40,0)),"Check nature"))</f>
        <v/>
      </c>
      <c r="J129" s="7" t="str">
        <f aca="false">IF(OR(G129="",H129=""),"",IFERROR(INDEX('TDS Rates'!$C$6:$C$40,MATCH(G129,'TDS Rates'!$B$6:$B$40,0)),""))</f>
        <v/>
      </c>
      <c r="K129" s="7" t="str">
        <f aca="false">IF(OR(G129="",H129=""),"",IFERROR(INDEX('TDS Rates'!$E$6:$E$40,MATCH(G129,'TDS Rates'!$B$6:$B$40,0)),""))</f>
        <v/>
      </c>
      <c r="L129" s="29" t="str">
        <f aca="false">IF(OR(G129="",H129=""),"",SUMIFS(H$6:H128,AA$6:AA128,AA129,G$6:G128,G129))</f>
        <v/>
      </c>
      <c r="M129" s="29" t="str">
        <f aca="false">IF(OR(G129="",H129=""),"",SUMIFS(H$6:H128,AA$6:AA128,AA129,G$6:G128,G129,N$6:N128,0))</f>
        <v/>
      </c>
      <c r="N129" s="29" t="str">
        <f aca="false">IF(OR(G129="",H129=""),"",IFERROR(IF(INDEX('TDS Rates'!$F$6:$F$40,MATCH(G129,'TDS Rates'!$B$6:$B$40,0))="NONE",H129,IF(INDEX('TDS Rates'!$F$6:$F$40,MATCH(G129,'TDS Rates'!$B$6:$B$40,0))="PER",IF(H129&gt;INDEX('TDS Rates'!$G$6:$G$40,MATCH(G129,'TDS Rates'!$B$6:$B$40,0)),H129,0),IF(INDEX('TDS Rates'!$F$6:$F$40,MATCH(G129,'TDS Rates'!$B$6:$B$40,0))="EXCESS",MAX(0,L129+H129-INDEX('TDS Rates'!$H$6:$H$40,MATCH(G129,'TDS Rates'!$B$6:$B$40,0)))-MAX(0,L129-INDEX('TDS Rates'!$H$6:$H$40,MATCH(G129,'TDS Rates'!$B$6:$B$40,0))),IF(INDEX('TDS Rates'!$F$6:$F$40,MATCH(G129,'TDS Rates'!$B$6:$B$40,0))="SA",IF(L129+H129&gt;INDEX('TDS Rates'!$H$6:$H$40,MATCH(G129,'TDS Rates'!$B$6:$B$40,0)),H129+M129,IF(H129&gt;INDEX('TDS Rates'!$G$6:$G$40,MATCH(G129,'TDS Rates'!$B$6:$B$40,0)),H129,0)),IF(L129+H129&gt;INDEX('TDS Rates'!$H$6:$H$40,MATCH(G129,'TDS Rates'!$B$6:$B$40,0)),H129+M129,0))))),0))</f>
        <v/>
      </c>
      <c r="O129" s="33" t="str">
        <f aca="false">IF(OR(G129="",H129=""),"",IFERROR(IF(F129="No",IF(INDEX('TDS Rates'!$C$6:$C$40,MATCH(G129,'TDS Rates'!$B$6:$B$40,0))="194Q",Settings!$C$14,MAX(Settings!$C$13,IF(E129="Individual / HUF",INDEX('TDS Rates'!$I$6:$I$40,MATCH(G129,'TDS Rates'!$B$6:$B$40,0)),IF(E129="Company",INDEX('TDS Rates'!$J$6:$J$40,MATCH(G129,'TDS Rates'!$B$6:$B$40,0)),INDEX('TDS Rates'!$K$6:$K$40,MATCH(G129,'TDS Rates'!$B$6:$B$40,0)))))),IF(E129="Individual / HUF",INDEX('TDS Rates'!$I$6:$I$40,MATCH(G129,'TDS Rates'!$B$6:$B$40,0)),IF(E129="Company",INDEX('TDS Rates'!$J$6:$J$40,MATCH(G129,'TDS Rates'!$B$6:$B$40,0)),INDEX('TDS Rates'!$K$6:$K$40,MATCH(G129,'TDS Rates'!$B$6:$B$40,0))))),0))</f>
        <v/>
      </c>
      <c r="P129" s="34" t="str">
        <f aca="false">IF(OR(G129="",H129=""),"",ROUND(N129*O129,0))</f>
        <v/>
      </c>
      <c r="Q129" s="27" t="str">
        <f aca="false">IF(OR(G129="",H129=""),"",IFERROR(IF(INDEX('TDS Rates'!$E$6:$E$40,MATCH(G129,'TDS Rates'!$B$6:$B$40,0))="Form 141",EOMONTH(IF(R129="",B129,R129),0)+30,IF(MONTH(IF(R129="",B129,R129))=3,DATE(YEAR(IF(R129="",B129,R129)),4,30),DATE(YEAR(IF(R129="",B129,R129)),MONTH(IF(R129="",B129,R129))+1,7))),""))</f>
        <v/>
      </c>
      <c r="R129" s="17"/>
      <c r="S129" s="17"/>
      <c r="T129" s="5"/>
      <c r="U129" s="28" t="str">
        <f aca="false">IF(OR(G129="",H129=""),"",IF(P129=0,0,IF(IF(R129="",Settings!$C$9,R129)&lt;=B129,0,((YEAR(IF(R129="",Settings!$C$9,R129))-YEAR(B129))*12+MONTH(IF(R129="",Settings!$C$9,R129))-MONTH(B129)+1))))</f>
        <v/>
      </c>
      <c r="V129" s="29" t="str">
        <f aca="false">IF(OR(G129="",H129=""),"",ROUND(P129*Settings!$C$10*U129,0))</f>
        <v/>
      </c>
      <c r="W129" s="28" t="str">
        <f aca="false">IF(OR(G129="",H129=""),"",IF(OR(P129=0,R129=""),0,IF(IF(S129="",Settings!$C$9,S129)&lt;=Q129,0,((YEAR(IF(S129="",Settings!$C$9,S129))-YEAR(R129))*12+MONTH(IF(S129="",Settings!$C$9,S129))-MONTH(R129)+1))))</f>
        <v/>
      </c>
      <c r="X129" s="29" t="str">
        <f aca="false">IF(OR(G129="",H129=""),"",ROUND(P129*Settings!$C$11*W129,0))</f>
        <v/>
      </c>
      <c r="Y129" s="29" t="str">
        <f aca="false">IF(OR(G129="",H129=""),"",V129+X129)</f>
        <v/>
      </c>
      <c r="Z129" s="7" t="str">
        <f aca="false">IF(OR(G129="",H129=""),"",IF(P129=0,"Below threshold",IF(R129="","Not yet deducted",IF(S129="",IF(Settings!$C$9&gt;Q129,"Overdue — pay now","Deducted, due "&amp;TEXT(Q129,"dd-mmm")),IF(S129&lt;=Q129,IF(N(U129)&gt;0,"Deducted late, paid on time","Paid on time"),"Paid late")))))</f>
        <v/>
      </c>
      <c r="AA129" s="35" t="str">
        <f aca="false">IF(OR(G129="",H129=""),"",IF(D129&lt;&gt;"",UPPER(TRIM(D129)),UPPER(TRIM(C129))))</f>
        <v/>
      </c>
    </row>
    <row r="130" customFormat="false" ht="15" hidden="false" customHeight="false" outlineLevel="0" collapsed="false">
      <c r="B130" s="17"/>
      <c r="C130" s="5"/>
      <c r="D130" s="5"/>
      <c r="E130" s="5"/>
      <c r="F130" s="5"/>
      <c r="G130" s="5"/>
      <c r="H130" s="16"/>
      <c r="I130" s="7" t="str">
        <f aca="false">IF(OR(G130="",H130=""),"",IFERROR(INDEX('TDS Rates'!$D$6:$D$40,MATCH(G130,'TDS Rates'!$B$6:$B$40,0)),"Check nature"))</f>
        <v/>
      </c>
      <c r="J130" s="7" t="str">
        <f aca="false">IF(OR(G130="",H130=""),"",IFERROR(INDEX('TDS Rates'!$C$6:$C$40,MATCH(G130,'TDS Rates'!$B$6:$B$40,0)),""))</f>
        <v/>
      </c>
      <c r="K130" s="7" t="str">
        <f aca="false">IF(OR(G130="",H130=""),"",IFERROR(INDEX('TDS Rates'!$E$6:$E$40,MATCH(G130,'TDS Rates'!$B$6:$B$40,0)),""))</f>
        <v/>
      </c>
      <c r="L130" s="29" t="str">
        <f aca="false">IF(OR(G130="",H130=""),"",SUMIFS(H$6:H129,AA$6:AA129,AA130,G$6:G129,G130))</f>
        <v/>
      </c>
      <c r="M130" s="29" t="str">
        <f aca="false">IF(OR(G130="",H130=""),"",SUMIFS(H$6:H129,AA$6:AA129,AA130,G$6:G129,G130,N$6:N129,0))</f>
        <v/>
      </c>
      <c r="N130" s="29" t="str">
        <f aca="false">IF(OR(G130="",H130=""),"",IFERROR(IF(INDEX('TDS Rates'!$F$6:$F$40,MATCH(G130,'TDS Rates'!$B$6:$B$40,0))="NONE",H130,IF(INDEX('TDS Rates'!$F$6:$F$40,MATCH(G130,'TDS Rates'!$B$6:$B$40,0))="PER",IF(H130&gt;INDEX('TDS Rates'!$G$6:$G$40,MATCH(G130,'TDS Rates'!$B$6:$B$40,0)),H130,0),IF(INDEX('TDS Rates'!$F$6:$F$40,MATCH(G130,'TDS Rates'!$B$6:$B$40,0))="EXCESS",MAX(0,L130+H130-INDEX('TDS Rates'!$H$6:$H$40,MATCH(G130,'TDS Rates'!$B$6:$B$40,0)))-MAX(0,L130-INDEX('TDS Rates'!$H$6:$H$40,MATCH(G130,'TDS Rates'!$B$6:$B$40,0))),IF(INDEX('TDS Rates'!$F$6:$F$40,MATCH(G130,'TDS Rates'!$B$6:$B$40,0))="SA",IF(L130+H130&gt;INDEX('TDS Rates'!$H$6:$H$40,MATCH(G130,'TDS Rates'!$B$6:$B$40,0)),H130+M130,IF(H130&gt;INDEX('TDS Rates'!$G$6:$G$40,MATCH(G130,'TDS Rates'!$B$6:$B$40,0)),H130,0)),IF(L130+H130&gt;INDEX('TDS Rates'!$H$6:$H$40,MATCH(G130,'TDS Rates'!$B$6:$B$40,0)),H130+M130,0))))),0))</f>
        <v/>
      </c>
      <c r="O130" s="33" t="str">
        <f aca="false">IF(OR(G130="",H130=""),"",IFERROR(IF(F130="No",IF(INDEX('TDS Rates'!$C$6:$C$40,MATCH(G130,'TDS Rates'!$B$6:$B$40,0))="194Q",Settings!$C$14,MAX(Settings!$C$13,IF(E130="Individual / HUF",INDEX('TDS Rates'!$I$6:$I$40,MATCH(G130,'TDS Rates'!$B$6:$B$40,0)),IF(E130="Company",INDEX('TDS Rates'!$J$6:$J$40,MATCH(G130,'TDS Rates'!$B$6:$B$40,0)),INDEX('TDS Rates'!$K$6:$K$40,MATCH(G130,'TDS Rates'!$B$6:$B$40,0)))))),IF(E130="Individual / HUF",INDEX('TDS Rates'!$I$6:$I$40,MATCH(G130,'TDS Rates'!$B$6:$B$40,0)),IF(E130="Company",INDEX('TDS Rates'!$J$6:$J$40,MATCH(G130,'TDS Rates'!$B$6:$B$40,0)),INDEX('TDS Rates'!$K$6:$K$40,MATCH(G130,'TDS Rates'!$B$6:$B$40,0))))),0))</f>
        <v/>
      </c>
      <c r="P130" s="34" t="str">
        <f aca="false">IF(OR(G130="",H130=""),"",ROUND(N130*O130,0))</f>
        <v/>
      </c>
      <c r="Q130" s="27" t="str">
        <f aca="false">IF(OR(G130="",H130=""),"",IFERROR(IF(INDEX('TDS Rates'!$E$6:$E$40,MATCH(G130,'TDS Rates'!$B$6:$B$40,0))="Form 141",EOMONTH(IF(R130="",B130,R130),0)+30,IF(MONTH(IF(R130="",B130,R130))=3,DATE(YEAR(IF(R130="",B130,R130)),4,30),DATE(YEAR(IF(R130="",B130,R130)),MONTH(IF(R130="",B130,R130))+1,7))),""))</f>
        <v/>
      </c>
      <c r="R130" s="17"/>
      <c r="S130" s="17"/>
      <c r="T130" s="5"/>
      <c r="U130" s="28" t="str">
        <f aca="false">IF(OR(G130="",H130=""),"",IF(P130=0,0,IF(IF(R130="",Settings!$C$9,R130)&lt;=B130,0,((YEAR(IF(R130="",Settings!$C$9,R130))-YEAR(B130))*12+MONTH(IF(R130="",Settings!$C$9,R130))-MONTH(B130)+1))))</f>
        <v/>
      </c>
      <c r="V130" s="29" t="str">
        <f aca="false">IF(OR(G130="",H130=""),"",ROUND(P130*Settings!$C$10*U130,0))</f>
        <v/>
      </c>
      <c r="W130" s="28" t="str">
        <f aca="false">IF(OR(G130="",H130=""),"",IF(OR(P130=0,R130=""),0,IF(IF(S130="",Settings!$C$9,S130)&lt;=Q130,0,((YEAR(IF(S130="",Settings!$C$9,S130))-YEAR(R130))*12+MONTH(IF(S130="",Settings!$C$9,S130))-MONTH(R130)+1))))</f>
        <v/>
      </c>
      <c r="X130" s="29" t="str">
        <f aca="false">IF(OR(G130="",H130=""),"",ROUND(P130*Settings!$C$11*W130,0))</f>
        <v/>
      </c>
      <c r="Y130" s="29" t="str">
        <f aca="false">IF(OR(G130="",H130=""),"",V130+X130)</f>
        <v/>
      </c>
      <c r="Z130" s="7" t="str">
        <f aca="false">IF(OR(G130="",H130=""),"",IF(P130=0,"Below threshold",IF(R130="","Not yet deducted",IF(S130="",IF(Settings!$C$9&gt;Q130,"Overdue — pay now","Deducted, due "&amp;TEXT(Q130,"dd-mmm")),IF(S130&lt;=Q130,IF(N(U130)&gt;0,"Deducted late, paid on time","Paid on time"),"Paid late")))))</f>
        <v/>
      </c>
      <c r="AA130" s="35" t="str">
        <f aca="false">IF(OR(G130="",H130=""),"",IF(D130&lt;&gt;"",UPPER(TRIM(D130)),UPPER(TRIM(C130))))</f>
        <v/>
      </c>
    </row>
    <row r="131" customFormat="false" ht="15" hidden="false" customHeight="false" outlineLevel="0" collapsed="false">
      <c r="B131" s="17"/>
      <c r="C131" s="5"/>
      <c r="D131" s="5"/>
      <c r="E131" s="5"/>
      <c r="F131" s="5"/>
      <c r="G131" s="5"/>
      <c r="H131" s="16"/>
      <c r="I131" s="7" t="str">
        <f aca="false">IF(OR(G131="",H131=""),"",IFERROR(INDEX('TDS Rates'!$D$6:$D$40,MATCH(G131,'TDS Rates'!$B$6:$B$40,0)),"Check nature"))</f>
        <v/>
      </c>
      <c r="J131" s="7" t="str">
        <f aca="false">IF(OR(G131="",H131=""),"",IFERROR(INDEX('TDS Rates'!$C$6:$C$40,MATCH(G131,'TDS Rates'!$B$6:$B$40,0)),""))</f>
        <v/>
      </c>
      <c r="K131" s="7" t="str">
        <f aca="false">IF(OR(G131="",H131=""),"",IFERROR(INDEX('TDS Rates'!$E$6:$E$40,MATCH(G131,'TDS Rates'!$B$6:$B$40,0)),""))</f>
        <v/>
      </c>
      <c r="L131" s="29" t="str">
        <f aca="false">IF(OR(G131="",H131=""),"",SUMIFS(H$6:H130,AA$6:AA130,AA131,G$6:G130,G131))</f>
        <v/>
      </c>
      <c r="M131" s="29" t="str">
        <f aca="false">IF(OR(G131="",H131=""),"",SUMIFS(H$6:H130,AA$6:AA130,AA131,G$6:G130,G131,N$6:N130,0))</f>
        <v/>
      </c>
      <c r="N131" s="29" t="str">
        <f aca="false">IF(OR(G131="",H131=""),"",IFERROR(IF(INDEX('TDS Rates'!$F$6:$F$40,MATCH(G131,'TDS Rates'!$B$6:$B$40,0))="NONE",H131,IF(INDEX('TDS Rates'!$F$6:$F$40,MATCH(G131,'TDS Rates'!$B$6:$B$40,0))="PER",IF(H131&gt;INDEX('TDS Rates'!$G$6:$G$40,MATCH(G131,'TDS Rates'!$B$6:$B$40,0)),H131,0),IF(INDEX('TDS Rates'!$F$6:$F$40,MATCH(G131,'TDS Rates'!$B$6:$B$40,0))="EXCESS",MAX(0,L131+H131-INDEX('TDS Rates'!$H$6:$H$40,MATCH(G131,'TDS Rates'!$B$6:$B$40,0)))-MAX(0,L131-INDEX('TDS Rates'!$H$6:$H$40,MATCH(G131,'TDS Rates'!$B$6:$B$40,0))),IF(INDEX('TDS Rates'!$F$6:$F$40,MATCH(G131,'TDS Rates'!$B$6:$B$40,0))="SA",IF(L131+H131&gt;INDEX('TDS Rates'!$H$6:$H$40,MATCH(G131,'TDS Rates'!$B$6:$B$40,0)),H131+M131,IF(H131&gt;INDEX('TDS Rates'!$G$6:$G$40,MATCH(G131,'TDS Rates'!$B$6:$B$40,0)),H131,0)),IF(L131+H131&gt;INDEX('TDS Rates'!$H$6:$H$40,MATCH(G131,'TDS Rates'!$B$6:$B$40,0)),H131+M131,0))))),0))</f>
        <v/>
      </c>
      <c r="O131" s="33" t="str">
        <f aca="false">IF(OR(G131="",H131=""),"",IFERROR(IF(F131="No",IF(INDEX('TDS Rates'!$C$6:$C$40,MATCH(G131,'TDS Rates'!$B$6:$B$40,0))="194Q",Settings!$C$14,MAX(Settings!$C$13,IF(E131="Individual / HUF",INDEX('TDS Rates'!$I$6:$I$40,MATCH(G131,'TDS Rates'!$B$6:$B$40,0)),IF(E131="Company",INDEX('TDS Rates'!$J$6:$J$40,MATCH(G131,'TDS Rates'!$B$6:$B$40,0)),INDEX('TDS Rates'!$K$6:$K$40,MATCH(G131,'TDS Rates'!$B$6:$B$40,0)))))),IF(E131="Individual / HUF",INDEX('TDS Rates'!$I$6:$I$40,MATCH(G131,'TDS Rates'!$B$6:$B$40,0)),IF(E131="Company",INDEX('TDS Rates'!$J$6:$J$40,MATCH(G131,'TDS Rates'!$B$6:$B$40,0)),INDEX('TDS Rates'!$K$6:$K$40,MATCH(G131,'TDS Rates'!$B$6:$B$40,0))))),0))</f>
        <v/>
      </c>
      <c r="P131" s="34" t="str">
        <f aca="false">IF(OR(G131="",H131=""),"",ROUND(N131*O131,0))</f>
        <v/>
      </c>
      <c r="Q131" s="27" t="str">
        <f aca="false">IF(OR(G131="",H131=""),"",IFERROR(IF(INDEX('TDS Rates'!$E$6:$E$40,MATCH(G131,'TDS Rates'!$B$6:$B$40,0))="Form 141",EOMONTH(IF(R131="",B131,R131),0)+30,IF(MONTH(IF(R131="",B131,R131))=3,DATE(YEAR(IF(R131="",B131,R131)),4,30),DATE(YEAR(IF(R131="",B131,R131)),MONTH(IF(R131="",B131,R131))+1,7))),""))</f>
        <v/>
      </c>
      <c r="R131" s="17"/>
      <c r="S131" s="17"/>
      <c r="T131" s="5"/>
      <c r="U131" s="28" t="str">
        <f aca="false">IF(OR(G131="",H131=""),"",IF(P131=0,0,IF(IF(R131="",Settings!$C$9,R131)&lt;=B131,0,((YEAR(IF(R131="",Settings!$C$9,R131))-YEAR(B131))*12+MONTH(IF(R131="",Settings!$C$9,R131))-MONTH(B131)+1))))</f>
        <v/>
      </c>
      <c r="V131" s="29" t="str">
        <f aca="false">IF(OR(G131="",H131=""),"",ROUND(P131*Settings!$C$10*U131,0))</f>
        <v/>
      </c>
      <c r="W131" s="28" t="str">
        <f aca="false">IF(OR(G131="",H131=""),"",IF(OR(P131=0,R131=""),0,IF(IF(S131="",Settings!$C$9,S131)&lt;=Q131,0,((YEAR(IF(S131="",Settings!$C$9,S131))-YEAR(R131))*12+MONTH(IF(S131="",Settings!$C$9,S131))-MONTH(R131)+1))))</f>
        <v/>
      </c>
      <c r="X131" s="29" t="str">
        <f aca="false">IF(OR(G131="",H131=""),"",ROUND(P131*Settings!$C$11*W131,0))</f>
        <v/>
      </c>
      <c r="Y131" s="29" t="str">
        <f aca="false">IF(OR(G131="",H131=""),"",V131+X131)</f>
        <v/>
      </c>
      <c r="Z131" s="7" t="str">
        <f aca="false">IF(OR(G131="",H131=""),"",IF(P131=0,"Below threshold",IF(R131="","Not yet deducted",IF(S131="",IF(Settings!$C$9&gt;Q131,"Overdue — pay now","Deducted, due "&amp;TEXT(Q131,"dd-mmm")),IF(S131&lt;=Q131,IF(N(U131)&gt;0,"Deducted late, paid on time","Paid on time"),"Paid late")))))</f>
        <v/>
      </c>
      <c r="AA131" s="35" t="str">
        <f aca="false">IF(OR(G131="",H131=""),"",IF(D131&lt;&gt;"",UPPER(TRIM(D131)),UPPER(TRIM(C131))))</f>
        <v/>
      </c>
    </row>
    <row r="132" customFormat="false" ht="15" hidden="false" customHeight="false" outlineLevel="0" collapsed="false">
      <c r="B132" s="17"/>
      <c r="C132" s="5"/>
      <c r="D132" s="5"/>
      <c r="E132" s="5"/>
      <c r="F132" s="5"/>
      <c r="G132" s="5"/>
      <c r="H132" s="16"/>
      <c r="I132" s="7" t="str">
        <f aca="false">IF(OR(G132="",H132=""),"",IFERROR(INDEX('TDS Rates'!$D$6:$D$40,MATCH(G132,'TDS Rates'!$B$6:$B$40,0)),"Check nature"))</f>
        <v/>
      </c>
      <c r="J132" s="7" t="str">
        <f aca="false">IF(OR(G132="",H132=""),"",IFERROR(INDEX('TDS Rates'!$C$6:$C$40,MATCH(G132,'TDS Rates'!$B$6:$B$40,0)),""))</f>
        <v/>
      </c>
      <c r="K132" s="7" t="str">
        <f aca="false">IF(OR(G132="",H132=""),"",IFERROR(INDEX('TDS Rates'!$E$6:$E$40,MATCH(G132,'TDS Rates'!$B$6:$B$40,0)),""))</f>
        <v/>
      </c>
      <c r="L132" s="29" t="str">
        <f aca="false">IF(OR(G132="",H132=""),"",SUMIFS(H$6:H131,AA$6:AA131,AA132,G$6:G131,G132))</f>
        <v/>
      </c>
      <c r="M132" s="29" t="str">
        <f aca="false">IF(OR(G132="",H132=""),"",SUMIFS(H$6:H131,AA$6:AA131,AA132,G$6:G131,G132,N$6:N131,0))</f>
        <v/>
      </c>
      <c r="N132" s="29" t="str">
        <f aca="false">IF(OR(G132="",H132=""),"",IFERROR(IF(INDEX('TDS Rates'!$F$6:$F$40,MATCH(G132,'TDS Rates'!$B$6:$B$40,0))="NONE",H132,IF(INDEX('TDS Rates'!$F$6:$F$40,MATCH(G132,'TDS Rates'!$B$6:$B$40,0))="PER",IF(H132&gt;INDEX('TDS Rates'!$G$6:$G$40,MATCH(G132,'TDS Rates'!$B$6:$B$40,0)),H132,0),IF(INDEX('TDS Rates'!$F$6:$F$40,MATCH(G132,'TDS Rates'!$B$6:$B$40,0))="EXCESS",MAX(0,L132+H132-INDEX('TDS Rates'!$H$6:$H$40,MATCH(G132,'TDS Rates'!$B$6:$B$40,0)))-MAX(0,L132-INDEX('TDS Rates'!$H$6:$H$40,MATCH(G132,'TDS Rates'!$B$6:$B$40,0))),IF(INDEX('TDS Rates'!$F$6:$F$40,MATCH(G132,'TDS Rates'!$B$6:$B$40,0))="SA",IF(L132+H132&gt;INDEX('TDS Rates'!$H$6:$H$40,MATCH(G132,'TDS Rates'!$B$6:$B$40,0)),H132+M132,IF(H132&gt;INDEX('TDS Rates'!$G$6:$G$40,MATCH(G132,'TDS Rates'!$B$6:$B$40,0)),H132,0)),IF(L132+H132&gt;INDEX('TDS Rates'!$H$6:$H$40,MATCH(G132,'TDS Rates'!$B$6:$B$40,0)),H132+M132,0))))),0))</f>
        <v/>
      </c>
      <c r="O132" s="33" t="str">
        <f aca="false">IF(OR(G132="",H132=""),"",IFERROR(IF(F132="No",IF(INDEX('TDS Rates'!$C$6:$C$40,MATCH(G132,'TDS Rates'!$B$6:$B$40,0))="194Q",Settings!$C$14,MAX(Settings!$C$13,IF(E132="Individual / HUF",INDEX('TDS Rates'!$I$6:$I$40,MATCH(G132,'TDS Rates'!$B$6:$B$40,0)),IF(E132="Company",INDEX('TDS Rates'!$J$6:$J$40,MATCH(G132,'TDS Rates'!$B$6:$B$40,0)),INDEX('TDS Rates'!$K$6:$K$40,MATCH(G132,'TDS Rates'!$B$6:$B$40,0)))))),IF(E132="Individual / HUF",INDEX('TDS Rates'!$I$6:$I$40,MATCH(G132,'TDS Rates'!$B$6:$B$40,0)),IF(E132="Company",INDEX('TDS Rates'!$J$6:$J$40,MATCH(G132,'TDS Rates'!$B$6:$B$40,0)),INDEX('TDS Rates'!$K$6:$K$40,MATCH(G132,'TDS Rates'!$B$6:$B$40,0))))),0))</f>
        <v/>
      </c>
      <c r="P132" s="34" t="str">
        <f aca="false">IF(OR(G132="",H132=""),"",ROUND(N132*O132,0))</f>
        <v/>
      </c>
      <c r="Q132" s="27" t="str">
        <f aca="false">IF(OR(G132="",H132=""),"",IFERROR(IF(INDEX('TDS Rates'!$E$6:$E$40,MATCH(G132,'TDS Rates'!$B$6:$B$40,0))="Form 141",EOMONTH(IF(R132="",B132,R132),0)+30,IF(MONTH(IF(R132="",B132,R132))=3,DATE(YEAR(IF(R132="",B132,R132)),4,30),DATE(YEAR(IF(R132="",B132,R132)),MONTH(IF(R132="",B132,R132))+1,7))),""))</f>
        <v/>
      </c>
      <c r="R132" s="17"/>
      <c r="S132" s="17"/>
      <c r="T132" s="5"/>
      <c r="U132" s="28" t="str">
        <f aca="false">IF(OR(G132="",H132=""),"",IF(P132=0,0,IF(IF(R132="",Settings!$C$9,R132)&lt;=B132,0,((YEAR(IF(R132="",Settings!$C$9,R132))-YEAR(B132))*12+MONTH(IF(R132="",Settings!$C$9,R132))-MONTH(B132)+1))))</f>
        <v/>
      </c>
      <c r="V132" s="29" t="str">
        <f aca="false">IF(OR(G132="",H132=""),"",ROUND(P132*Settings!$C$10*U132,0))</f>
        <v/>
      </c>
      <c r="W132" s="28" t="str">
        <f aca="false">IF(OR(G132="",H132=""),"",IF(OR(P132=0,R132=""),0,IF(IF(S132="",Settings!$C$9,S132)&lt;=Q132,0,((YEAR(IF(S132="",Settings!$C$9,S132))-YEAR(R132))*12+MONTH(IF(S132="",Settings!$C$9,S132))-MONTH(R132)+1))))</f>
        <v/>
      </c>
      <c r="X132" s="29" t="str">
        <f aca="false">IF(OR(G132="",H132=""),"",ROUND(P132*Settings!$C$11*W132,0))</f>
        <v/>
      </c>
      <c r="Y132" s="29" t="str">
        <f aca="false">IF(OR(G132="",H132=""),"",V132+X132)</f>
        <v/>
      </c>
      <c r="Z132" s="7" t="str">
        <f aca="false">IF(OR(G132="",H132=""),"",IF(P132=0,"Below threshold",IF(R132="","Not yet deducted",IF(S132="",IF(Settings!$C$9&gt;Q132,"Overdue — pay now","Deducted, due "&amp;TEXT(Q132,"dd-mmm")),IF(S132&lt;=Q132,IF(N(U132)&gt;0,"Deducted late, paid on time","Paid on time"),"Paid late")))))</f>
        <v/>
      </c>
      <c r="AA132" s="35" t="str">
        <f aca="false">IF(OR(G132="",H132=""),"",IF(D132&lt;&gt;"",UPPER(TRIM(D132)),UPPER(TRIM(C132))))</f>
        <v/>
      </c>
    </row>
    <row r="133" customFormat="false" ht="15" hidden="false" customHeight="false" outlineLevel="0" collapsed="false">
      <c r="B133" s="17"/>
      <c r="C133" s="5"/>
      <c r="D133" s="5"/>
      <c r="E133" s="5"/>
      <c r="F133" s="5"/>
      <c r="G133" s="5"/>
      <c r="H133" s="16"/>
      <c r="I133" s="7" t="str">
        <f aca="false">IF(OR(G133="",H133=""),"",IFERROR(INDEX('TDS Rates'!$D$6:$D$40,MATCH(G133,'TDS Rates'!$B$6:$B$40,0)),"Check nature"))</f>
        <v/>
      </c>
      <c r="J133" s="7" t="str">
        <f aca="false">IF(OR(G133="",H133=""),"",IFERROR(INDEX('TDS Rates'!$C$6:$C$40,MATCH(G133,'TDS Rates'!$B$6:$B$40,0)),""))</f>
        <v/>
      </c>
      <c r="K133" s="7" t="str">
        <f aca="false">IF(OR(G133="",H133=""),"",IFERROR(INDEX('TDS Rates'!$E$6:$E$40,MATCH(G133,'TDS Rates'!$B$6:$B$40,0)),""))</f>
        <v/>
      </c>
      <c r="L133" s="29" t="str">
        <f aca="false">IF(OR(G133="",H133=""),"",SUMIFS(H$6:H132,AA$6:AA132,AA133,G$6:G132,G133))</f>
        <v/>
      </c>
      <c r="M133" s="29" t="str">
        <f aca="false">IF(OR(G133="",H133=""),"",SUMIFS(H$6:H132,AA$6:AA132,AA133,G$6:G132,G133,N$6:N132,0))</f>
        <v/>
      </c>
      <c r="N133" s="29" t="str">
        <f aca="false">IF(OR(G133="",H133=""),"",IFERROR(IF(INDEX('TDS Rates'!$F$6:$F$40,MATCH(G133,'TDS Rates'!$B$6:$B$40,0))="NONE",H133,IF(INDEX('TDS Rates'!$F$6:$F$40,MATCH(G133,'TDS Rates'!$B$6:$B$40,0))="PER",IF(H133&gt;INDEX('TDS Rates'!$G$6:$G$40,MATCH(G133,'TDS Rates'!$B$6:$B$40,0)),H133,0),IF(INDEX('TDS Rates'!$F$6:$F$40,MATCH(G133,'TDS Rates'!$B$6:$B$40,0))="EXCESS",MAX(0,L133+H133-INDEX('TDS Rates'!$H$6:$H$40,MATCH(G133,'TDS Rates'!$B$6:$B$40,0)))-MAX(0,L133-INDEX('TDS Rates'!$H$6:$H$40,MATCH(G133,'TDS Rates'!$B$6:$B$40,0))),IF(INDEX('TDS Rates'!$F$6:$F$40,MATCH(G133,'TDS Rates'!$B$6:$B$40,0))="SA",IF(L133+H133&gt;INDEX('TDS Rates'!$H$6:$H$40,MATCH(G133,'TDS Rates'!$B$6:$B$40,0)),H133+M133,IF(H133&gt;INDEX('TDS Rates'!$G$6:$G$40,MATCH(G133,'TDS Rates'!$B$6:$B$40,0)),H133,0)),IF(L133+H133&gt;INDEX('TDS Rates'!$H$6:$H$40,MATCH(G133,'TDS Rates'!$B$6:$B$40,0)),H133+M133,0))))),0))</f>
        <v/>
      </c>
      <c r="O133" s="33" t="str">
        <f aca="false">IF(OR(G133="",H133=""),"",IFERROR(IF(F133="No",IF(INDEX('TDS Rates'!$C$6:$C$40,MATCH(G133,'TDS Rates'!$B$6:$B$40,0))="194Q",Settings!$C$14,MAX(Settings!$C$13,IF(E133="Individual / HUF",INDEX('TDS Rates'!$I$6:$I$40,MATCH(G133,'TDS Rates'!$B$6:$B$40,0)),IF(E133="Company",INDEX('TDS Rates'!$J$6:$J$40,MATCH(G133,'TDS Rates'!$B$6:$B$40,0)),INDEX('TDS Rates'!$K$6:$K$40,MATCH(G133,'TDS Rates'!$B$6:$B$40,0)))))),IF(E133="Individual / HUF",INDEX('TDS Rates'!$I$6:$I$40,MATCH(G133,'TDS Rates'!$B$6:$B$40,0)),IF(E133="Company",INDEX('TDS Rates'!$J$6:$J$40,MATCH(G133,'TDS Rates'!$B$6:$B$40,0)),INDEX('TDS Rates'!$K$6:$K$40,MATCH(G133,'TDS Rates'!$B$6:$B$40,0))))),0))</f>
        <v/>
      </c>
      <c r="P133" s="34" t="str">
        <f aca="false">IF(OR(G133="",H133=""),"",ROUND(N133*O133,0))</f>
        <v/>
      </c>
      <c r="Q133" s="27" t="str">
        <f aca="false">IF(OR(G133="",H133=""),"",IFERROR(IF(INDEX('TDS Rates'!$E$6:$E$40,MATCH(G133,'TDS Rates'!$B$6:$B$40,0))="Form 141",EOMONTH(IF(R133="",B133,R133),0)+30,IF(MONTH(IF(R133="",B133,R133))=3,DATE(YEAR(IF(R133="",B133,R133)),4,30),DATE(YEAR(IF(R133="",B133,R133)),MONTH(IF(R133="",B133,R133))+1,7))),""))</f>
        <v/>
      </c>
      <c r="R133" s="17"/>
      <c r="S133" s="17"/>
      <c r="T133" s="5"/>
      <c r="U133" s="28" t="str">
        <f aca="false">IF(OR(G133="",H133=""),"",IF(P133=0,0,IF(IF(R133="",Settings!$C$9,R133)&lt;=B133,0,((YEAR(IF(R133="",Settings!$C$9,R133))-YEAR(B133))*12+MONTH(IF(R133="",Settings!$C$9,R133))-MONTH(B133)+1))))</f>
        <v/>
      </c>
      <c r="V133" s="29" t="str">
        <f aca="false">IF(OR(G133="",H133=""),"",ROUND(P133*Settings!$C$10*U133,0))</f>
        <v/>
      </c>
      <c r="W133" s="28" t="str">
        <f aca="false">IF(OR(G133="",H133=""),"",IF(OR(P133=0,R133=""),0,IF(IF(S133="",Settings!$C$9,S133)&lt;=Q133,0,((YEAR(IF(S133="",Settings!$C$9,S133))-YEAR(R133))*12+MONTH(IF(S133="",Settings!$C$9,S133))-MONTH(R133)+1))))</f>
        <v/>
      </c>
      <c r="X133" s="29" t="str">
        <f aca="false">IF(OR(G133="",H133=""),"",ROUND(P133*Settings!$C$11*W133,0))</f>
        <v/>
      </c>
      <c r="Y133" s="29" t="str">
        <f aca="false">IF(OR(G133="",H133=""),"",V133+X133)</f>
        <v/>
      </c>
      <c r="Z133" s="7" t="str">
        <f aca="false">IF(OR(G133="",H133=""),"",IF(P133=0,"Below threshold",IF(R133="","Not yet deducted",IF(S133="",IF(Settings!$C$9&gt;Q133,"Overdue — pay now","Deducted, due "&amp;TEXT(Q133,"dd-mmm")),IF(S133&lt;=Q133,IF(N(U133)&gt;0,"Deducted late, paid on time","Paid on time"),"Paid late")))))</f>
        <v/>
      </c>
      <c r="AA133" s="35" t="str">
        <f aca="false">IF(OR(G133="",H133=""),"",IF(D133&lt;&gt;"",UPPER(TRIM(D133)),UPPER(TRIM(C133))))</f>
        <v/>
      </c>
    </row>
    <row r="134" customFormat="false" ht="15" hidden="false" customHeight="false" outlineLevel="0" collapsed="false">
      <c r="B134" s="17"/>
      <c r="C134" s="5"/>
      <c r="D134" s="5"/>
      <c r="E134" s="5"/>
      <c r="F134" s="5"/>
      <c r="G134" s="5"/>
      <c r="H134" s="16"/>
      <c r="I134" s="7" t="str">
        <f aca="false">IF(OR(G134="",H134=""),"",IFERROR(INDEX('TDS Rates'!$D$6:$D$40,MATCH(G134,'TDS Rates'!$B$6:$B$40,0)),"Check nature"))</f>
        <v/>
      </c>
      <c r="J134" s="7" t="str">
        <f aca="false">IF(OR(G134="",H134=""),"",IFERROR(INDEX('TDS Rates'!$C$6:$C$40,MATCH(G134,'TDS Rates'!$B$6:$B$40,0)),""))</f>
        <v/>
      </c>
      <c r="K134" s="7" t="str">
        <f aca="false">IF(OR(G134="",H134=""),"",IFERROR(INDEX('TDS Rates'!$E$6:$E$40,MATCH(G134,'TDS Rates'!$B$6:$B$40,0)),""))</f>
        <v/>
      </c>
      <c r="L134" s="29" t="str">
        <f aca="false">IF(OR(G134="",H134=""),"",SUMIFS(H$6:H133,AA$6:AA133,AA134,G$6:G133,G134))</f>
        <v/>
      </c>
      <c r="M134" s="29" t="str">
        <f aca="false">IF(OR(G134="",H134=""),"",SUMIFS(H$6:H133,AA$6:AA133,AA134,G$6:G133,G134,N$6:N133,0))</f>
        <v/>
      </c>
      <c r="N134" s="29" t="str">
        <f aca="false">IF(OR(G134="",H134=""),"",IFERROR(IF(INDEX('TDS Rates'!$F$6:$F$40,MATCH(G134,'TDS Rates'!$B$6:$B$40,0))="NONE",H134,IF(INDEX('TDS Rates'!$F$6:$F$40,MATCH(G134,'TDS Rates'!$B$6:$B$40,0))="PER",IF(H134&gt;INDEX('TDS Rates'!$G$6:$G$40,MATCH(G134,'TDS Rates'!$B$6:$B$40,0)),H134,0),IF(INDEX('TDS Rates'!$F$6:$F$40,MATCH(G134,'TDS Rates'!$B$6:$B$40,0))="EXCESS",MAX(0,L134+H134-INDEX('TDS Rates'!$H$6:$H$40,MATCH(G134,'TDS Rates'!$B$6:$B$40,0)))-MAX(0,L134-INDEX('TDS Rates'!$H$6:$H$40,MATCH(G134,'TDS Rates'!$B$6:$B$40,0))),IF(INDEX('TDS Rates'!$F$6:$F$40,MATCH(G134,'TDS Rates'!$B$6:$B$40,0))="SA",IF(L134+H134&gt;INDEX('TDS Rates'!$H$6:$H$40,MATCH(G134,'TDS Rates'!$B$6:$B$40,0)),H134+M134,IF(H134&gt;INDEX('TDS Rates'!$G$6:$G$40,MATCH(G134,'TDS Rates'!$B$6:$B$40,0)),H134,0)),IF(L134+H134&gt;INDEX('TDS Rates'!$H$6:$H$40,MATCH(G134,'TDS Rates'!$B$6:$B$40,0)),H134+M134,0))))),0))</f>
        <v/>
      </c>
      <c r="O134" s="33" t="str">
        <f aca="false">IF(OR(G134="",H134=""),"",IFERROR(IF(F134="No",IF(INDEX('TDS Rates'!$C$6:$C$40,MATCH(G134,'TDS Rates'!$B$6:$B$40,0))="194Q",Settings!$C$14,MAX(Settings!$C$13,IF(E134="Individual / HUF",INDEX('TDS Rates'!$I$6:$I$40,MATCH(G134,'TDS Rates'!$B$6:$B$40,0)),IF(E134="Company",INDEX('TDS Rates'!$J$6:$J$40,MATCH(G134,'TDS Rates'!$B$6:$B$40,0)),INDEX('TDS Rates'!$K$6:$K$40,MATCH(G134,'TDS Rates'!$B$6:$B$40,0)))))),IF(E134="Individual / HUF",INDEX('TDS Rates'!$I$6:$I$40,MATCH(G134,'TDS Rates'!$B$6:$B$40,0)),IF(E134="Company",INDEX('TDS Rates'!$J$6:$J$40,MATCH(G134,'TDS Rates'!$B$6:$B$40,0)),INDEX('TDS Rates'!$K$6:$K$40,MATCH(G134,'TDS Rates'!$B$6:$B$40,0))))),0))</f>
        <v/>
      </c>
      <c r="P134" s="34" t="str">
        <f aca="false">IF(OR(G134="",H134=""),"",ROUND(N134*O134,0))</f>
        <v/>
      </c>
      <c r="Q134" s="27" t="str">
        <f aca="false">IF(OR(G134="",H134=""),"",IFERROR(IF(INDEX('TDS Rates'!$E$6:$E$40,MATCH(G134,'TDS Rates'!$B$6:$B$40,0))="Form 141",EOMONTH(IF(R134="",B134,R134),0)+30,IF(MONTH(IF(R134="",B134,R134))=3,DATE(YEAR(IF(R134="",B134,R134)),4,30),DATE(YEAR(IF(R134="",B134,R134)),MONTH(IF(R134="",B134,R134))+1,7))),""))</f>
        <v/>
      </c>
      <c r="R134" s="17"/>
      <c r="S134" s="17"/>
      <c r="T134" s="5"/>
      <c r="U134" s="28" t="str">
        <f aca="false">IF(OR(G134="",H134=""),"",IF(P134=0,0,IF(IF(R134="",Settings!$C$9,R134)&lt;=B134,0,((YEAR(IF(R134="",Settings!$C$9,R134))-YEAR(B134))*12+MONTH(IF(R134="",Settings!$C$9,R134))-MONTH(B134)+1))))</f>
        <v/>
      </c>
      <c r="V134" s="29" t="str">
        <f aca="false">IF(OR(G134="",H134=""),"",ROUND(P134*Settings!$C$10*U134,0))</f>
        <v/>
      </c>
      <c r="W134" s="28" t="str">
        <f aca="false">IF(OR(G134="",H134=""),"",IF(OR(P134=0,R134=""),0,IF(IF(S134="",Settings!$C$9,S134)&lt;=Q134,0,((YEAR(IF(S134="",Settings!$C$9,S134))-YEAR(R134))*12+MONTH(IF(S134="",Settings!$C$9,S134))-MONTH(R134)+1))))</f>
        <v/>
      </c>
      <c r="X134" s="29" t="str">
        <f aca="false">IF(OR(G134="",H134=""),"",ROUND(P134*Settings!$C$11*W134,0))</f>
        <v/>
      </c>
      <c r="Y134" s="29" t="str">
        <f aca="false">IF(OR(G134="",H134=""),"",V134+X134)</f>
        <v/>
      </c>
      <c r="Z134" s="7" t="str">
        <f aca="false">IF(OR(G134="",H134=""),"",IF(P134=0,"Below threshold",IF(R134="","Not yet deducted",IF(S134="",IF(Settings!$C$9&gt;Q134,"Overdue — pay now","Deducted, due "&amp;TEXT(Q134,"dd-mmm")),IF(S134&lt;=Q134,IF(N(U134)&gt;0,"Deducted late, paid on time","Paid on time"),"Paid late")))))</f>
        <v/>
      </c>
      <c r="AA134" s="35" t="str">
        <f aca="false">IF(OR(G134="",H134=""),"",IF(D134&lt;&gt;"",UPPER(TRIM(D134)),UPPER(TRIM(C134))))</f>
        <v/>
      </c>
    </row>
    <row r="135" customFormat="false" ht="15" hidden="false" customHeight="false" outlineLevel="0" collapsed="false">
      <c r="B135" s="17"/>
      <c r="C135" s="5"/>
      <c r="D135" s="5"/>
      <c r="E135" s="5"/>
      <c r="F135" s="5"/>
      <c r="G135" s="5"/>
      <c r="H135" s="16"/>
      <c r="I135" s="7" t="str">
        <f aca="false">IF(OR(G135="",H135=""),"",IFERROR(INDEX('TDS Rates'!$D$6:$D$40,MATCH(G135,'TDS Rates'!$B$6:$B$40,0)),"Check nature"))</f>
        <v/>
      </c>
      <c r="J135" s="7" t="str">
        <f aca="false">IF(OR(G135="",H135=""),"",IFERROR(INDEX('TDS Rates'!$C$6:$C$40,MATCH(G135,'TDS Rates'!$B$6:$B$40,0)),""))</f>
        <v/>
      </c>
      <c r="K135" s="7" t="str">
        <f aca="false">IF(OR(G135="",H135=""),"",IFERROR(INDEX('TDS Rates'!$E$6:$E$40,MATCH(G135,'TDS Rates'!$B$6:$B$40,0)),""))</f>
        <v/>
      </c>
      <c r="L135" s="29" t="str">
        <f aca="false">IF(OR(G135="",H135=""),"",SUMIFS(H$6:H134,AA$6:AA134,AA135,G$6:G134,G135))</f>
        <v/>
      </c>
      <c r="M135" s="29" t="str">
        <f aca="false">IF(OR(G135="",H135=""),"",SUMIFS(H$6:H134,AA$6:AA134,AA135,G$6:G134,G135,N$6:N134,0))</f>
        <v/>
      </c>
      <c r="N135" s="29" t="str">
        <f aca="false">IF(OR(G135="",H135=""),"",IFERROR(IF(INDEX('TDS Rates'!$F$6:$F$40,MATCH(G135,'TDS Rates'!$B$6:$B$40,0))="NONE",H135,IF(INDEX('TDS Rates'!$F$6:$F$40,MATCH(G135,'TDS Rates'!$B$6:$B$40,0))="PER",IF(H135&gt;INDEX('TDS Rates'!$G$6:$G$40,MATCH(G135,'TDS Rates'!$B$6:$B$40,0)),H135,0),IF(INDEX('TDS Rates'!$F$6:$F$40,MATCH(G135,'TDS Rates'!$B$6:$B$40,0))="EXCESS",MAX(0,L135+H135-INDEX('TDS Rates'!$H$6:$H$40,MATCH(G135,'TDS Rates'!$B$6:$B$40,0)))-MAX(0,L135-INDEX('TDS Rates'!$H$6:$H$40,MATCH(G135,'TDS Rates'!$B$6:$B$40,0))),IF(INDEX('TDS Rates'!$F$6:$F$40,MATCH(G135,'TDS Rates'!$B$6:$B$40,0))="SA",IF(L135+H135&gt;INDEX('TDS Rates'!$H$6:$H$40,MATCH(G135,'TDS Rates'!$B$6:$B$40,0)),H135+M135,IF(H135&gt;INDEX('TDS Rates'!$G$6:$G$40,MATCH(G135,'TDS Rates'!$B$6:$B$40,0)),H135,0)),IF(L135+H135&gt;INDEX('TDS Rates'!$H$6:$H$40,MATCH(G135,'TDS Rates'!$B$6:$B$40,0)),H135+M135,0))))),0))</f>
        <v/>
      </c>
      <c r="O135" s="33" t="str">
        <f aca="false">IF(OR(G135="",H135=""),"",IFERROR(IF(F135="No",IF(INDEX('TDS Rates'!$C$6:$C$40,MATCH(G135,'TDS Rates'!$B$6:$B$40,0))="194Q",Settings!$C$14,MAX(Settings!$C$13,IF(E135="Individual / HUF",INDEX('TDS Rates'!$I$6:$I$40,MATCH(G135,'TDS Rates'!$B$6:$B$40,0)),IF(E135="Company",INDEX('TDS Rates'!$J$6:$J$40,MATCH(G135,'TDS Rates'!$B$6:$B$40,0)),INDEX('TDS Rates'!$K$6:$K$40,MATCH(G135,'TDS Rates'!$B$6:$B$40,0)))))),IF(E135="Individual / HUF",INDEX('TDS Rates'!$I$6:$I$40,MATCH(G135,'TDS Rates'!$B$6:$B$40,0)),IF(E135="Company",INDEX('TDS Rates'!$J$6:$J$40,MATCH(G135,'TDS Rates'!$B$6:$B$40,0)),INDEX('TDS Rates'!$K$6:$K$40,MATCH(G135,'TDS Rates'!$B$6:$B$40,0))))),0))</f>
        <v/>
      </c>
      <c r="P135" s="34" t="str">
        <f aca="false">IF(OR(G135="",H135=""),"",ROUND(N135*O135,0))</f>
        <v/>
      </c>
      <c r="Q135" s="27" t="str">
        <f aca="false">IF(OR(G135="",H135=""),"",IFERROR(IF(INDEX('TDS Rates'!$E$6:$E$40,MATCH(G135,'TDS Rates'!$B$6:$B$40,0))="Form 141",EOMONTH(IF(R135="",B135,R135),0)+30,IF(MONTH(IF(R135="",B135,R135))=3,DATE(YEAR(IF(R135="",B135,R135)),4,30),DATE(YEAR(IF(R135="",B135,R135)),MONTH(IF(R135="",B135,R135))+1,7))),""))</f>
        <v/>
      </c>
      <c r="R135" s="17"/>
      <c r="S135" s="17"/>
      <c r="T135" s="5"/>
      <c r="U135" s="28" t="str">
        <f aca="false">IF(OR(G135="",H135=""),"",IF(P135=0,0,IF(IF(R135="",Settings!$C$9,R135)&lt;=B135,0,((YEAR(IF(R135="",Settings!$C$9,R135))-YEAR(B135))*12+MONTH(IF(R135="",Settings!$C$9,R135))-MONTH(B135)+1))))</f>
        <v/>
      </c>
      <c r="V135" s="29" t="str">
        <f aca="false">IF(OR(G135="",H135=""),"",ROUND(P135*Settings!$C$10*U135,0))</f>
        <v/>
      </c>
      <c r="W135" s="28" t="str">
        <f aca="false">IF(OR(G135="",H135=""),"",IF(OR(P135=0,R135=""),0,IF(IF(S135="",Settings!$C$9,S135)&lt;=Q135,0,((YEAR(IF(S135="",Settings!$C$9,S135))-YEAR(R135))*12+MONTH(IF(S135="",Settings!$C$9,S135))-MONTH(R135)+1))))</f>
        <v/>
      </c>
      <c r="X135" s="29" t="str">
        <f aca="false">IF(OR(G135="",H135=""),"",ROUND(P135*Settings!$C$11*W135,0))</f>
        <v/>
      </c>
      <c r="Y135" s="29" t="str">
        <f aca="false">IF(OR(G135="",H135=""),"",V135+X135)</f>
        <v/>
      </c>
      <c r="Z135" s="7" t="str">
        <f aca="false">IF(OR(G135="",H135=""),"",IF(P135=0,"Below threshold",IF(R135="","Not yet deducted",IF(S135="",IF(Settings!$C$9&gt;Q135,"Overdue — pay now","Deducted, due "&amp;TEXT(Q135,"dd-mmm")),IF(S135&lt;=Q135,IF(N(U135)&gt;0,"Deducted late, paid on time","Paid on time"),"Paid late")))))</f>
        <v/>
      </c>
      <c r="AA135" s="35" t="str">
        <f aca="false">IF(OR(G135="",H135=""),"",IF(D135&lt;&gt;"",UPPER(TRIM(D135)),UPPER(TRIM(C135))))</f>
        <v/>
      </c>
    </row>
    <row r="136" customFormat="false" ht="15" hidden="false" customHeight="false" outlineLevel="0" collapsed="false">
      <c r="B136" s="17"/>
      <c r="C136" s="5"/>
      <c r="D136" s="5"/>
      <c r="E136" s="5"/>
      <c r="F136" s="5"/>
      <c r="G136" s="5"/>
      <c r="H136" s="16"/>
      <c r="I136" s="7" t="str">
        <f aca="false">IF(OR(G136="",H136=""),"",IFERROR(INDEX('TDS Rates'!$D$6:$D$40,MATCH(G136,'TDS Rates'!$B$6:$B$40,0)),"Check nature"))</f>
        <v/>
      </c>
      <c r="J136" s="7" t="str">
        <f aca="false">IF(OR(G136="",H136=""),"",IFERROR(INDEX('TDS Rates'!$C$6:$C$40,MATCH(G136,'TDS Rates'!$B$6:$B$40,0)),""))</f>
        <v/>
      </c>
      <c r="K136" s="7" t="str">
        <f aca="false">IF(OR(G136="",H136=""),"",IFERROR(INDEX('TDS Rates'!$E$6:$E$40,MATCH(G136,'TDS Rates'!$B$6:$B$40,0)),""))</f>
        <v/>
      </c>
      <c r="L136" s="29" t="str">
        <f aca="false">IF(OR(G136="",H136=""),"",SUMIFS(H$6:H135,AA$6:AA135,AA136,G$6:G135,G136))</f>
        <v/>
      </c>
      <c r="M136" s="29" t="str">
        <f aca="false">IF(OR(G136="",H136=""),"",SUMIFS(H$6:H135,AA$6:AA135,AA136,G$6:G135,G136,N$6:N135,0))</f>
        <v/>
      </c>
      <c r="N136" s="29" t="str">
        <f aca="false">IF(OR(G136="",H136=""),"",IFERROR(IF(INDEX('TDS Rates'!$F$6:$F$40,MATCH(G136,'TDS Rates'!$B$6:$B$40,0))="NONE",H136,IF(INDEX('TDS Rates'!$F$6:$F$40,MATCH(G136,'TDS Rates'!$B$6:$B$40,0))="PER",IF(H136&gt;INDEX('TDS Rates'!$G$6:$G$40,MATCH(G136,'TDS Rates'!$B$6:$B$40,0)),H136,0),IF(INDEX('TDS Rates'!$F$6:$F$40,MATCH(G136,'TDS Rates'!$B$6:$B$40,0))="EXCESS",MAX(0,L136+H136-INDEX('TDS Rates'!$H$6:$H$40,MATCH(G136,'TDS Rates'!$B$6:$B$40,0)))-MAX(0,L136-INDEX('TDS Rates'!$H$6:$H$40,MATCH(G136,'TDS Rates'!$B$6:$B$40,0))),IF(INDEX('TDS Rates'!$F$6:$F$40,MATCH(G136,'TDS Rates'!$B$6:$B$40,0))="SA",IF(L136+H136&gt;INDEX('TDS Rates'!$H$6:$H$40,MATCH(G136,'TDS Rates'!$B$6:$B$40,0)),H136+M136,IF(H136&gt;INDEX('TDS Rates'!$G$6:$G$40,MATCH(G136,'TDS Rates'!$B$6:$B$40,0)),H136,0)),IF(L136+H136&gt;INDEX('TDS Rates'!$H$6:$H$40,MATCH(G136,'TDS Rates'!$B$6:$B$40,0)),H136+M136,0))))),0))</f>
        <v/>
      </c>
      <c r="O136" s="33" t="str">
        <f aca="false">IF(OR(G136="",H136=""),"",IFERROR(IF(F136="No",IF(INDEX('TDS Rates'!$C$6:$C$40,MATCH(G136,'TDS Rates'!$B$6:$B$40,0))="194Q",Settings!$C$14,MAX(Settings!$C$13,IF(E136="Individual / HUF",INDEX('TDS Rates'!$I$6:$I$40,MATCH(G136,'TDS Rates'!$B$6:$B$40,0)),IF(E136="Company",INDEX('TDS Rates'!$J$6:$J$40,MATCH(G136,'TDS Rates'!$B$6:$B$40,0)),INDEX('TDS Rates'!$K$6:$K$40,MATCH(G136,'TDS Rates'!$B$6:$B$40,0)))))),IF(E136="Individual / HUF",INDEX('TDS Rates'!$I$6:$I$40,MATCH(G136,'TDS Rates'!$B$6:$B$40,0)),IF(E136="Company",INDEX('TDS Rates'!$J$6:$J$40,MATCH(G136,'TDS Rates'!$B$6:$B$40,0)),INDEX('TDS Rates'!$K$6:$K$40,MATCH(G136,'TDS Rates'!$B$6:$B$40,0))))),0))</f>
        <v/>
      </c>
      <c r="P136" s="34" t="str">
        <f aca="false">IF(OR(G136="",H136=""),"",ROUND(N136*O136,0))</f>
        <v/>
      </c>
      <c r="Q136" s="27" t="str">
        <f aca="false">IF(OR(G136="",H136=""),"",IFERROR(IF(INDEX('TDS Rates'!$E$6:$E$40,MATCH(G136,'TDS Rates'!$B$6:$B$40,0))="Form 141",EOMONTH(IF(R136="",B136,R136),0)+30,IF(MONTH(IF(R136="",B136,R136))=3,DATE(YEAR(IF(R136="",B136,R136)),4,30),DATE(YEAR(IF(R136="",B136,R136)),MONTH(IF(R136="",B136,R136))+1,7))),""))</f>
        <v/>
      </c>
      <c r="R136" s="17"/>
      <c r="S136" s="17"/>
      <c r="T136" s="5"/>
      <c r="U136" s="28" t="str">
        <f aca="false">IF(OR(G136="",H136=""),"",IF(P136=0,0,IF(IF(R136="",Settings!$C$9,R136)&lt;=B136,0,((YEAR(IF(R136="",Settings!$C$9,R136))-YEAR(B136))*12+MONTH(IF(R136="",Settings!$C$9,R136))-MONTH(B136)+1))))</f>
        <v/>
      </c>
      <c r="V136" s="29" t="str">
        <f aca="false">IF(OR(G136="",H136=""),"",ROUND(P136*Settings!$C$10*U136,0))</f>
        <v/>
      </c>
      <c r="W136" s="28" t="str">
        <f aca="false">IF(OR(G136="",H136=""),"",IF(OR(P136=0,R136=""),0,IF(IF(S136="",Settings!$C$9,S136)&lt;=Q136,0,((YEAR(IF(S136="",Settings!$C$9,S136))-YEAR(R136))*12+MONTH(IF(S136="",Settings!$C$9,S136))-MONTH(R136)+1))))</f>
        <v/>
      </c>
      <c r="X136" s="29" t="str">
        <f aca="false">IF(OR(G136="",H136=""),"",ROUND(P136*Settings!$C$11*W136,0))</f>
        <v/>
      </c>
      <c r="Y136" s="29" t="str">
        <f aca="false">IF(OR(G136="",H136=""),"",V136+X136)</f>
        <v/>
      </c>
      <c r="Z136" s="7" t="str">
        <f aca="false">IF(OR(G136="",H136=""),"",IF(P136=0,"Below threshold",IF(R136="","Not yet deducted",IF(S136="",IF(Settings!$C$9&gt;Q136,"Overdue — pay now","Deducted, due "&amp;TEXT(Q136,"dd-mmm")),IF(S136&lt;=Q136,IF(N(U136)&gt;0,"Deducted late, paid on time","Paid on time"),"Paid late")))))</f>
        <v/>
      </c>
      <c r="AA136" s="35" t="str">
        <f aca="false">IF(OR(G136="",H136=""),"",IF(D136&lt;&gt;"",UPPER(TRIM(D136)),UPPER(TRIM(C136))))</f>
        <v/>
      </c>
    </row>
    <row r="137" customFormat="false" ht="15" hidden="false" customHeight="false" outlineLevel="0" collapsed="false">
      <c r="B137" s="17"/>
      <c r="C137" s="5"/>
      <c r="D137" s="5"/>
      <c r="E137" s="5"/>
      <c r="F137" s="5"/>
      <c r="G137" s="5"/>
      <c r="H137" s="16"/>
      <c r="I137" s="7" t="str">
        <f aca="false">IF(OR(G137="",H137=""),"",IFERROR(INDEX('TDS Rates'!$D$6:$D$40,MATCH(G137,'TDS Rates'!$B$6:$B$40,0)),"Check nature"))</f>
        <v/>
      </c>
      <c r="J137" s="7" t="str">
        <f aca="false">IF(OR(G137="",H137=""),"",IFERROR(INDEX('TDS Rates'!$C$6:$C$40,MATCH(G137,'TDS Rates'!$B$6:$B$40,0)),""))</f>
        <v/>
      </c>
      <c r="K137" s="7" t="str">
        <f aca="false">IF(OR(G137="",H137=""),"",IFERROR(INDEX('TDS Rates'!$E$6:$E$40,MATCH(G137,'TDS Rates'!$B$6:$B$40,0)),""))</f>
        <v/>
      </c>
      <c r="L137" s="29" t="str">
        <f aca="false">IF(OR(G137="",H137=""),"",SUMIFS(H$6:H136,AA$6:AA136,AA137,G$6:G136,G137))</f>
        <v/>
      </c>
      <c r="M137" s="29" t="str">
        <f aca="false">IF(OR(G137="",H137=""),"",SUMIFS(H$6:H136,AA$6:AA136,AA137,G$6:G136,G137,N$6:N136,0))</f>
        <v/>
      </c>
      <c r="N137" s="29" t="str">
        <f aca="false">IF(OR(G137="",H137=""),"",IFERROR(IF(INDEX('TDS Rates'!$F$6:$F$40,MATCH(G137,'TDS Rates'!$B$6:$B$40,0))="NONE",H137,IF(INDEX('TDS Rates'!$F$6:$F$40,MATCH(G137,'TDS Rates'!$B$6:$B$40,0))="PER",IF(H137&gt;INDEX('TDS Rates'!$G$6:$G$40,MATCH(G137,'TDS Rates'!$B$6:$B$40,0)),H137,0),IF(INDEX('TDS Rates'!$F$6:$F$40,MATCH(G137,'TDS Rates'!$B$6:$B$40,0))="EXCESS",MAX(0,L137+H137-INDEX('TDS Rates'!$H$6:$H$40,MATCH(G137,'TDS Rates'!$B$6:$B$40,0)))-MAX(0,L137-INDEX('TDS Rates'!$H$6:$H$40,MATCH(G137,'TDS Rates'!$B$6:$B$40,0))),IF(INDEX('TDS Rates'!$F$6:$F$40,MATCH(G137,'TDS Rates'!$B$6:$B$40,0))="SA",IF(L137+H137&gt;INDEX('TDS Rates'!$H$6:$H$40,MATCH(G137,'TDS Rates'!$B$6:$B$40,0)),H137+M137,IF(H137&gt;INDEX('TDS Rates'!$G$6:$G$40,MATCH(G137,'TDS Rates'!$B$6:$B$40,0)),H137,0)),IF(L137+H137&gt;INDEX('TDS Rates'!$H$6:$H$40,MATCH(G137,'TDS Rates'!$B$6:$B$40,0)),H137+M137,0))))),0))</f>
        <v/>
      </c>
      <c r="O137" s="33" t="str">
        <f aca="false">IF(OR(G137="",H137=""),"",IFERROR(IF(F137="No",IF(INDEX('TDS Rates'!$C$6:$C$40,MATCH(G137,'TDS Rates'!$B$6:$B$40,0))="194Q",Settings!$C$14,MAX(Settings!$C$13,IF(E137="Individual / HUF",INDEX('TDS Rates'!$I$6:$I$40,MATCH(G137,'TDS Rates'!$B$6:$B$40,0)),IF(E137="Company",INDEX('TDS Rates'!$J$6:$J$40,MATCH(G137,'TDS Rates'!$B$6:$B$40,0)),INDEX('TDS Rates'!$K$6:$K$40,MATCH(G137,'TDS Rates'!$B$6:$B$40,0)))))),IF(E137="Individual / HUF",INDEX('TDS Rates'!$I$6:$I$40,MATCH(G137,'TDS Rates'!$B$6:$B$40,0)),IF(E137="Company",INDEX('TDS Rates'!$J$6:$J$40,MATCH(G137,'TDS Rates'!$B$6:$B$40,0)),INDEX('TDS Rates'!$K$6:$K$40,MATCH(G137,'TDS Rates'!$B$6:$B$40,0))))),0))</f>
        <v/>
      </c>
      <c r="P137" s="34" t="str">
        <f aca="false">IF(OR(G137="",H137=""),"",ROUND(N137*O137,0))</f>
        <v/>
      </c>
      <c r="Q137" s="27" t="str">
        <f aca="false">IF(OR(G137="",H137=""),"",IFERROR(IF(INDEX('TDS Rates'!$E$6:$E$40,MATCH(G137,'TDS Rates'!$B$6:$B$40,0))="Form 141",EOMONTH(IF(R137="",B137,R137),0)+30,IF(MONTH(IF(R137="",B137,R137))=3,DATE(YEAR(IF(R137="",B137,R137)),4,30),DATE(YEAR(IF(R137="",B137,R137)),MONTH(IF(R137="",B137,R137))+1,7))),""))</f>
        <v/>
      </c>
      <c r="R137" s="17"/>
      <c r="S137" s="17"/>
      <c r="T137" s="5"/>
      <c r="U137" s="28" t="str">
        <f aca="false">IF(OR(G137="",H137=""),"",IF(P137=0,0,IF(IF(R137="",Settings!$C$9,R137)&lt;=B137,0,((YEAR(IF(R137="",Settings!$C$9,R137))-YEAR(B137))*12+MONTH(IF(R137="",Settings!$C$9,R137))-MONTH(B137)+1))))</f>
        <v/>
      </c>
      <c r="V137" s="29" t="str">
        <f aca="false">IF(OR(G137="",H137=""),"",ROUND(P137*Settings!$C$10*U137,0))</f>
        <v/>
      </c>
      <c r="W137" s="28" t="str">
        <f aca="false">IF(OR(G137="",H137=""),"",IF(OR(P137=0,R137=""),0,IF(IF(S137="",Settings!$C$9,S137)&lt;=Q137,0,((YEAR(IF(S137="",Settings!$C$9,S137))-YEAR(R137))*12+MONTH(IF(S137="",Settings!$C$9,S137))-MONTH(R137)+1))))</f>
        <v/>
      </c>
      <c r="X137" s="29" t="str">
        <f aca="false">IF(OR(G137="",H137=""),"",ROUND(P137*Settings!$C$11*W137,0))</f>
        <v/>
      </c>
      <c r="Y137" s="29" t="str">
        <f aca="false">IF(OR(G137="",H137=""),"",V137+X137)</f>
        <v/>
      </c>
      <c r="Z137" s="7" t="str">
        <f aca="false">IF(OR(G137="",H137=""),"",IF(P137=0,"Below threshold",IF(R137="","Not yet deducted",IF(S137="",IF(Settings!$C$9&gt;Q137,"Overdue — pay now","Deducted, due "&amp;TEXT(Q137,"dd-mmm")),IF(S137&lt;=Q137,IF(N(U137)&gt;0,"Deducted late, paid on time","Paid on time"),"Paid late")))))</f>
        <v/>
      </c>
      <c r="AA137" s="35" t="str">
        <f aca="false">IF(OR(G137="",H137=""),"",IF(D137&lt;&gt;"",UPPER(TRIM(D137)),UPPER(TRIM(C137))))</f>
        <v/>
      </c>
    </row>
    <row r="138" customFormat="false" ht="15" hidden="false" customHeight="false" outlineLevel="0" collapsed="false">
      <c r="B138" s="17"/>
      <c r="C138" s="5"/>
      <c r="D138" s="5"/>
      <c r="E138" s="5"/>
      <c r="F138" s="5"/>
      <c r="G138" s="5"/>
      <c r="H138" s="16"/>
      <c r="I138" s="7" t="str">
        <f aca="false">IF(OR(G138="",H138=""),"",IFERROR(INDEX('TDS Rates'!$D$6:$D$40,MATCH(G138,'TDS Rates'!$B$6:$B$40,0)),"Check nature"))</f>
        <v/>
      </c>
      <c r="J138" s="7" t="str">
        <f aca="false">IF(OR(G138="",H138=""),"",IFERROR(INDEX('TDS Rates'!$C$6:$C$40,MATCH(G138,'TDS Rates'!$B$6:$B$40,0)),""))</f>
        <v/>
      </c>
      <c r="K138" s="7" t="str">
        <f aca="false">IF(OR(G138="",H138=""),"",IFERROR(INDEX('TDS Rates'!$E$6:$E$40,MATCH(G138,'TDS Rates'!$B$6:$B$40,0)),""))</f>
        <v/>
      </c>
      <c r="L138" s="29" t="str">
        <f aca="false">IF(OR(G138="",H138=""),"",SUMIFS(H$6:H137,AA$6:AA137,AA138,G$6:G137,G138))</f>
        <v/>
      </c>
      <c r="M138" s="29" t="str">
        <f aca="false">IF(OR(G138="",H138=""),"",SUMIFS(H$6:H137,AA$6:AA137,AA138,G$6:G137,G138,N$6:N137,0))</f>
        <v/>
      </c>
      <c r="N138" s="29" t="str">
        <f aca="false">IF(OR(G138="",H138=""),"",IFERROR(IF(INDEX('TDS Rates'!$F$6:$F$40,MATCH(G138,'TDS Rates'!$B$6:$B$40,0))="NONE",H138,IF(INDEX('TDS Rates'!$F$6:$F$40,MATCH(G138,'TDS Rates'!$B$6:$B$40,0))="PER",IF(H138&gt;INDEX('TDS Rates'!$G$6:$G$40,MATCH(G138,'TDS Rates'!$B$6:$B$40,0)),H138,0),IF(INDEX('TDS Rates'!$F$6:$F$40,MATCH(G138,'TDS Rates'!$B$6:$B$40,0))="EXCESS",MAX(0,L138+H138-INDEX('TDS Rates'!$H$6:$H$40,MATCH(G138,'TDS Rates'!$B$6:$B$40,0)))-MAX(0,L138-INDEX('TDS Rates'!$H$6:$H$40,MATCH(G138,'TDS Rates'!$B$6:$B$40,0))),IF(INDEX('TDS Rates'!$F$6:$F$40,MATCH(G138,'TDS Rates'!$B$6:$B$40,0))="SA",IF(L138+H138&gt;INDEX('TDS Rates'!$H$6:$H$40,MATCH(G138,'TDS Rates'!$B$6:$B$40,0)),H138+M138,IF(H138&gt;INDEX('TDS Rates'!$G$6:$G$40,MATCH(G138,'TDS Rates'!$B$6:$B$40,0)),H138,0)),IF(L138+H138&gt;INDEX('TDS Rates'!$H$6:$H$40,MATCH(G138,'TDS Rates'!$B$6:$B$40,0)),H138+M138,0))))),0))</f>
        <v/>
      </c>
      <c r="O138" s="33" t="str">
        <f aca="false">IF(OR(G138="",H138=""),"",IFERROR(IF(F138="No",IF(INDEX('TDS Rates'!$C$6:$C$40,MATCH(G138,'TDS Rates'!$B$6:$B$40,0))="194Q",Settings!$C$14,MAX(Settings!$C$13,IF(E138="Individual / HUF",INDEX('TDS Rates'!$I$6:$I$40,MATCH(G138,'TDS Rates'!$B$6:$B$40,0)),IF(E138="Company",INDEX('TDS Rates'!$J$6:$J$40,MATCH(G138,'TDS Rates'!$B$6:$B$40,0)),INDEX('TDS Rates'!$K$6:$K$40,MATCH(G138,'TDS Rates'!$B$6:$B$40,0)))))),IF(E138="Individual / HUF",INDEX('TDS Rates'!$I$6:$I$40,MATCH(G138,'TDS Rates'!$B$6:$B$40,0)),IF(E138="Company",INDEX('TDS Rates'!$J$6:$J$40,MATCH(G138,'TDS Rates'!$B$6:$B$40,0)),INDEX('TDS Rates'!$K$6:$K$40,MATCH(G138,'TDS Rates'!$B$6:$B$40,0))))),0))</f>
        <v/>
      </c>
      <c r="P138" s="34" t="str">
        <f aca="false">IF(OR(G138="",H138=""),"",ROUND(N138*O138,0))</f>
        <v/>
      </c>
      <c r="Q138" s="27" t="str">
        <f aca="false">IF(OR(G138="",H138=""),"",IFERROR(IF(INDEX('TDS Rates'!$E$6:$E$40,MATCH(G138,'TDS Rates'!$B$6:$B$40,0))="Form 141",EOMONTH(IF(R138="",B138,R138),0)+30,IF(MONTH(IF(R138="",B138,R138))=3,DATE(YEAR(IF(R138="",B138,R138)),4,30),DATE(YEAR(IF(R138="",B138,R138)),MONTH(IF(R138="",B138,R138))+1,7))),""))</f>
        <v/>
      </c>
      <c r="R138" s="17"/>
      <c r="S138" s="17"/>
      <c r="T138" s="5"/>
      <c r="U138" s="28" t="str">
        <f aca="false">IF(OR(G138="",H138=""),"",IF(P138=0,0,IF(IF(R138="",Settings!$C$9,R138)&lt;=B138,0,((YEAR(IF(R138="",Settings!$C$9,R138))-YEAR(B138))*12+MONTH(IF(R138="",Settings!$C$9,R138))-MONTH(B138)+1))))</f>
        <v/>
      </c>
      <c r="V138" s="29" t="str">
        <f aca="false">IF(OR(G138="",H138=""),"",ROUND(P138*Settings!$C$10*U138,0))</f>
        <v/>
      </c>
      <c r="W138" s="28" t="str">
        <f aca="false">IF(OR(G138="",H138=""),"",IF(OR(P138=0,R138=""),0,IF(IF(S138="",Settings!$C$9,S138)&lt;=Q138,0,((YEAR(IF(S138="",Settings!$C$9,S138))-YEAR(R138))*12+MONTH(IF(S138="",Settings!$C$9,S138))-MONTH(R138)+1))))</f>
        <v/>
      </c>
      <c r="X138" s="29" t="str">
        <f aca="false">IF(OR(G138="",H138=""),"",ROUND(P138*Settings!$C$11*W138,0))</f>
        <v/>
      </c>
      <c r="Y138" s="29" t="str">
        <f aca="false">IF(OR(G138="",H138=""),"",V138+X138)</f>
        <v/>
      </c>
      <c r="Z138" s="7" t="str">
        <f aca="false">IF(OR(G138="",H138=""),"",IF(P138=0,"Below threshold",IF(R138="","Not yet deducted",IF(S138="",IF(Settings!$C$9&gt;Q138,"Overdue — pay now","Deducted, due "&amp;TEXT(Q138,"dd-mmm")),IF(S138&lt;=Q138,IF(N(U138)&gt;0,"Deducted late, paid on time","Paid on time"),"Paid late")))))</f>
        <v/>
      </c>
      <c r="AA138" s="35" t="str">
        <f aca="false">IF(OR(G138="",H138=""),"",IF(D138&lt;&gt;"",UPPER(TRIM(D138)),UPPER(TRIM(C138))))</f>
        <v/>
      </c>
    </row>
    <row r="139" customFormat="false" ht="15" hidden="false" customHeight="false" outlineLevel="0" collapsed="false">
      <c r="B139" s="17"/>
      <c r="C139" s="5"/>
      <c r="D139" s="5"/>
      <c r="E139" s="5"/>
      <c r="F139" s="5"/>
      <c r="G139" s="5"/>
      <c r="H139" s="16"/>
      <c r="I139" s="7" t="str">
        <f aca="false">IF(OR(G139="",H139=""),"",IFERROR(INDEX('TDS Rates'!$D$6:$D$40,MATCH(G139,'TDS Rates'!$B$6:$B$40,0)),"Check nature"))</f>
        <v/>
      </c>
      <c r="J139" s="7" t="str">
        <f aca="false">IF(OR(G139="",H139=""),"",IFERROR(INDEX('TDS Rates'!$C$6:$C$40,MATCH(G139,'TDS Rates'!$B$6:$B$40,0)),""))</f>
        <v/>
      </c>
      <c r="K139" s="7" t="str">
        <f aca="false">IF(OR(G139="",H139=""),"",IFERROR(INDEX('TDS Rates'!$E$6:$E$40,MATCH(G139,'TDS Rates'!$B$6:$B$40,0)),""))</f>
        <v/>
      </c>
      <c r="L139" s="29" t="str">
        <f aca="false">IF(OR(G139="",H139=""),"",SUMIFS(H$6:H138,AA$6:AA138,AA139,G$6:G138,G139))</f>
        <v/>
      </c>
      <c r="M139" s="29" t="str">
        <f aca="false">IF(OR(G139="",H139=""),"",SUMIFS(H$6:H138,AA$6:AA138,AA139,G$6:G138,G139,N$6:N138,0))</f>
        <v/>
      </c>
      <c r="N139" s="29" t="str">
        <f aca="false">IF(OR(G139="",H139=""),"",IFERROR(IF(INDEX('TDS Rates'!$F$6:$F$40,MATCH(G139,'TDS Rates'!$B$6:$B$40,0))="NONE",H139,IF(INDEX('TDS Rates'!$F$6:$F$40,MATCH(G139,'TDS Rates'!$B$6:$B$40,0))="PER",IF(H139&gt;INDEX('TDS Rates'!$G$6:$G$40,MATCH(G139,'TDS Rates'!$B$6:$B$40,0)),H139,0),IF(INDEX('TDS Rates'!$F$6:$F$40,MATCH(G139,'TDS Rates'!$B$6:$B$40,0))="EXCESS",MAX(0,L139+H139-INDEX('TDS Rates'!$H$6:$H$40,MATCH(G139,'TDS Rates'!$B$6:$B$40,0)))-MAX(0,L139-INDEX('TDS Rates'!$H$6:$H$40,MATCH(G139,'TDS Rates'!$B$6:$B$40,0))),IF(INDEX('TDS Rates'!$F$6:$F$40,MATCH(G139,'TDS Rates'!$B$6:$B$40,0))="SA",IF(L139+H139&gt;INDEX('TDS Rates'!$H$6:$H$40,MATCH(G139,'TDS Rates'!$B$6:$B$40,0)),H139+M139,IF(H139&gt;INDEX('TDS Rates'!$G$6:$G$40,MATCH(G139,'TDS Rates'!$B$6:$B$40,0)),H139,0)),IF(L139+H139&gt;INDEX('TDS Rates'!$H$6:$H$40,MATCH(G139,'TDS Rates'!$B$6:$B$40,0)),H139+M139,0))))),0))</f>
        <v/>
      </c>
      <c r="O139" s="33" t="str">
        <f aca="false">IF(OR(G139="",H139=""),"",IFERROR(IF(F139="No",IF(INDEX('TDS Rates'!$C$6:$C$40,MATCH(G139,'TDS Rates'!$B$6:$B$40,0))="194Q",Settings!$C$14,MAX(Settings!$C$13,IF(E139="Individual / HUF",INDEX('TDS Rates'!$I$6:$I$40,MATCH(G139,'TDS Rates'!$B$6:$B$40,0)),IF(E139="Company",INDEX('TDS Rates'!$J$6:$J$40,MATCH(G139,'TDS Rates'!$B$6:$B$40,0)),INDEX('TDS Rates'!$K$6:$K$40,MATCH(G139,'TDS Rates'!$B$6:$B$40,0)))))),IF(E139="Individual / HUF",INDEX('TDS Rates'!$I$6:$I$40,MATCH(G139,'TDS Rates'!$B$6:$B$40,0)),IF(E139="Company",INDEX('TDS Rates'!$J$6:$J$40,MATCH(G139,'TDS Rates'!$B$6:$B$40,0)),INDEX('TDS Rates'!$K$6:$K$40,MATCH(G139,'TDS Rates'!$B$6:$B$40,0))))),0))</f>
        <v/>
      </c>
      <c r="P139" s="34" t="str">
        <f aca="false">IF(OR(G139="",H139=""),"",ROUND(N139*O139,0))</f>
        <v/>
      </c>
      <c r="Q139" s="27" t="str">
        <f aca="false">IF(OR(G139="",H139=""),"",IFERROR(IF(INDEX('TDS Rates'!$E$6:$E$40,MATCH(G139,'TDS Rates'!$B$6:$B$40,0))="Form 141",EOMONTH(IF(R139="",B139,R139),0)+30,IF(MONTH(IF(R139="",B139,R139))=3,DATE(YEAR(IF(R139="",B139,R139)),4,30),DATE(YEAR(IF(R139="",B139,R139)),MONTH(IF(R139="",B139,R139))+1,7))),""))</f>
        <v/>
      </c>
      <c r="R139" s="17"/>
      <c r="S139" s="17"/>
      <c r="T139" s="5"/>
      <c r="U139" s="28" t="str">
        <f aca="false">IF(OR(G139="",H139=""),"",IF(P139=0,0,IF(IF(R139="",Settings!$C$9,R139)&lt;=B139,0,((YEAR(IF(R139="",Settings!$C$9,R139))-YEAR(B139))*12+MONTH(IF(R139="",Settings!$C$9,R139))-MONTH(B139)+1))))</f>
        <v/>
      </c>
      <c r="V139" s="29" t="str">
        <f aca="false">IF(OR(G139="",H139=""),"",ROUND(P139*Settings!$C$10*U139,0))</f>
        <v/>
      </c>
      <c r="W139" s="28" t="str">
        <f aca="false">IF(OR(G139="",H139=""),"",IF(OR(P139=0,R139=""),0,IF(IF(S139="",Settings!$C$9,S139)&lt;=Q139,0,((YEAR(IF(S139="",Settings!$C$9,S139))-YEAR(R139))*12+MONTH(IF(S139="",Settings!$C$9,S139))-MONTH(R139)+1))))</f>
        <v/>
      </c>
      <c r="X139" s="29" t="str">
        <f aca="false">IF(OR(G139="",H139=""),"",ROUND(P139*Settings!$C$11*W139,0))</f>
        <v/>
      </c>
      <c r="Y139" s="29" t="str">
        <f aca="false">IF(OR(G139="",H139=""),"",V139+X139)</f>
        <v/>
      </c>
      <c r="Z139" s="7" t="str">
        <f aca="false">IF(OR(G139="",H139=""),"",IF(P139=0,"Below threshold",IF(R139="","Not yet deducted",IF(S139="",IF(Settings!$C$9&gt;Q139,"Overdue — pay now","Deducted, due "&amp;TEXT(Q139,"dd-mmm")),IF(S139&lt;=Q139,IF(N(U139)&gt;0,"Deducted late, paid on time","Paid on time"),"Paid late")))))</f>
        <v/>
      </c>
      <c r="AA139" s="35" t="str">
        <f aca="false">IF(OR(G139="",H139=""),"",IF(D139&lt;&gt;"",UPPER(TRIM(D139)),UPPER(TRIM(C139))))</f>
        <v/>
      </c>
    </row>
    <row r="140" customFormat="false" ht="15" hidden="false" customHeight="false" outlineLevel="0" collapsed="false">
      <c r="B140" s="17"/>
      <c r="C140" s="5"/>
      <c r="D140" s="5"/>
      <c r="E140" s="5"/>
      <c r="F140" s="5"/>
      <c r="G140" s="5"/>
      <c r="H140" s="16"/>
      <c r="I140" s="7" t="str">
        <f aca="false">IF(OR(G140="",H140=""),"",IFERROR(INDEX('TDS Rates'!$D$6:$D$40,MATCH(G140,'TDS Rates'!$B$6:$B$40,0)),"Check nature"))</f>
        <v/>
      </c>
      <c r="J140" s="7" t="str">
        <f aca="false">IF(OR(G140="",H140=""),"",IFERROR(INDEX('TDS Rates'!$C$6:$C$40,MATCH(G140,'TDS Rates'!$B$6:$B$40,0)),""))</f>
        <v/>
      </c>
      <c r="K140" s="7" t="str">
        <f aca="false">IF(OR(G140="",H140=""),"",IFERROR(INDEX('TDS Rates'!$E$6:$E$40,MATCH(G140,'TDS Rates'!$B$6:$B$40,0)),""))</f>
        <v/>
      </c>
      <c r="L140" s="29" t="str">
        <f aca="false">IF(OR(G140="",H140=""),"",SUMIFS(H$6:H139,AA$6:AA139,AA140,G$6:G139,G140))</f>
        <v/>
      </c>
      <c r="M140" s="29" t="str">
        <f aca="false">IF(OR(G140="",H140=""),"",SUMIFS(H$6:H139,AA$6:AA139,AA140,G$6:G139,G140,N$6:N139,0))</f>
        <v/>
      </c>
      <c r="N140" s="29" t="str">
        <f aca="false">IF(OR(G140="",H140=""),"",IFERROR(IF(INDEX('TDS Rates'!$F$6:$F$40,MATCH(G140,'TDS Rates'!$B$6:$B$40,0))="NONE",H140,IF(INDEX('TDS Rates'!$F$6:$F$40,MATCH(G140,'TDS Rates'!$B$6:$B$40,0))="PER",IF(H140&gt;INDEX('TDS Rates'!$G$6:$G$40,MATCH(G140,'TDS Rates'!$B$6:$B$40,0)),H140,0),IF(INDEX('TDS Rates'!$F$6:$F$40,MATCH(G140,'TDS Rates'!$B$6:$B$40,0))="EXCESS",MAX(0,L140+H140-INDEX('TDS Rates'!$H$6:$H$40,MATCH(G140,'TDS Rates'!$B$6:$B$40,0)))-MAX(0,L140-INDEX('TDS Rates'!$H$6:$H$40,MATCH(G140,'TDS Rates'!$B$6:$B$40,0))),IF(INDEX('TDS Rates'!$F$6:$F$40,MATCH(G140,'TDS Rates'!$B$6:$B$40,0))="SA",IF(L140+H140&gt;INDEX('TDS Rates'!$H$6:$H$40,MATCH(G140,'TDS Rates'!$B$6:$B$40,0)),H140+M140,IF(H140&gt;INDEX('TDS Rates'!$G$6:$G$40,MATCH(G140,'TDS Rates'!$B$6:$B$40,0)),H140,0)),IF(L140+H140&gt;INDEX('TDS Rates'!$H$6:$H$40,MATCH(G140,'TDS Rates'!$B$6:$B$40,0)),H140+M140,0))))),0))</f>
        <v/>
      </c>
      <c r="O140" s="33" t="str">
        <f aca="false">IF(OR(G140="",H140=""),"",IFERROR(IF(F140="No",IF(INDEX('TDS Rates'!$C$6:$C$40,MATCH(G140,'TDS Rates'!$B$6:$B$40,0))="194Q",Settings!$C$14,MAX(Settings!$C$13,IF(E140="Individual / HUF",INDEX('TDS Rates'!$I$6:$I$40,MATCH(G140,'TDS Rates'!$B$6:$B$40,0)),IF(E140="Company",INDEX('TDS Rates'!$J$6:$J$40,MATCH(G140,'TDS Rates'!$B$6:$B$40,0)),INDEX('TDS Rates'!$K$6:$K$40,MATCH(G140,'TDS Rates'!$B$6:$B$40,0)))))),IF(E140="Individual / HUF",INDEX('TDS Rates'!$I$6:$I$40,MATCH(G140,'TDS Rates'!$B$6:$B$40,0)),IF(E140="Company",INDEX('TDS Rates'!$J$6:$J$40,MATCH(G140,'TDS Rates'!$B$6:$B$40,0)),INDEX('TDS Rates'!$K$6:$K$40,MATCH(G140,'TDS Rates'!$B$6:$B$40,0))))),0))</f>
        <v/>
      </c>
      <c r="P140" s="34" t="str">
        <f aca="false">IF(OR(G140="",H140=""),"",ROUND(N140*O140,0))</f>
        <v/>
      </c>
      <c r="Q140" s="27" t="str">
        <f aca="false">IF(OR(G140="",H140=""),"",IFERROR(IF(INDEX('TDS Rates'!$E$6:$E$40,MATCH(G140,'TDS Rates'!$B$6:$B$40,0))="Form 141",EOMONTH(IF(R140="",B140,R140),0)+30,IF(MONTH(IF(R140="",B140,R140))=3,DATE(YEAR(IF(R140="",B140,R140)),4,30),DATE(YEAR(IF(R140="",B140,R140)),MONTH(IF(R140="",B140,R140))+1,7))),""))</f>
        <v/>
      </c>
      <c r="R140" s="17"/>
      <c r="S140" s="17"/>
      <c r="T140" s="5"/>
      <c r="U140" s="28" t="str">
        <f aca="false">IF(OR(G140="",H140=""),"",IF(P140=0,0,IF(IF(R140="",Settings!$C$9,R140)&lt;=B140,0,((YEAR(IF(R140="",Settings!$C$9,R140))-YEAR(B140))*12+MONTH(IF(R140="",Settings!$C$9,R140))-MONTH(B140)+1))))</f>
        <v/>
      </c>
      <c r="V140" s="29" t="str">
        <f aca="false">IF(OR(G140="",H140=""),"",ROUND(P140*Settings!$C$10*U140,0))</f>
        <v/>
      </c>
      <c r="W140" s="28" t="str">
        <f aca="false">IF(OR(G140="",H140=""),"",IF(OR(P140=0,R140=""),0,IF(IF(S140="",Settings!$C$9,S140)&lt;=Q140,0,((YEAR(IF(S140="",Settings!$C$9,S140))-YEAR(R140))*12+MONTH(IF(S140="",Settings!$C$9,S140))-MONTH(R140)+1))))</f>
        <v/>
      </c>
      <c r="X140" s="29" t="str">
        <f aca="false">IF(OR(G140="",H140=""),"",ROUND(P140*Settings!$C$11*W140,0))</f>
        <v/>
      </c>
      <c r="Y140" s="29" t="str">
        <f aca="false">IF(OR(G140="",H140=""),"",V140+X140)</f>
        <v/>
      </c>
      <c r="Z140" s="7" t="str">
        <f aca="false">IF(OR(G140="",H140=""),"",IF(P140=0,"Below threshold",IF(R140="","Not yet deducted",IF(S140="",IF(Settings!$C$9&gt;Q140,"Overdue — pay now","Deducted, due "&amp;TEXT(Q140,"dd-mmm")),IF(S140&lt;=Q140,IF(N(U140)&gt;0,"Deducted late, paid on time","Paid on time"),"Paid late")))))</f>
        <v/>
      </c>
      <c r="AA140" s="35" t="str">
        <f aca="false">IF(OR(G140="",H140=""),"",IF(D140&lt;&gt;"",UPPER(TRIM(D140)),UPPER(TRIM(C140))))</f>
        <v/>
      </c>
    </row>
    <row r="141" customFormat="false" ht="15" hidden="false" customHeight="false" outlineLevel="0" collapsed="false">
      <c r="B141" s="17"/>
      <c r="C141" s="5"/>
      <c r="D141" s="5"/>
      <c r="E141" s="5"/>
      <c r="F141" s="5"/>
      <c r="G141" s="5"/>
      <c r="H141" s="16"/>
      <c r="I141" s="7" t="str">
        <f aca="false">IF(OR(G141="",H141=""),"",IFERROR(INDEX('TDS Rates'!$D$6:$D$40,MATCH(G141,'TDS Rates'!$B$6:$B$40,0)),"Check nature"))</f>
        <v/>
      </c>
      <c r="J141" s="7" t="str">
        <f aca="false">IF(OR(G141="",H141=""),"",IFERROR(INDEX('TDS Rates'!$C$6:$C$40,MATCH(G141,'TDS Rates'!$B$6:$B$40,0)),""))</f>
        <v/>
      </c>
      <c r="K141" s="7" t="str">
        <f aca="false">IF(OR(G141="",H141=""),"",IFERROR(INDEX('TDS Rates'!$E$6:$E$40,MATCH(G141,'TDS Rates'!$B$6:$B$40,0)),""))</f>
        <v/>
      </c>
      <c r="L141" s="29" t="str">
        <f aca="false">IF(OR(G141="",H141=""),"",SUMIFS(H$6:H140,AA$6:AA140,AA141,G$6:G140,G141))</f>
        <v/>
      </c>
      <c r="M141" s="29" t="str">
        <f aca="false">IF(OR(G141="",H141=""),"",SUMIFS(H$6:H140,AA$6:AA140,AA141,G$6:G140,G141,N$6:N140,0))</f>
        <v/>
      </c>
      <c r="N141" s="29" t="str">
        <f aca="false">IF(OR(G141="",H141=""),"",IFERROR(IF(INDEX('TDS Rates'!$F$6:$F$40,MATCH(G141,'TDS Rates'!$B$6:$B$40,0))="NONE",H141,IF(INDEX('TDS Rates'!$F$6:$F$40,MATCH(G141,'TDS Rates'!$B$6:$B$40,0))="PER",IF(H141&gt;INDEX('TDS Rates'!$G$6:$G$40,MATCH(G141,'TDS Rates'!$B$6:$B$40,0)),H141,0),IF(INDEX('TDS Rates'!$F$6:$F$40,MATCH(G141,'TDS Rates'!$B$6:$B$40,0))="EXCESS",MAX(0,L141+H141-INDEX('TDS Rates'!$H$6:$H$40,MATCH(G141,'TDS Rates'!$B$6:$B$40,0)))-MAX(0,L141-INDEX('TDS Rates'!$H$6:$H$40,MATCH(G141,'TDS Rates'!$B$6:$B$40,0))),IF(INDEX('TDS Rates'!$F$6:$F$40,MATCH(G141,'TDS Rates'!$B$6:$B$40,0))="SA",IF(L141+H141&gt;INDEX('TDS Rates'!$H$6:$H$40,MATCH(G141,'TDS Rates'!$B$6:$B$40,0)),H141+M141,IF(H141&gt;INDEX('TDS Rates'!$G$6:$G$40,MATCH(G141,'TDS Rates'!$B$6:$B$40,0)),H141,0)),IF(L141+H141&gt;INDEX('TDS Rates'!$H$6:$H$40,MATCH(G141,'TDS Rates'!$B$6:$B$40,0)),H141+M141,0))))),0))</f>
        <v/>
      </c>
      <c r="O141" s="33" t="str">
        <f aca="false">IF(OR(G141="",H141=""),"",IFERROR(IF(F141="No",IF(INDEX('TDS Rates'!$C$6:$C$40,MATCH(G141,'TDS Rates'!$B$6:$B$40,0))="194Q",Settings!$C$14,MAX(Settings!$C$13,IF(E141="Individual / HUF",INDEX('TDS Rates'!$I$6:$I$40,MATCH(G141,'TDS Rates'!$B$6:$B$40,0)),IF(E141="Company",INDEX('TDS Rates'!$J$6:$J$40,MATCH(G141,'TDS Rates'!$B$6:$B$40,0)),INDEX('TDS Rates'!$K$6:$K$40,MATCH(G141,'TDS Rates'!$B$6:$B$40,0)))))),IF(E141="Individual / HUF",INDEX('TDS Rates'!$I$6:$I$40,MATCH(G141,'TDS Rates'!$B$6:$B$40,0)),IF(E141="Company",INDEX('TDS Rates'!$J$6:$J$40,MATCH(G141,'TDS Rates'!$B$6:$B$40,0)),INDEX('TDS Rates'!$K$6:$K$40,MATCH(G141,'TDS Rates'!$B$6:$B$40,0))))),0))</f>
        <v/>
      </c>
      <c r="P141" s="34" t="str">
        <f aca="false">IF(OR(G141="",H141=""),"",ROUND(N141*O141,0))</f>
        <v/>
      </c>
      <c r="Q141" s="27" t="str">
        <f aca="false">IF(OR(G141="",H141=""),"",IFERROR(IF(INDEX('TDS Rates'!$E$6:$E$40,MATCH(G141,'TDS Rates'!$B$6:$B$40,0))="Form 141",EOMONTH(IF(R141="",B141,R141),0)+30,IF(MONTH(IF(R141="",B141,R141))=3,DATE(YEAR(IF(R141="",B141,R141)),4,30),DATE(YEAR(IF(R141="",B141,R141)),MONTH(IF(R141="",B141,R141))+1,7))),""))</f>
        <v/>
      </c>
      <c r="R141" s="17"/>
      <c r="S141" s="17"/>
      <c r="T141" s="5"/>
      <c r="U141" s="28" t="str">
        <f aca="false">IF(OR(G141="",H141=""),"",IF(P141=0,0,IF(IF(R141="",Settings!$C$9,R141)&lt;=B141,0,((YEAR(IF(R141="",Settings!$C$9,R141))-YEAR(B141))*12+MONTH(IF(R141="",Settings!$C$9,R141))-MONTH(B141)+1))))</f>
        <v/>
      </c>
      <c r="V141" s="29" t="str">
        <f aca="false">IF(OR(G141="",H141=""),"",ROUND(P141*Settings!$C$10*U141,0))</f>
        <v/>
      </c>
      <c r="W141" s="28" t="str">
        <f aca="false">IF(OR(G141="",H141=""),"",IF(OR(P141=0,R141=""),0,IF(IF(S141="",Settings!$C$9,S141)&lt;=Q141,0,((YEAR(IF(S141="",Settings!$C$9,S141))-YEAR(R141))*12+MONTH(IF(S141="",Settings!$C$9,S141))-MONTH(R141)+1))))</f>
        <v/>
      </c>
      <c r="X141" s="29" t="str">
        <f aca="false">IF(OR(G141="",H141=""),"",ROUND(P141*Settings!$C$11*W141,0))</f>
        <v/>
      </c>
      <c r="Y141" s="29" t="str">
        <f aca="false">IF(OR(G141="",H141=""),"",V141+X141)</f>
        <v/>
      </c>
      <c r="Z141" s="7" t="str">
        <f aca="false">IF(OR(G141="",H141=""),"",IF(P141=0,"Below threshold",IF(R141="","Not yet deducted",IF(S141="",IF(Settings!$C$9&gt;Q141,"Overdue — pay now","Deducted, due "&amp;TEXT(Q141,"dd-mmm")),IF(S141&lt;=Q141,IF(N(U141)&gt;0,"Deducted late, paid on time","Paid on time"),"Paid late")))))</f>
        <v/>
      </c>
      <c r="AA141" s="35" t="str">
        <f aca="false">IF(OR(G141="",H141=""),"",IF(D141&lt;&gt;"",UPPER(TRIM(D141)),UPPER(TRIM(C141))))</f>
        <v/>
      </c>
    </row>
    <row r="142" customFormat="false" ht="15" hidden="false" customHeight="false" outlineLevel="0" collapsed="false">
      <c r="B142" s="17"/>
      <c r="C142" s="5"/>
      <c r="D142" s="5"/>
      <c r="E142" s="5"/>
      <c r="F142" s="5"/>
      <c r="G142" s="5"/>
      <c r="H142" s="16"/>
      <c r="I142" s="7" t="str">
        <f aca="false">IF(OR(G142="",H142=""),"",IFERROR(INDEX('TDS Rates'!$D$6:$D$40,MATCH(G142,'TDS Rates'!$B$6:$B$40,0)),"Check nature"))</f>
        <v/>
      </c>
      <c r="J142" s="7" t="str">
        <f aca="false">IF(OR(G142="",H142=""),"",IFERROR(INDEX('TDS Rates'!$C$6:$C$40,MATCH(G142,'TDS Rates'!$B$6:$B$40,0)),""))</f>
        <v/>
      </c>
      <c r="K142" s="7" t="str">
        <f aca="false">IF(OR(G142="",H142=""),"",IFERROR(INDEX('TDS Rates'!$E$6:$E$40,MATCH(G142,'TDS Rates'!$B$6:$B$40,0)),""))</f>
        <v/>
      </c>
      <c r="L142" s="29" t="str">
        <f aca="false">IF(OR(G142="",H142=""),"",SUMIFS(H$6:H141,AA$6:AA141,AA142,G$6:G141,G142))</f>
        <v/>
      </c>
      <c r="M142" s="29" t="str">
        <f aca="false">IF(OR(G142="",H142=""),"",SUMIFS(H$6:H141,AA$6:AA141,AA142,G$6:G141,G142,N$6:N141,0))</f>
        <v/>
      </c>
      <c r="N142" s="29" t="str">
        <f aca="false">IF(OR(G142="",H142=""),"",IFERROR(IF(INDEX('TDS Rates'!$F$6:$F$40,MATCH(G142,'TDS Rates'!$B$6:$B$40,0))="NONE",H142,IF(INDEX('TDS Rates'!$F$6:$F$40,MATCH(G142,'TDS Rates'!$B$6:$B$40,0))="PER",IF(H142&gt;INDEX('TDS Rates'!$G$6:$G$40,MATCH(G142,'TDS Rates'!$B$6:$B$40,0)),H142,0),IF(INDEX('TDS Rates'!$F$6:$F$40,MATCH(G142,'TDS Rates'!$B$6:$B$40,0))="EXCESS",MAX(0,L142+H142-INDEX('TDS Rates'!$H$6:$H$40,MATCH(G142,'TDS Rates'!$B$6:$B$40,0)))-MAX(0,L142-INDEX('TDS Rates'!$H$6:$H$40,MATCH(G142,'TDS Rates'!$B$6:$B$40,0))),IF(INDEX('TDS Rates'!$F$6:$F$40,MATCH(G142,'TDS Rates'!$B$6:$B$40,0))="SA",IF(L142+H142&gt;INDEX('TDS Rates'!$H$6:$H$40,MATCH(G142,'TDS Rates'!$B$6:$B$40,0)),H142+M142,IF(H142&gt;INDEX('TDS Rates'!$G$6:$G$40,MATCH(G142,'TDS Rates'!$B$6:$B$40,0)),H142,0)),IF(L142+H142&gt;INDEX('TDS Rates'!$H$6:$H$40,MATCH(G142,'TDS Rates'!$B$6:$B$40,0)),H142+M142,0))))),0))</f>
        <v/>
      </c>
      <c r="O142" s="33" t="str">
        <f aca="false">IF(OR(G142="",H142=""),"",IFERROR(IF(F142="No",IF(INDEX('TDS Rates'!$C$6:$C$40,MATCH(G142,'TDS Rates'!$B$6:$B$40,0))="194Q",Settings!$C$14,MAX(Settings!$C$13,IF(E142="Individual / HUF",INDEX('TDS Rates'!$I$6:$I$40,MATCH(G142,'TDS Rates'!$B$6:$B$40,0)),IF(E142="Company",INDEX('TDS Rates'!$J$6:$J$40,MATCH(G142,'TDS Rates'!$B$6:$B$40,0)),INDEX('TDS Rates'!$K$6:$K$40,MATCH(G142,'TDS Rates'!$B$6:$B$40,0)))))),IF(E142="Individual / HUF",INDEX('TDS Rates'!$I$6:$I$40,MATCH(G142,'TDS Rates'!$B$6:$B$40,0)),IF(E142="Company",INDEX('TDS Rates'!$J$6:$J$40,MATCH(G142,'TDS Rates'!$B$6:$B$40,0)),INDEX('TDS Rates'!$K$6:$K$40,MATCH(G142,'TDS Rates'!$B$6:$B$40,0))))),0))</f>
        <v/>
      </c>
      <c r="P142" s="34" t="str">
        <f aca="false">IF(OR(G142="",H142=""),"",ROUND(N142*O142,0))</f>
        <v/>
      </c>
      <c r="Q142" s="27" t="str">
        <f aca="false">IF(OR(G142="",H142=""),"",IFERROR(IF(INDEX('TDS Rates'!$E$6:$E$40,MATCH(G142,'TDS Rates'!$B$6:$B$40,0))="Form 141",EOMONTH(IF(R142="",B142,R142),0)+30,IF(MONTH(IF(R142="",B142,R142))=3,DATE(YEAR(IF(R142="",B142,R142)),4,30),DATE(YEAR(IF(R142="",B142,R142)),MONTH(IF(R142="",B142,R142))+1,7))),""))</f>
        <v/>
      </c>
      <c r="R142" s="17"/>
      <c r="S142" s="17"/>
      <c r="T142" s="5"/>
      <c r="U142" s="28" t="str">
        <f aca="false">IF(OR(G142="",H142=""),"",IF(P142=0,0,IF(IF(R142="",Settings!$C$9,R142)&lt;=B142,0,((YEAR(IF(R142="",Settings!$C$9,R142))-YEAR(B142))*12+MONTH(IF(R142="",Settings!$C$9,R142))-MONTH(B142)+1))))</f>
        <v/>
      </c>
      <c r="V142" s="29" t="str">
        <f aca="false">IF(OR(G142="",H142=""),"",ROUND(P142*Settings!$C$10*U142,0))</f>
        <v/>
      </c>
      <c r="W142" s="28" t="str">
        <f aca="false">IF(OR(G142="",H142=""),"",IF(OR(P142=0,R142=""),0,IF(IF(S142="",Settings!$C$9,S142)&lt;=Q142,0,((YEAR(IF(S142="",Settings!$C$9,S142))-YEAR(R142))*12+MONTH(IF(S142="",Settings!$C$9,S142))-MONTH(R142)+1))))</f>
        <v/>
      </c>
      <c r="X142" s="29" t="str">
        <f aca="false">IF(OR(G142="",H142=""),"",ROUND(P142*Settings!$C$11*W142,0))</f>
        <v/>
      </c>
      <c r="Y142" s="29" t="str">
        <f aca="false">IF(OR(G142="",H142=""),"",V142+X142)</f>
        <v/>
      </c>
      <c r="Z142" s="7" t="str">
        <f aca="false">IF(OR(G142="",H142=""),"",IF(P142=0,"Below threshold",IF(R142="","Not yet deducted",IF(S142="",IF(Settings!$C$9&gt;Q142,"Overdue — pay now","Deducted, due "&amp;TEXT(Q142,"dd-mmm")),IF(S142&lt;=Q142,IF(N(U142)&gt;0,"Deducted late, paid on time","Paid on time"),"Paid late")))))</f>
        <v/>
      </c>
      <c r="AA142" s="35" t="str">
        <f aca="false">IF(OR(G142="",H142=""),"",IF(D142&lt;&gt;"",UPPER(TRIM(D142)),UPPER(TRIM(C142))))</f>
        <v/>
      </c>
    </row>
    <row r="143" customFormat="false" ht="15" hidden="false" customHeight="false" outlineLevel="0" collapsed="false">
      <c r="B143" s="17"/>
      <c r="C143" s="5"/>
      <c r="D143" s="5"/>
      <c r="E143" s="5"/>
      <c r="F143" s="5"/>
      <c r="G143" s="5"/>
      <c r="H143" s="16"/>
      <c r="I143" s="7" t="str">
        <f aca="false">IF(OR(G143="",H143=""),"",IFERROR(INDEX('TDS Rates'!$D$6:$D$40,MATCH(G143,'TDS Rates'!$B$6:$B$40,0)),"Check nature"))</f>
        <v/>
      </c>
      <c r="J143" s="7" t="str">
        <f aca="false">IF(OR(G143="",H143=""),"",IFERROR(INDEX('TDS Rates'!$C$6:$C$40,MATCH(G143,'TDS Rates'!$B$6:$B$40,0)),""))</f>
        <v/>
      </c>
      <c r="K143" s="7" t="str">
        <f aca="false">IF(OR(G143="",H143=""),"",IFERROR(INDEX('TDS Rates'!$E$6:$E$40,MATCH(G143,'TDS Rates'!$B$6:$B$40,0)),""))</f>
        <v/>
      </c>
      <c r="L143" s="29" t="str">
        <f aca="false">IF(OR(G143="",H143=""),"",SUMIFS(H$6:H142,AA$6:AA142,AA143,G$6:G142,G143))</f>
        <v/>
      </c>
      <c r="M143" s="29" t="str">
        <f aca="false">IF(OR(G143="",H143=""),"",SUMIFS(H$6:H142,AA$6:AA142,AA143,G$6:G142,G143,N$6:N142,0))</f>
        <v/>
      </c>
      <c r="N143" s="29" t="str">
        <f aca="false">IF(OR(G143="",H143=""),"",IFERROR(IF(INDEX('TDS Rates'!$F$6:$F$40,MATCH(G143,'TDS Rates'!$B$6:$B$40,0))="NONE",H143,IF(INDEX('TDS Rates'!$F$6:$F$40,MATCH(G143,'TDS Rates'!$B$6:$B$40,0))="PER",IF(H143&gt;INDEX('TDS Rates'!$G$6:$G$40,MATCH(G143,'TDS Rates'!$B$6:$B$40,0)),H143,0),IF(INDEX('TDS Rates'!$F$6:$F$40,MATCH(G143,'TDS Rates'!$B$6:$B$40,0))="EXCESS",MAX(0,L143+H143-INDEX('TDS Rates'!$H$6:$H$40,MATCH(G143,'TDS Rates'!$B$6:$B$40,0)))-MAX(0,L143-INDEX('TDS Rates'!$H$6:$H$40,MATCH(G143,'TDS Rates'!$B$6:$B$40,0))),IF(INDEX('TDS Rates'!$F$6:$F$40,MATCH(G143,'TDS Rates'!$B$6:$B$40,0))="SA",IF(L143+H143&gt;INDEX('TDS Rates'!$H$6:$H$40,MATCH(G143,'TDS Rates'!$B$6:$B$40,0)),H143+M143,IF(H143&gt;INDEX('TDS Rates'!$G$6:$G$40,MATCH(G143,'TDS Rates'!$B$6:$B$40,0)),H143,0)),IF(L143+H143&gt;INDEX('TDS Rates'!$H$6:$H$40,MATCH(G143,'TDS Rates'!$B$6:$B$40,0)),H143+M143,0))))),0))</f>
        <v/>
      </c>
      <c r="O143" s="33" t="str">
        <f aca="false">IF(OR(G143="",H143=""),"",IFERROR(IF(F143="No",IF(INDEX('TDS Rates'!$C$6:$C$40,MATCH(G143,'TDS Rates'!$B$6:$B$40,0))="194Q",Settings!$C$14,MAX(Settings!$C$13,IF(E143="Individual / HUF",INDEX('TDS Rates'!$I$6:$I$40,MATCH(G143,'TDS Rates'!$B$6:$B$40,0)),IF(E143="Company",INDEX('TDS Rates'!$J$6:$J$40,MATCH(G143,'TDS Rates'!$B$6:$B$40,0)),INDEX('TDS Rates'!$K$6:$K$40,MATCH(G143,'TDS Rates'!$B$6:$B$40,0)))))),IF(E143="Individual / HUF",INDEX('TDS Rates'!$I$6:$I$40,MATCH(G143,'TDS Rates'!$B$6:$B$40,0)),IF(E143="Company",INDEX('TDS Rates'!$J$6:$J$40,MATCH(G143,'TDS Rates'!$B$6:$B$40,0)),INDEX('TDS Rates'!$K$6:$K$40,MATCH(G143,'TDS Rates'!$B$6:$B$40,0))))),0))</f>
        <v/>
      </c>
      <c r="P143" s="34" t="str">
        <f aca="false">IF(OR(G143="",H143=""),"",ROUND(N143*O143,0))</f>
        <v/>
      </c>
      <c r="Q143" s="27" t="str">
        <f aca="false">IF(OR(G143="",H143=""),"",IFERROR(IF(INDEX('TDS Rates'!$E$6:$E$40,MATCH(G143,'TDS Rates'!$B$6:$B$40,0))="Form 141",EOMONTH(IF(R143="",B143,R143),0)+30,IF(MONTH(IF(R143="",B143,R143))=3,DATE(YEAR(IF(R143="",B143,R143)),4,30),DATE(YEAR(IF(R143="",B143,R143)),MONTH(IF(R143="",B143,R143))+1,7))),""))</f>
        <v/>
      </c>
      <c r="R143" s="17"/>
      <c r="S143" s="17"/>
      <c r="T143" s="5"/>
      <c r="U143" s="28" t="str">
        <f aca="false">IF(OR(G143="",H143=""),"",IF(P143=0,0,IF(IF(R143="",Settings!$C$9,R143)&lt;=B143,0,((YEAR(IF(R143="",Settings!$C$9,R143))-YEAR(B143))*12+MONTH(IF(R143="",Settings!$C$9,R143))-MONTH(B143)+1))))</f>
        <v/>
      </c>
      <c r="V143" s="29" t="str">
        <f aca="false">IF(OR(G143="",H143=""),"",ROUND(P143*Settings!$C$10*U143,0))</f>
        <v/>
      </c>
      <c r="W143" s="28" t="str">
        <f aca="false">IF(OR(G143="",H143=""),"",IF(OR(P143=0,R143=""),0,IF(IF(S143="",Settings!$C$9,S143)&lt;=Q143,0,((YEAR(IF(S143="",Settings!$C$9,S143))-YEAR(R143))*12+MONTH(IF(S143="",Settings!$C$9,S143))-MONTH(R143)+1))))</f>
        <v/>
      </c>
      <c r="X143" s="29" t="str">
        <f aca="false">IF(OR(G143="",H143=""),"",ROUND(P143*Settings!$C$11*W143,0))</f>
        <v/>
      </c>
      <c r="Y143" s="29" t="str">
        <f aca="false">IF(OR(G143="",H143=""),"",V143+X143)</f>
        <v/>
      </c>
      <c r="Z143" s="7" t="str">
        <f aca="false">IF(OR(G143="",H143=""),"",IF(P143=0,"Below threshold",IF(R143="","Not yet deducted",IF(S143="",IF(Settings!$C$9&gt;Q143,"Overdue — pay now","Deducted, due "&amp;TEXT(Q143,"dd-mmm")),IF(S143&lt;=Q143,IF(N(U143)&gt;0,"Deducted late, paid on time","Paid on time"),"Paid late")))))</f>
        <v/>
      </c>
      <c r="AA143" s="35" t="str">
        <f aca="false">IF(OR(G143="",H143=""),"",IF(D143&lt;&gt;"",UPPER(TRIM(D143)),UPPER(TRIM(C143))))</f>
        <v/>
      </c>
    </row>
    <row r="144" customFormat="false" ht="15" hidden="false" customHeight="false" outlineLevel="0" collapsed="false">
      <c r="B144" s="17"/>
      <c r="C144" s="5"/>
      <c r="D144" s="5"/>
      <c r="E144" s="5"/>
      <c r="F144" s="5"/>
      <c r="G144" s="5"/>
      <c r="H144" s="16"/>
      <c r="I144" s="7" t="str">
        <f aca="false">IF(OR(G144="",H144=""),"",IFERROR(INDEX('TDS Rates'!$D$6:$D$40,MATCH(G144,'TDS Rates'!$B$6:$B$40,0)),"Check nature"))</f>
        <v/>
      </c>
      <c r="J144" s="7" t="str">
        <f aca="false">IF(OR(G144="",H144=""),"",IFERROR(INDEX('TDS Rates'!$C$6:$C$40,MATCH(G144,'TDS Rates'!$B$6:$B$40,0)),""))</f>
        <v/>
      </c>
      <c r="K144" s="7" t="str">
        <f aca="false">IF(OR(G144="",H144=""),"",IFERROR(INDEX('TDS Rates'!$E$6:$E$40,MATCH(G144,'TDS Rates'!$B$6:$B$40,0)),""))</f>
        <v/>
      </c>
      <c r="L144" s="29" t="str">
        <f aca="false">IF(OR(G144="",H144=""),"",SUMIFS(H$6:H143,AA$6:AA143,AA144,G$6:G143,G144))</f>
        <v/>
      </c>
      <c r="M144" s="29" t="str">
        <f aca="false">IF(OR(G144="",H144=""),"",SUMIFS(H$6:H143,AA$6:AA143,AA144,G$6:G143,G144,N$6:N143,0))</f>
        <v/>
      </c>
      <c r="N144" s="29" t="str">
        <f aca="false">IF(OR(G144="",H144=""),"",IFERROR(IF(INDEX('TDS Rates'!$F$6:$F$40,MATCH(G144,'TDS Rates'!$B$6:$B$40,0))="NONE",H144,IF(INDEX('TDS Rates'!$F$6:$F$40,MATCH(G144,'TDS Rates'!$B$6:$B$40,0))="PER",IF(H144&gt;INDEX('TDS Rates'!$G$6:$G$40,MATCH(G144,'TDS Rates'!$B$6:$B$40,0)),H144,0),IF(INDEX('TDS Rates'!$F$6:$F$40,MATCH(G144,'TDS Rates'!$B$6:$B$40,0))="EXCESS",MAX(0,L144+H144-INDEX('TDS Rates'!$H$6:$H$40,MATCH(G144,'TDS Rates'!$B$6:$B$40,0)))-MAX(0,L144-INDEX('TDS Rates'!$H$6:$H$40,MATCH(G144,'TDS Rates'!$B$6:$B$40,0))),IF(INDEX('TDS Rates'!$F$6:$F$40,MATCH(G144,'TDS Rates'!$B$6:$B$40,0))="SA",IF(L144+H144&gt;INDEX('TDS Rates'!$H$6:$H$40,MATCH(G144,'TDS Rates'!$B$6:$B$40,0)),H144+M144,IF(H144&gt;INDEX('TDS Rates'!$G$6:$G$40,MATCH(G144,'TDS Rates'!$B$6:$B$40,0)),H144,0)),IF(L144+H144&gt;INDEX('TDS Rates'!$H$6:$H$40,MATCH(G144,'TDS Rates'!$B$6:$B$40,0)),H144+M144,0))))),0))</f>
        <v/>
      </c>
      <c r="O144" s="33" t="str">
        <f aca="false">IF(OR(G144="",H144=""),"",IFERROR(IF(F144="No",IF(INDEX('TDS Rates'!$C$6:$C$40,MATCH(G144,'TDS Rates'!$B$6:$B$40,0))="194Q",Settings!$C$14,MAX(Settings!$C$13,IF(E144="Individual / HUF",INDEX('TDS Rates'!$I$6:$I$40,MATCH(G144,'TDS Rates'!$B$6:$B$40,0)),IF(E144="Company",INDEX('TDS Rates'!$J$6:$J$40,MATCH(G144,'TDS Rates'!$B$6:$B$40,0)),INDEX('TDS Rates'!$K$6:$K$40,MATCH(G144,'TDS Rates'!$B$6:$B$40,0)))))),IF(E144="Individual / HUF",INDEX('TDS Rates'!$I$6:$I$40,MATCH(G144,'TDS Rates'!$B$6:$B$40,0)),IF(E144="Company",INDEX('TDS Rates'!$J$6:$J$40,MATCH(G144,'TDS Rates'!$B$6:$B$40,0)),INDEX('TDS Rates'!$K$6:$K$40,MATCH(G144,'TDS Rates'!$B$6:$B$40,0))))),0))</f>
        <v/>
      </c>
      <c r="P144" s="34" t="str">
        <f aca="false">IF(OR(G144="",H144=""),"",ROUND(N144*O144,0))</f>
        <v/>
      </c>
      <c r="Q144" s="27" t="str">
        <f aca="false">IF(OR(G144="",H144=""),"",IFERROR(IF(INDEX('TDS Rates'!$E$6:$E$40,MATCH(G144,'TDS Rates'!$B$6:$B$40,0))="Form 141",EOMONTH(IF(R144="",B144,R144),0)+30,IF(MONTH(IF(R144="",B144,R144))=3,DATE(YEAR(IF(R144="",B144,R144)),4,30),DATE(YEAR(IF(R144="",B144,R144)),MONTH(IF(R144="",B144,R144))+1,7))),""))</f>
        <v/>
      </c>
      <c r="R144" s="17"/>
      <c r="S144" s="17"/>
      <c r="T144" s="5"/>
      <c r="U144" s="28" t="str">
        <f aca="false">IF(OR(G144="",H144=""),"",IF(P144=0,0,IF(IF(R144="",Settings!$C$9,R144)&lt;=B144,0,((YEAR(IF(R144="",Settings!$C$9,R144))-YEAR(B144))*12+MONTH(IF(R144="",Settings!$C$9,R144))-MONTH(B144)+1))))</f>
        <v/>
      </c>
      <c r="V144" s="29" t="str">
        <f aca="false">IF(OR(G144="",H144=""),"",ROUND(P144*Settings!$C$10*U144,0))</f>
        <v/>
      </c>
      <c r="W144" s="28" t="str">
        <f aca="false">IF(OR(G144="",H144=""),"",IF(OR(P144=0,R144=""),0,IF(IF(S144="",Settings!$C$9,S144)&lt;=Q144,0,((YEAR(IF(S144="",Settings!$C$9,S144))-YEAR(R144))*12+MONTH(IF(S144="",Settings!$C$9,S144))-MONTH(R144)+1))))</f>
        <v/>
      </c>
      <c r="X144" s="29" t="str">
        <f aca="false">IF(OR(G144="",H144=""),"",ROUND(P144*Settings!$C$11*W144,0))</f>
        <v/>
      </c>
      <c r="Y144" s="29" t="str">
        <f aca="false">IF(OR(G144="",H144=""),"",V144+X144)</f>
        <v/>
      </c>
      <c r="Z144" s="7" t="str">
        <f aca="false">IF(OR(G144="",H144=""),"",IF(P144=0,"Below threshold",IF(R144="","Not yet deducted",IF(S144="",IF(Settings!$C$9&gt;Q144,"Overdue — pay now","Deducted, due "&amp;TEXT(Q144,"dd-mmm")),IF(S144&lt;=Q144,IF(N(U144)&gt;0,"Deducted late, paid on time","Paid on time"),"Paid late")))))</f>
        <v/>
      </c>
      <c r="AA144" s="35" t="str">
        <f aca="false">IF(OR(G144="",H144=""),"",IF(D144&lt;&gt;"",UPPER(TRIM(D144)),UPPER(TRIM(C144))))</f>
        <v/>
      </c>
    </row>
    <row r="145" customFormat="false" ht="15" hidden="false" customHeight="false" outlineLevel="0" collapsed="false">
      <c r="B145" s="17"/>
      <c r="C145" s="5"/>
      <c r="D145" s="5"/>
      <c r="E145" s="5"/>
      <c r="F145" s="5"/>
      <c r="G145" s="5"/>
      <c r="H145" s="16"/>
      <c r="I145" s="7" t="str">
        <f aca="false">IF(OR(G145="",H145=""),"",IFERROR(INDEX('TDS Rates'!$D$6:$D$40,MATCH(G145,'TDS Rates'!$B$6:$B$40,0)),"Check nature"))</f>
        <v/>
      </c>
      <c r="J145" s="7" t="str">
        <f aca="false">IF(OR(G145="",H145=""),"",IFERROR(INDEX('TDS Rates'!$C$6:$C$40,MATCH(G145,'TDS Rates'!$B$6:$B$40,0)),""))</f>
        <v/>
      </c>
      <c r="K145" s="7" t="str">
        <f aca="false">IF(OR(G145="",H145=""),"",IFERROR(INDEX('TDS Rates'!$E$6:$E$40,MATCH(G145,'TDS Rates'!$B$6:$B$40,0)),""))</f>
        <v/>
      </c>
      <c r="L145" s="29" t="str">
        <f aca="false">IF(OR(G145="",H145=""),"",SUMIFS(H$6:H144,AA$6:AA144,AA145,G$6:G144,G145))</f>
        <v/>
      </c>
      <c r="M145" s="29" t="str">
        <f aca="false">IF(OR(G145="",H145=""),"",SUMIFS(H$6:H144,AA$6:AA144,AA145,G$6:G144,G145,N$6:N144,0))</f>
        <v/>
      </c>
      <c r="N145" s="29" t="str">
        <f aca="false">IF(OR(G145="",H145=""),"",IFERROR(IF(INDEX('TDS Rates'!$F$6:$F$40,MATCH(G145,'TDS Rates'!$B$6:$B$40,0))="NONE",H145,IF(INDEX('TDS Rates'!$F$6:$F$40,MATCH(G145,'TDS Rates'!$B$6:$B$40,0))="PER",IF(H145&gt;INDEX('TDS Rates'!$G$6:$G$40,MATCH(G145,'TDS Rates'!$B$6:$B$40,0)),H145,0),IF(INDEX('TDS Rates'!$F$6:$F$40,MATCH(G145,'TDS Rates'!$B$6:$B$40,0))="EXCESS",MAX(0,L145+H145-INDEX('TDS Rates'!$H$6:$H$40,MATCH(G145,'TDS Rates'!$B$6:$B$40,0)))-MAX(0,L145-INDEX('TDS Rates'!$H$6:$H$40,MATCH(G145,'TDS Rates'!$B$6:$B$40,0))),IF(INDEX('TDS Rates'!$F$6:$F$40,MATCH(G145,'TDS Rates'!$B$6:$B$40,0))="SA",IF(L145+H145&gt;INDEX('TDS Rates'!$H$6:$H$40,MATCH(G145,'TDS Rates'!$B$6:$B$40,0)),H145+M145,IF(H145&gt;INDEX('TDS Rates'!$G$6:$G$40,MATCH(G145,'TDS Rates'!$B$6:$B$40,0)),H145,0)),IF(L145+H145&gt;INDEX('TDS Rates'!$H$6:$H$40,MATCH(G145,'TDS Rates'!$B$6:$B$40,0)),H145+M145,0))))),0))</f>
        <v/>
      </c>
      <c r="O145" s="33" t="str">
        <f aca="false">IF(OR(G145="",H145=""),"",IFERROR(IF(F145="No",IF(INDEX('TDS Rates'!$C$6:$C$40,MATCH(G145,'TDS Rates'!$B$6:$B$40,0))="194Q",Settings!$C$14,MAX(Settings!$C$13,IF(E145="Individual / HUF",INDEX('TDS Rates'!$I$6:$I$40,MATCH(G145,'TDS Rates'!$B$6:$B$40,0)),IF(E145="Company",INDEX('TDS Rates'!$J$6:$J$40,MATCH(G145,'TDS Rates'!$B$6:$B$40,0)),INDEX('TDS Rates'!$K$6:$K$40,MATCH(G145,'TDS Rates'!$B$6:$B$40,0)))))),IF(E145="Individual / HUF",INDEX('TDS Rates'!$I$6:$I$40,MATCH(G145,'TDS Rates'!$B$6:$B$40,0)),IF(E145="Company",INDEX('TDS Rates'!$J$6:$J$40,MATCH(G145,'TDS Rates'!$B$6:$B$40,0)),INDEX('TDS Rates'!$K$6:$K$40,MATCH(G145,'TDS Rates'!$B$6:$B$40,0))))),0))</f>
        <v/>
      </c>
      <c r="P145" s="34" t="str">
        <f aca="false">IF(OR(G145="",H145=""),"",ROUND(N145*O145,0))</f>
        <v/>
      </c>
      <c r="Q145" s="27" t="str">
        <f aca="false">IF(OR(G145="",H145=""),"",IFERROR(IF(INDEX('TDS Rates'!$E$6:$E$40,MATCH(G145,'TDS Rates'!$B$6:$B$40,0))="Form 141",EOMONTH(IF(R145="",B145,R145),0)+30,IF(MONTH(IF(R145="",B145,R145))=3,DATE(YEAR(IF(R145="",B145,R145)),4,30),DATE(YEAR(IF(R145="",B145,R145)),MONTH(IF(R145="",B145,R145))+1,7))),""))</f>
        <v/>
      </c>
      <c r="R145" s="17"/>
      <c r="S145" s="17"/>
      <c r="T145" s="5"/>
      <c r="U145" s="28" t="str">
        <f aca="false">IF(OR(G145="",H145=""),"",IF(P145=0,0,IF(IF(R145="",Settings!$C$9,R145)&lt;=B145,0,((YEAR(IF(R145="",Settings!$C$9,R145))-YEAR(B145))*12+MONTH(IF(R145="",Settings!$C$9,R145))-MONTH(B145)+1))))</f>
        <v/>
      </c>
      <c r="V145" s="29" t="str">
        <f aca="false">IF(OR(G145="",H145=""),"",ROUND(P145*Settings!$C$10*U145,0))</f>
        <v/>
      </c>
      <c r="W145" s="28" t="str">
        <f aca="false">IF(OR(G145="",H145=""),"",IF(OR(P145=0,R145=""),0,IF(IF(S145="",Settings!$C$9,S145)&lt;=Q145,0,((YEAR(IF(S145="",Settings!$C$9,S145))-YEAR(R145))*12+MONTH(IF(S145="",Settings!$C$9,S145))-MONTH(R145)+1))))</f>
        <v/>
      </c>
      <c r="X145" s="29" t="str">
        <f aca="false">IF(OR(G145="",H145=""),"",ROUND(P145*Settings!$C$11*W145,0))</f>
        <v/>
      </c>
      <c r="Y145" s="29" t="str">
        <f aca="false">IF(OR(G145="",H145=""),"",V145+X145)</f>
        <v/>
      </c>
      <c r="Z145" s="7" t="str">
        <f aca="false">IF(OR(G145="",H145=""),"",IF(P145=0,"Below threshold",IF(R145="","Not yet deducted",IF(S145="",IF(Settings!$C$9&gt;Q145,"Overdue — pay now","Deducted, due "&amp;TEXT(Q145,"dd-mmm")),IF(S145&lt;=Q145,IF(N(U145)&gt;0,"Deducted late, paid on time","Paid on time"),"Paid late")))))</f>
        <v/>
      </c>
      <c r="AA145" s="35" t="str">
        <f aca="false">IF(OR(G145="",H145=""),"",IF(D145&lt;&gt;"",UPPER(TRIM(D145)),UPPER(TRIM(C145))))</f>
        <v/>
      </c>
    </row>
    <row r="146" customFormat="false" ht="15" hidden="false" customHeight="false" outlineLevel="0" collapsed="false">
      <c r="B146" s="17"/>
      <c r="C146" s="5"/>
      <c r="D146" s="5"/>
      <c r="E146" s="5"/>
      <c r="F146" s="5"/>
      <c r="G146" s="5"/>
      <c r="H146" s="16"/>
      <c r="I146" s="7" t="str">
        <f aca="false">IF(OR(G146="",H146=""),"",IFERROR(INDEX('TDS Rates'!$D$6:$D$40,MATCH(G146,'TDS Rates'!$B$6:$B$40,0)),"Check nature"))</f>
        <v/>
      </c>
      <c r="J146" s="7" t="str">
        <f aca="false">IF(OR(G146="",H146=""),"",IFERROR(INDEX('TDS Rates'!$C$6:$C$40,MATCH(G146,'TDS Rates'!$B$6:$B$40,0)),""))</f>
        <v/>
      </c>
      <c r="K146" s="7" t="str">
        <f aca="false">IF(OR(G146="",H146=""),"",IFERROR(INDEX('TDS Rates'!$E$6:$E$40,MATCH(G146,'TDS Rates'!$B$6:$B$40,0)),""))</f>
        <v/>
      </c>
      <c r="L146" s="29" t="str">
        <f aca="false">IF(OR(G146="",H146=""),"",SUMIFS(H$6:H145,AA$6:AA145,AA146,G$6:G145,G146))</f>
        <v/>
      </c>
      <c r="M146" s="29" t="str">
        <f aca="false">IF(OR(G146="",H146=""),"",SUMIFS(H$6:H145,AA$6:AA145,AA146,G$6:G145,G146,N$6:N145,0))</f>
        <v/>
      </c>
      <c r="N146" s="29" t="str">
        <f aca="false">IF(OR(G146="",H146=""),"",IFERROR(IF(INDEX('TDS Rates'!$F$6:$F$40,MATCH(G146,'TDS Rates'!$B$6:$B$40,0))="NONE",H146,IF(INDEX('TDS Rates'!$F$6:$F$40,MATCH(G146,'TDS Rates'!$B$6:$B$40,0))="PER",IF(H146&gt;INDEX('TDS Rates'!$G$6:$G$40,MATCH(G146,'TDS Rates'!$B$6:$B$40,0)),H146,0),IF(INDEX('TDS Rates'!$F$6:$F$40,MATCH(G146,'TDS Rates'!$B$6:$B$40,0))="EXCESS",MAX(0,L146+H146-INDEX('TDS Rates'!$H$6:$H$40,MATCH(G146,'TDS Rates'!$B$6:$B$40,0)))-MAX(0,L146-INDEX('TDS Rates'!$H$6:$H$40,MATCH(G146,'TDS Rates'!$B$6:$B$40,0))),IF(INDEX('TDS Rates'!$F$6:$F$40,MATCH(G146,'TDS Rates'!$B$6:$B$40,0))="SA",IF(L146+H146&gt;INDEX('TDS Rates'!$H$6:$H$40,MATCH(G146,'TDS Rates'!$B$6:$B$40,0)),H146+M146,IF(H146&gt;INDEX('TDS Rates'!$G$6:$G$40,MATCH(G146,'TDS Rates'!$B$6:$B$40,0)),H146,0)),IF(L146+H146&gt;INDEX('TDS Rates'!$H$6:$H$40,MATCH(G146,'TDS Rates'!$B$6:$B$40,0)),H146+M146,0))))),0))</f>
        <v/>
      </c>
      <c r="O146" s="33" t="str">
        <f aca="false">IF(OR(G146="",H146=""),"",IFERROR(IF(F146="No",IF(INDEX('TDS Rates'!$C$6:$C$40,MATCH(G146,'TDS Rates'!$B$6:$B$40,0))="194Q",Settings!$C$14,MAX(Settings!$C$13,IF(E146="Individual / HUF",INDEX('TDS Rates'!$I$6:$I$40,MATCH(G146,'TDS Rates'!$B$6:$B$40,0)),IF(E146="Company",INDEX('TDS Rates'!$J$6:$J$40,MATCH(G146,'TDS Rates'!$B$6:$B$40,0)),INDEX('TDS Rates'!$K$6:$K$40,MATCH(G146,'TDS Rates'!$B$6:$B$40,0)))))),IF(E146="Individual / HUF",INDEX('TDS Rates'!$I$6:$I$40,MATCH(G146,'TDS Rates'!$B$6:$B$40,0)),IF(E146="Company",INDEX('TDS Rates'!$J$6:$J$40,MATCH(G146,'TDS Rates'!$B$6:$B$40,0)),INDEX('TDS Rates'!$K$6:$K$40,MATCH(G146,'TDS Rates'!$B$6:$B$40,0))))),0))</f>
        <v/>
      </c>
      <c r="P146" s="34" t="str">
        <f aca="false">IF(OR(G146="",H146=""),"",ROUND(N146*O146,0))</f>
        <v/>
      </c>
      <c r="Q146" s="27" t="str">
        <f aca="false">IF(OR(G146="",H146=""),"",IFERROR(IF(INDEX('TDS Rates'!$E$6:$E$40,MATCH(G146,'TDS Rates'!$B$6:$B$40,0))="Form 141",EOMONTH(IF(R146="",B146,R146),0)+30,IF(MONTH(IF(R146="",B146,R146))=3,DATE(YEAR(IF(R146="",B146,R146)),4,30),DATE(YEAR(IF(R146="",B146,R146)),MONTH(IF(R146="",B146,R146))+1,7))),""))</f>
        <v/>
      </c>
      <c r="R146" s="17"/>
      <c r="S146" s="17"/>
      <c r="T146" s="5"/>
      <c r="U146" s="28" t="str">
        <f aca="false">IF(OR(G146="",H146=""),"",IF(P146=0,0,IF(IF(R146="",Settings!$C$9,R146)&lt;=B146,0,((YEAR(IF(R146="",Settings!$C$9,R146))-YEAR(B146))*12+MONTH(IF(R146="",Settings!$C$9,R146))-MONTH(B146)+1))))</f>
        <v/>
      </c>
      <c r="V146" s="29" t="str">
        <f aca="false">IF(OR(G146="",H146=""),"",ROUND(P146*Settings!$C$10*U146,0))</f>
        <v/>
      </c>
      <c r="W146" s="28" t="str">
        <f aca="false">IF(OR(G146="",H146=""),"",IF(OR(P146=0,R146=""),0,IF(IF(S146="",Settings!$C$9,S146)&lt;=Q146,0,((YEAR(IF(S146="",Settings!$C$9,S146))-YEAR(R146))*12+MONTH(IF(S146="",Settings!$C$9,S146))-MONTH(R146)+1))))</f>
        <v/>
      </c>
      <c r="X146" s="29" t="str">
        <f aca="false">IF(OR(G146="",H146=""),"",ROUND(P146*Settings!$C$11*W146,0))</f>
        <v/>
      </c>
      <c r="Y146" s="29" t="str">
        <f aca="false">IF(OR(G146="",H146=""),"",V146+X146)</f>
        <v/>
      </c>
      <c r="Z146" s="7" t="str">
        <f aca="false">IF(OR(G146="",H146=""),"",IF(P146=0,"Below threshold",IF(R146="","Not yet deducted",IF(S146="",IF(Settings!$C$9&gt;Q146,"Overdue — pay now","Deducted, due "&amp;TEXT(Q146,"dd-mmm")),IF(S146&lt;=Q146,IF(N(U146)&gt;0,"Deducted late, paid on time","Paid on time"),"Paid late")))))</f>
        <v/>
      </c>
      <c r="AA146" s="35" t="str">
        <f aca="false">IF(OR(G146="",H146=""),"",IF(D146&lt;&gt;"",UPPER(TRIM(D146)),UPPER(TRIM(C146))))</f>
        <v/>
      </c>
    </row>
    <row r="147" customFormat="false" ht="15" hidden="false" customHeight="false" outlineLevel="0" collapsed="false">
      <c r="B147" s="17"/>
      <c r="C147" s="5"/>
      <c r="D147" s="5"/>
      <c r="E147" s="5"/>
      <c r="F147" s="5"/>
      <c r="G147" s="5"/>
      <c r="H147" s="16"/>
      <c r="I147" s="7" t="str">
        <f aca="false">IF(OR(G147="",H147=""),"",IFERROR(INDEX('TDS Rates'!$D$6:$D$40,MATCH(G147,'TDS Rates'!$B$6:$B$40,0)),"Check nature"))</f>
        <v/>
      </c>
      <c r="J147" s="7" t="str">
        <f aca="false">IF(OR(G147="",H147=""),"",IFERROR(INDEX('TDS Rates'!$C$6:$C$40,MATCH(G147,'TDS Rates'!$B$6:$B$40,0)),""))</f>
        <v/>
      </c>
      <c r="K147" s="7" t="str">
        <f aca="false">IF(OR(G147="",H147=""),"",IFERROR(INDEX('TDS Rates'!$E$6:$E$40,MATCH(G147,'TDS Rates'!$B$6:$B$40,0)),""))</f>
        <v/>
      </c>
      <c r="L147" s="29" t="str">
        <f aca="false">IF(OR(G147="",H147=""),"",SUMIFS(H$6:H146,AA$6:AA146,AA147,G$6:G146,G147))</f>
        <v/>
      </c>
      <c r="M147" s="29" t="str">
        <f aca="false">IF(OR(G147="",H147=""),"",SUMIFS(H$6:H146,AA$6:AA146,AA147,G$6:G146,G147,N$6:N146,0))</f>
        <v/>
      </c>
      <c r="N147" s="29" t="str">
        <f aca="false">IF(OR(G147="",H147=""),"",IFERROR(IF(INDEX('TDS Rates'!$F$6:$F$40,MATCH(G147,'TDS Rates'!$B$6:$B$40,0))="NONE",H147,IF(INDEX('TDS Rates'!$F$6:$F$40,MATCH(G147,'TDS Rates'!$B$6:$B$40,0))="PER",IF(H147&gt;INDEX('TDS Rates'!$G$6:$G$40,MATCH(G147,'TDS Rates'!$B$6:$B$40,0)),H147,0),IF(INDEX('TDS Rates'!$F$6:$F$40,MATCH(G147,'TDS Rates'!$B$6:$B$40,0))="EXCESS",MAX(0,L147+H147-INDEX('TDS Rates'!$H$6:$H$40,MATCH(G147,'TDS Rates'!$B$6:$B$40,0)))-MAX(0,L147-INDEX('TDS Rates'!$H$6:$H$40,MATCH(G147,'TDS Rates'!$B$6:$B$40,0))),IF(INDEX('TDS Rates'!$F$6:$F$40,MATCH(G147,'TDS Rates'!$B$6:$B$40,0))="SA",IF(L147+H147&gt;INDEX('TDS Rates'!$H$6:$H$40,MATCH(G147,'TDS Rates'!$B$6:$B$40,0)),H147+M147,IF(H147&gt;INDEX('TDS Rates'!$G$6:$G$40,MATCH(G147,'TDS Rates'!$B$6:$B$40,0)),H147,0)),IF(L147+H147&gt;INDEX('TDS Rates'!$H$6:$H$40,MATCH(G147,'TDS Rates'!$B$6:$B$40,0)),H147+M147,0))))),0))</f>
        <v/>
      </c>
      <c r="O147" s="33" t="str">
        <f aca="false">IF(OR(G147="",H147=""),"",IFERROR(IF(F147="No",IF(INDEX('TDS Rates'!$C$6:$C$40,MATCH(G147,'TDS Rates'!$B$6:$B$40,0))="194Q",Settings!$C$14,MAX(Settings!$C$13,IF(E147="Individual / HUF",INDEX('TDS Rates'!$I$6:$I$40,MATCH(G147,'TDS Rates'!$B$6:$B$40,0)),IF(E147="Company",INDEX('TDS Rates'!$J$6:$J$40,MATCH(G147,'TDS Rates'!$B$6:$B$40,0)),INDEX('TDS Rates'!$K$6:$K$40,MATCH(G147,'TDS Rates'!$B$6:$B$40,0)))))),IF(E147="Individual / HUF",INDEX('TDS Rates'!$I$6:$I$40,MATCH(G147,'TDS Rates'!$B$6:$B$40,0)),IF(E147="Company",INDEX('TDS Rates'!$J$6:$J$40,MATCH(G147,'TDS Rates'!$B$6:$B$40,0)),INDEX('TDS Rates'!$K$6:$K$40,MATCH(G147,'TDS Rates'!$B$6:$B$40,0))))),0))</f>
        <v/>
      </c>
      <c r="P147" s="34" t="str">
        <f aca="false">IF(OR(G147="",H147=""),"",ROUND(N147*O147,0))</f>
        <v/>
      </c>
      <c r="Q147" s="27" t="str">
        <f aca="false">IF(OR(G147="",H147=""),"",IFERROR(IF(INDEX('TDS Rates'!$E$6:$E$40,MATCH(G147,'TDS Rates'!$B$6:$B$40,0))="Form 141",EOMONTH(IF(R147="",B147,R147),0)+30,IF(MONTH(IF(R147="",B147,R147))=3,DATE(YEAR(IF(R147="",B147,R147)),4,30),DATE(YEAR(IF(R147="",B147,R147)),MONTH(IF(R147="",B147,R147))+1,7))),""))</f>
        <v/>
      </c>
      <c r="R147" s="17"/>
      <c r="S147" s="17"/>
      <c r="T147" s="5"/>
      <c r="U147" s="28" t="str">
        <f aca="false">IF(OR(G147="",H147=""),"",IF(P147=0,0,IF(IF(R147="",Settings!$C$9,R147)&lt;=B147,0,((YEAR(IF(R147="",Settings!$C$9,R147))-YEAR(B147))*12+MONTH(IF(R147="",Settings!$C$9,R147))-MONTH(B147)+1))))</f>
        <v/>
      </c>
      <c r="V147" s="29" t="str">
        <f aca="false">IF(OR(G147="",H147=""),"",ROUND(P147*Settings!$C$10*U147,0))</f>
        <v/>
      </c>
      <c r="W147" s="28" t="str">
        <f aca="false">IF(OR(G147="",H147=""),"",IF(OR(P147=0,R147=""),0,IF(IF(S147="",Settings!$C$9,S147)&lt;=Q147,0,((YEAR(IF(S147="",Settings!$C$9,S147))-YEAR(R147))*12+MONTH(IF(S147="",Settings!$C$9,S147))-MONTH(R147)+1))))</f>
        <v/>
      </c>
      <c r="X147" s="29" t="str">
        <f aca="false">IF(OR(G147="",H147=""),"",ROUND(P147*Settings!$C$11*W147,0))</f>
        <v/>
      </c>
      <c r="Y147" s="29" t="str">
        <f aca="false">IF(OR(G147="",H147=""),"",V147+X147)</f>
        <v/>
      </c>
      <c r="Z147" s="7" t="str">
        <f aca="false">IF(OR(G147="",H147=""),"",IF(P147=0,"Below threshold",IF(R147="","Not yet deducted",IF(S147="",IF(Settings!$C$9&gt;Q147,"Overdue — pay now","Deducted, due "&amp;TEXT(Q147,"dd-mmm")),IF(S147&lt;=Q147,IF(N(U147)&gt;0,"Deducted late, paid on time","Paid on time"),"Paid late")))))</f>
        <v/>
      </c>
      <c r="AA147" s="35" t="str">
        <f aca="false">IF(OR(G147="",H147=""),"",IF(D147&lt;&gt;"",UPPER(TRIM(D147)),UPPER(TRIM(C147))))</f>
        <v/>
      </c>
    </row>
    <row r="148" customFormat="false" ht="15" hidden="false" customHeight="false" outlineLevel="0" collapsed="false">
      <c r="B148" s="17"/>
      <c r="C148" s="5"/>
      <c r="D148" s="5"/>
      <c r="E148" s="5"/>
      <c r="F148" s="5"/>
      <c r="G148" s="5"/>
      <c r="H148" s="16"/>
      <c r="I148" s="7" t="str">
        <f aca="false">IF(OR(G148="",H148=""),"",IFERROR(INDEX('TDS Rates'!$D$6:$D$40,MATCH(G148,'TDS Rates'!$B$6:$B$40,0)),"Check nature"))</f>
        <v/>
      </c>
      <c r="J148" s="7" t="str">
        <f aca="false">IF(OR(G148="",H148=""),"",IFERROR(INDEX('TDS Rates'!$C$6:$C$40,MATCH(G148,'TDS Rates'!$B$6:$B$40,0)),""))</f>
        <v/>
      </c>
      <c r="K148" s="7" t="str">
        <f aca="false">IF(OR(G148="",H148=""),"",IFERROR(INDEX('TDS Rates'!$E$6:$E$40,MATCH(G148,'TDS Rates'!$B$6:$B$40,0)),""))</f>
        <v/>
      </c>
      <c r="L148" s="29" t="str">
        <f aca="false">IF(OR(G148="",H148=""),"",SUMIFS(H$6:H147,AA$6:AA147,AA148,G$6:G147,G148))</f>
        <v/>
      </c>
      <c r="M148" s="29" t="str">
        <f aca="false">IF(OR(G148="",H148=""),"",SUMIFS(H$6:H147,AA$6:AA147,AA148,G$6:G147,G148,N$6:N147,0))</f>
        <v/>
      </c>
      <c r="N148" s="29" t="str">
        <f aca="false">IF(OR(G148="",H148=""),"",IFERROR(IF(INDEX('TDS Rates'!$F$6:$F$40,MATCH(G148,'TDS Rates'!$B$6:$B$40,0))="NONE",H148,IF(INDEX('TDS Rates'!$F$6:$F$40,MATCH(G148,'TDS Rates'!$B$6:$B$40,0))="PER",IF(H148&gt;INDEX('TDS Rates'!$G$6:$G$40,MATCH(G148,'TDS Rates'!$B$6:$B$40,0)),H148,0),IF(INDEX('TDS Rates'!$F$6:$F$40,MATCH(G148,'TDS Rates'!$B$6:$B$40,0))="EXCESS",MAX(0,L148+H148-INDEX('TDS Rates'!$H$6:$H$40,MATCH(G148,'TDS Rates'!$B$6:$B$40,0)))-MAX(0,L148-INDEX('TDS Rates'!$H$6:$H$40,MATCH(G148,'TDS Rates'!$B$6:$B$40,0))),IF(INDEX('TDS Rates'!$F$6:$F$40,MATCH(G148,'TDS Rates'!$B$6:$B$40,0))="SA",IF(L148+H148&gt;INDEX('TDS Rates'!$H$6:$H$40,MATCH(G148,'TDS Rates'!$B$6:$B$40,0)),H148+M148,IF(H148&gt;INDEX('TDS Rates'!$G$6:$G$40,MATCH(G148,'TDS Rates'!$B$6:$B$40,0)),H148,0)),IF(L148+H148&gt;INDEX('TDS Rates'!$H$6:$H$40,MATCH(G148,'TDS Rates'!$B$6:$B$40,0)),H148+M148,0))))),0))</f>
        <v/>
      </c>
      <c r="O148" s="33" t="str">
        <f aca="false">IF(OR(G148="",H148=""),"",IFERROR(IF(F148="No",IF(INDEX('TDS Rates'!$C$6:$C$40,MATCH(G148,'TDS Rates'!$B$6:$B$40,0))="194Q",Settings!$C$14,MAX(Settings!$C$13,IF(E148="Individual / HUF",INDEX('TDS Rates'!$I$6:$I$40,MATCH(G148,'TDS Rates'!$B$6:$B$40,0)),IF(E148="Company",INDEX('TDS Rates'!$J$6:$J$40,MATCH(G148,'TDS Rates'!$B$6:$B$40,0)),INDEX('TDS Rates'!$K$6:$K$40,MATCH(G148,'TDS Rates'!$B$6:$B$40,0)))))),IF(E148="Individual / HUF",INDEX('TDS Rates'!$I$6:$I$40,MATCH(G148,'TDS Rates'!$B$6:$B$40,0)),IF(E148="Company",INDEX('TDS Rates'!$J$6:$J$40,MATCH(G148,'TDS Rates'!$B$6:$B$40,0)),INDEX('TDS Rates'!$K$6:$K$40,MATCH(G148,'TDS Rates'!$B$6:$B$40,0))))),0))</f>
        <v/>
      </c>
      <c r="P148" s="34" t="str">
        <f aca="false">IF(OR(G148="",H148=""),"",ROUND(N148*O148,0))</f>
        <v/>
      </c>
      <c r="Q148" s="27" t="str">
        <f aca="false">IF(OR(G148="",H148=""),"",IFERROR(IF(INDEX('TDS Rates'!$E$6:$E$40,MATCH(G148,'TDS Rates'!$B$6:$B$40,0))="Form 141",EOMONTH(IF(R148="",B148,R148),0)+30,IF(MONTH(IF(R148="",B148,R148))=3,DATE(YEAR(IF(R148="",B148,R148)),4,30),DATE(YEAR(IF(R148="",B148,R148)),MONTH(IF(R148="",B148,R148))+1,7))),""))</f>
        <v/>
      </c>
      <c r="R148" s="17"/>
      <c r="S148" s="17"/>
      <c r="T148" s="5"/>
      <c r="U148" s="28" t="str">
        <f aca="false">IF(OR(G148="",H148=""),"",IF(P148=0,0,IF(IF(R148="",Settings!$C$9,R148)&lt;=B148,0,((YEAR(IF(R148="",Settings!$C$9,R148))-YEAR(B148))*12+MONTH(IF(R148="",Settings!$C$9,R148))-MONTH(B148)+1))))</f>
        <v/>
      </c>
      <c r="V148" s="29" t="str">
        <f aca="false">IF(OR(G148="",H148=""),"",ROUND(P148*Settings!$C$10*U148,0))</f>
        <v/>
      </c>
      <c r="W148" s="28" t="str">
        <f aca="false">IF(OR(G148="",H148=""),"",IF(OR(P148=0,R148=""),0,IF(IF(S148="",Settings!$C$9,S148)&lt;=Q148,0,((YEAR(IF(S148="",Settings!$C$9,S148))-YEAR(R148))*12+MONTH(IF(S148="",Settings!$C$9,S148))-MONTH(R148)+1))))</f>
        <v/>
      </c>
      <c r="X148" s="29" t="str">
        <f aca="false">IF(OR(G148="",H148=""),"",ROUND(P148*Settings!$C$11*W148,0))</f>
        <v/>
      </c>
      <c r="Y148" s="29" t="str">
        <f aca="false">IF(OR(G148="",H148=""),"",V148+X148)</f>
        <v/>
      </c>
      <c r="Z148" s="7" t="str">
        <f aca="false">IF(OR(G148="",H148=""),"",IF(P148=0,"Below threshold",IF(R148="","Not yet deducted",IF(S148="",IF(Settings!$C$9&gt;Q148,"Overdue — pay now","Deducted, due "&amp;TEXT(Q148,"dd-mmm")),IF(S148&lt;=Q148,IF(N(U148)&gt;0,"Deducted late, paid on time","Paid on time"),"Paid late")))))</f>
        <v/>
      </c>
      <c r="AA148" s="35" t="str">
        <f aca="false">IF(OR(G148="",H148=""),"",IF(D148&lt;&gt;"",UPPER(TRIM(D148)),UPPER(TRIM(C148))))</f>
        <v/>
      </c>
    </row>
    <row r="149" customFormat="false" ht="15" hidden="false" customHeight="false" outlineLevel="0" collapsed="false">
      <c r="B149" s="17"/>
      <c r="C149" s="5"/>
      <c r="D149" s="5"/>
      <c r="E149" s="5"/>
      <c r="F149" s="5"/>
      <c r="G149" s="5"/>
      <c r="H149" s="16"/>
      <c r="I149" s="7" t="str">
        <f aca="false">IF(OR(G149="",H149=""),"",IFERROR(INDEX('TDS Rates'!$D$6:$D$40,MATCH(G149,'TDS Rates'!$B$6:$B$40,0)),"Check nature"))</f>
        <v/>
      </c>
      <c r="J149" s="7" t="str">
        <f aca="false">IF(OR(G149="",H149=""),"",IFERROR(INDEX('TDS Rates'!$C$6:$C$40,MATCH(G149,'TDS Rates'!$B$6:$B$40,0)),""))</f>
        <v/>
      </c>
      <c r="K149" s="7" t="str">
        <f aca="false">IF(OR(G149="",H149=""),"",IFERROR(INDEX('TDS Rates'!$E$6:$E$40,MATCH(G149,'TDS Rates'!$B$6:$B$40,0)),""))</f>
        <v/>
      </c>
      <c r="L149" s="29" t="str">
        <f aca="false">IF(OR(G149="",H149=""),"",SUMIFS(H$6:H148,AA$6:AA148,AA149,G$6:G148,G149))</f>
        <v/>
      </c>
      <c r="M149" s="29" t="str">
        <f aca="false">IF(OR(G149="",H149=""),"",SUMIFS(H$6:H148,AA$6:AA148,AA149,G$6:G148,G149,N$6:N148,0))</f>
        <v/>
      </c>
      <c r="N149" s="29" t="str">
        <f aca="false">IF(OR(G149="",H149=""),"",IFERROR(IF(INDEX('TDS Rates'!$F$6:$F$40,MATCH(G149,'TDS Rates'!$B$6:$B$40,0))="NONE",H149,IF(INDEX('TDS Rates'!$F$6:$F$40,MATCH(G149,'TDS Rates'!$B$6:$B$40,0))="PER",IF(H149&gt;INDEX('TDS Rates'!$G$6:$G$40,MATCH(G149,'TDS Rates'!$B$6:$B$40,0)),H149,0),IF(INDEX('TDS Rates'!$F$6:$F$40,MATCH(G149,'TDS Rates'!$B$6:$B$40,0))="EXCESS",MAX(0,L149+H149-INDEX('TDS Rates'!$H$6:$H$40,MATCH(G149,'TDS Rates'!$B$6:$B$40,0)))-MAX(0,L149-INDEX('TDS Rates'!$H$6:$H$40,MATCH(G149,'TDS Rates'!$B$6:$B$40,0))),IF(INDEX('TDS Rates'!$F$6:$F$40,MATCH(G149,'TDS Rates'!$B$6:$B$40,0))="SA",IF(L149+H149&gt;INDEX('TDS Rates'!$H$6:$H$40,MATCH(G149,'TDS Rates'!$B$6:$B$40,0)),H149+M149,IF(H149&gt;INDEX('TDS Rates'!$G$6:$G$40,MATCH(G149,'TDS Rates'!$B$6:$B$40,0)),H149,0)),IF(L149+H149&gt;INDEX('TDS Rates'!$H$6:$H$40,MATCH(G149,'TDS Rates'!$B$6:$B$40,0)),H149+M149,0))))),0))</f>
        <v/>
      </c>
      <c r="O149" s="33" t="str">
        <f aca="false">IF(OR(G149="",H149=""),"",IFERROR(IF(F149="No",IF(INDEX('TDS Rates'!$C$6:$C$40,MATCH(G149,'TDS Rates'!$B$6:$B$40,0))="194Q",Settings!$C$14,MAX(Settings!$C$13,IF(E149="Individual / HUF",INDEX('TDS Rates'!$I$6:$I$40,MATCH(G149,'TDS Rates'!$B$6:$B$40,0)),IF(E149="Company",INDEX('TDS Rates'!$J$6:$J$40,MATCH(G149,'TDS Rates'!$B$6:$B$40,0)),INDEX('TDS Rates'!$K$6:$K$40,MATCH(G149,'TDS Rates'!$B$6:$B$40,0)))))),IF(E149="Individual / HUF",INDEX('TDS Rates'!$I$6:$I$40,MATCH(G149,'TDS Rates'!$B$6:$B$40,0)),IF(E149="Company",INDEX('TDS Rates'!$J$6:$J$40,MATCH(G149,'TDS Rates'!$B$6:$B$40,0)),INDEX('TDS Rates'!$K$6:$K$40,MATCH(G149,'TDS Rates'!$B$6:$B$40,0))))),0))</f>
        <v/>
      </c>
      <c r="P149" s="34" t="str">
        <f aca="false">IF(OR(G149="",H149=""),"",ROUND(N149*O149,0))</f>
        <v/>
      </c>
      <c r="Q149" s="27" t="str">
        <f aca="false">IF(OR(G149="",H149=""),"",IFERROR(IF(INDEX('TDS Rates'!$E$6:$E$40,MATCH(G149,'TDS Rates'!$B$6:$B$40,0))="Form 141",EOMONTH(IF(R149="",B149,R149),0)+30,IF(MONTH(IF(R149="",B149,R149))=3,DATE(YEAR(IF(R149="",B149,R149)),4,30),DATE(YEAR(IF(R149="",B149,R149)),MONTH(IF(R149="",B149,R149))+1,7))),""))</f>
        <v/>
      </c>
      <c r="R149" s="17"/>
      <c r="S149" s="17"/>
      <c r="T149" s="5"/>
      <c r="U149" s="28" t="str">
        <f aca="false">IF(OR(G149="",H149=""),"",IF(P149=0,0,IF(IF(R149="",Settings!$C$9,R149)&lt;=B149,0,((YEAR(IF(R149="",Settings!$C$9,R149))-YEAR(B149))*12+MONTH(IF(R149="",Settings!$C$9,R149))-MONTH(B149)+1))))</f>
        <v/>
      </c>
      <c r="V149" s="29" t="str">
        <f aca="false">IF(OR(G149="",H149=""),"",ROUND(P149*Settings!$C$10*U149,0))</f>
        <v/>
      </c>
      <c r="W149" s="28" t="str">
        <f aca="false">IF(OR(G149="",H149=""),"",IF(OR(P149=0,R149=""),0,IF(IF(S149="",Settings!$C$9,S149)&lt;=Q149,0,((YEAR(IF(S149="",Settings!$C$9,S149))-YEAR(R149))*12+MONTH(IF(S149="",Settings!$C$9,S149))-MONTH(R149)+1))))</f>
        <v/>
      </c>
      <c r="X149" s="29" t="str">
        <f aca="false">IF(OR(G149="",H149=""),"",ROUND(P149*Settings!$C$11*W149,0))</f>
        <v/>
      </c>
      <c r="Y149" s="29" t="str">
        <f aca="false">IF(OR(G149="",H149=""),"",V149+X149)</f>
        <v/>
      </c>
      <c r="Z149" s="7" t="str">
        <f aca="false">IF(OR(G149="",H149=""),"",IF(P149=0,"Below threshold",IF(R149="","Not yet deducted",IF(S149="",IF(Settings!$C$9&gt;Q149,"Overdue — pay now","Deducted, due "&amp;TEXT(Q149,"dd-mmm")),IF(S149&lt;=Q149,IF(N(U149)&gt;0,"Deducted late, paid on time","Paid on time"),"Paid late")))))</f>
        <v/>
      </c>
      <c r="AA149" s="35" t="str">
        <f aca="false">IF(OR(G149="",H149=""),"",IF(D149&lt;&gt;"",UPPER(TRIM(D149)),UPPER(TRIM(C149))))</f>
        <v/>
      </c>
    </row>
    <row r="150" customFormat="false" ht="15" hidden="false" customHeight="false" outlineLevel="0" collapsed="false">
      <c r="B150" s="17"/>
      <c r="C150" s="5"/>
      <c r="D150" s="5"/>
      <c r="E150" s="5"/>
      <c r="F150" s="5"/>
      <c r="G150" s="5"/>
      <c r="H150" s="16"/>
      <c r="I150" s="7" t="str">
        <f aca="false">IF(OR(G150="",H150=""),"",IFERROR(INDEX('TDS Rates'!$D$6:$D$40,MATCH(G150,'TDS Rates'!$B$6:$B$40,0)),"Check nature"))</f>
        <v/>
      </c>
      <c r="J150" s="7" t="str">
        <f aca="false">IF(OR(G150="",H150=""),"",IFERROR(INDEX('TDS Rates'!$C$6:$C$40,MATCH(G150,'TDS Rates'!$B$6:$B$40,0)),""))</f>
        <v/>
      </c>
      <c r="K150" s="7" t="str">
        <f aca="false">IF(OR(G150="",H150=""),"",IFERROR(INDEX('TDS Rates'!$E$6:$E$40,MATCH(G150,'TDS Rates'!$B$6:$B$40,0)),""))</f>
        <v/>
      </c>
      <c r="L150" s="29" t="str">
        <f aca="false">IF(OR(G150="",H150=""),"",SUMIFS(H$6:H149,AA$6:AA149,AA150,G$6:G149,G150))</f>
        <v/>
      </c>
      <c r="M150" s="29" t="str">
        <f aca="false">IF(OR(G150="",H150=""),"",SUMIFS(H$6:H149,AA$6:AA149,AA150,G$6:G149,G150,N$6:N149,0))</f>
        <v/>
      </c>
      <c r="N150" s="29" t="str">
        <f aca="false">IF(OR(G150="",H150=""),"",IFERROR(IF(INDEX('TDS Rates'!$F$6:$F$40,MATCH(G150,'TDS Rates'!$B$6:$B$40,0))="NONE",H150,IF(INDEX('TDS Rates'!$F$6:$F$40,MATCH(G150,'TDS Rates'!$B$6:$B$40,0))="PER",IF(H150&gt;INDEX('TDS Rates'!$G$6:$G$40,MATCH(G150,'TDS Rates'!$B$6:$B$40,0)),H150,0),IF(INDEX('TDS Rates'!$F$6:$F$40,MATCH(G150,'TDS Rates'!$B$6:$B$40,0))="EXCESS",MAX(0,L150+H150-INDEX('TDS Rates'!$H$6:$H$40,MATCH(G150,'TDS Rates'!$B$6:$B$40,0)))-MAX(0,L150-INDEX('TDS Rates'!$H$6:$H$40,MATCH(G150,'TDS Rates'!$B$6:$B$40,0))),IF(INDEX('TDS Rates'!$F$6:$F$40,MATCH(G150,'TDS Rates'!$B$6:$B$40,0))="SA",IF(L150+H150&gt;INDEX('TDS Rates'!$H$6:$H$40,MATCH(G150,'TDS Rates'!$B$6:$B$40,0)),H150+M150,IF(H150&gt;INDEX('TDS Rates'!$G$6:$G$40,MATCH(G150,'TDS Rates'!$B$6:$B$40,0)),H150,0)),IF(L150+H150&gt;INDEX('TDS Rates'!$H$6:$H$40,MATCH(G150,'TDS Rates'!$B$6:$B$40,0)),H150+M150,0))))),0))</f>
        <v/>
      </c>
      <c r="O150" s="33" t="str">
        <f aca="false">IF(OR(G150="",H150=""),"",IFERROR(IF(F150="No",IF(INDEX('TDS Rates'!$C$6:$C$40,MATCH(G150,'TDS Rates'!$B$6:$B$40,0))="194Q",Settings!$C$14,MAX(Settings!$C$13,IF(E150="Individual / HUF",INDEX('TDS Rates'!$I$6:$I$40,MATCH(G150,'TDS Rates'!$B$6:$B$40,0)),IF(E150="Company",INDEX('TDS Rates'!$J$6:$J$40,MATCH(G150,'TDS Rates'!$B$6:$B$40,0)),INDEX('TDS Rates'!$K$6:$K$40,MATCH(G150,'TDS Rates'!$B$6:$B$40,0)))))),IF(E150="Individual / HUF",INDEX('TDS Rates'!$I$6:$I$40,MATCH(G150,'TDS Rates'!$B$6:$B$40,0)),IF(E150="Company",INDEX('TDS Rates'!$J$6:$J$40,MATCH(G150,'TDS Rates'!$B$6:$B$40,0)),INDEX('TDS Rates'!$K$6:$K$40,MATCH(G150,'TDS Rates'!$B$6:$B$40,0))))),0))</f>
        <v/>
      </c>
      <c r="P150" s="34" t="str">
        <f aca="false">IF(OR(G150="",H150=""),"",ROUND(N150*O150,0))</f>
        <v/>
      </c>
      <c r="Q150" s="27" t="str">
        <f aca="false">IF(OR(G150="",H150=""),"",IFERROR(IF(INDEX('TDS Rates'!$E$6:$E$40,MATCH(G150,'TDS Rates'!$B$6:$B$40,0))="Form 141",EOMONTH(IF(R150="",B150,R150),0)+30,IF(MONTH(IF(R150="",B150,R150))=3,DATE(YEAR(IF(R150="",B150,R150)),4,30),DATE(YEAR(IF(R150="",B150,R150)),MONTH(IF(R150="",B150,R150))+1,7))),""))</f>
        <v/>
      </c>
      <c r="R150" s="17"/>
      <c r="S150" s="17"/>
      <c r="T150" s="5"/>
      <c r="U150" s="28" t="str">
        <f aca="false">IF(OR(G150="",H150=""),"",IF(P150=0,0,IF(IF(R150="",Settings!$C$9,R150)&lt;=B150,0,((YEAR(IF(R150="",Settings!$C$9,R150))-YEAR(B150))*12+MONTH(IF(R150="",Settings!$C$9,R150))-MONTH(B150)+1))))</f>
        <v/>
      </c>
      <c r="V150" s="29" t="str">
        <f aca="false">IF(OR(G150="",H150=""),"",ROUND(P150*Settings!$C$10*U150,0))</f>
        <v/>
      </c>
      <c r="W150" s="28" t="str">
        <f aca="false">IF(OR(G150="",H150=""),"",IF(OR(P150=0,R150=""),0,IF(IF(S150="",Settings!$C$9,S150)&lt;=Q150,0,((YEAR(IF(S150="",Settings!$C$9,S150))-YEAR(R150))*12+MONTH(IF(S150="",Settings!$C$9,S150))-MONTH(R150)+1))))</f>
        <v/>
      </c>
      <c r="X150" s="29" t="str">
        <f aca="false">IF(OR(G150="",H150=""),"",ROUND(P150*Settings!$C$11*W150,0))</f>
        <v/>
      </c>
      <c r="Y150" s="29" t="str">
        <f aca="false">IF(OR(G150="",H150=""),"",V150+X150)</f>
        <v/>
      </c>
      <c r="Z150" s="7" t="str">
        <f aca="false">IF(OR(G150="",H150=""),"",IF(P150=0,"Below threshold",IF(R150="","Not yet deducted",IF(S150="",IF(Settings!$C$9&gt;Q150,"Overdue — pay now","Deducted, due "&amp;TEXT(Q150,"dd-mmm")),IF(S150&lt;=Q150,IF(N(U150)&gt;0,"Deducted late, paid on time","Paid on time"),"Paid late")))))</f>
        <v/>
      </c>
      <c r="AA150" s="35" t="str">
        <f aca="false">IF(OR(G150="",H150=""),"",IF(D150&lt;&gt;"",UPPER(TRIM(D150)),UPPER(TRIM(C150))))</f>
        <v/>
      </c>
    </row>
    <row r="151" customFormat="false" ht="15" hidden="false" customHeight="false" outlineLevel="0" collapsed="false">
      <c r="B151" s="17"/>
      <c r="C151" s="5"/>
      <c r="D151" s="5"/>
      <c r="E151" s="5"/>
      <c r="F151" s="5"/>
      <c r="G151" s="5"/>
      <c r="H151" s="16"/>
      <c r="I151" s="7" t="str">
        <f aca="false">IF(OR(G151="",H151=""),"",IFERROR(INDEX('TDS Rates'!$D$6:$D$40,MATCH(G151,'TDS Rates'!$B$6:$B$40,0)),"Check nature"))</f>
        <v/>
      </c>
      <c r="J151" s="7" t="str">
        <f aca="false">IF(OR(G151="",H151=""),"",IFERROR(INDEX('TDS Rates'!$C$6:$C$40,MATCH(G151,'TDS Rates'!$B$6:$B$40,0)),""))</f>
        <v/>
      </c>
      <c r="K151" s="7" t="str">
        <f aca="false">IF(OR(G151="",H151=""),"",IFERROR(INDEX('TDS Rates'!$E$6:$E$40,MATCH(G151,'TDS Rates'!$B$6:$B$40,0)),""))</f>
        <v/>
      </c>
      <c r="L151" s="29" t="str">
        <f aca="false">IF(OR(G151="",H151=""),"",SUMIFS(H$6:H150,AA$6:AA150,AA151,G$6:G150,G151))</f>
        <v/>
      </c>
      <c r="M151" s="29" t="str">
        <f aca="false">IF(OR(G151="",H151=""),"",SUMIFS(H$6:H150,AA$6:AA150,AA151,G$6:G150,G151,N$6:N150,0))</f>
        <v/>
      </c>
      <c r="N151" s="29" t="str">
        <f aca="false">IF(OR(G151="",H151=""),"",IFERROR(IF(INDEX('TDS Rates'!$F$6:$F$40,MATCH(G151,'TDS Rates'!$B$6:$B$40,0))="NONE",H151,IF(INDEX('TDS Rates'!$F$6:$F$40,MATCH(G151,'TDS Rates'!$B$6:$B$40,0))="PER",IF(H151&gt;INDEX('TDS Rates'!$G$6:$G$40,MATCH(G151,'TDS Rates'!$B$6:$B$40,0)),H151,0),IF(INDEX('TDS Rates'!$F$6:$F$40,MATCH(G151,'TDS Rates'!$B$6:$B$40,0))="EXCESS",MAX(0,L151+H151-INDEX('TDS Rates'!$H$6:$H$40,MATCH(G151,'TDS Rates'!$B$6:$B$40,0)))-MAX(0,L151-INDEX('TDS Rates'!$H$6:$H$40,MATCH(G151,'TDS Rates'!$B$6:$B$40,0))),IF(INDEX('TDS Rates'!$F$6:$F$40,MATCH(G151,'TDS Rates'!$B$6:$B$40,0))="SA",IF(L151+H151&gt;INDEX('TDS Rates'!$H$6:$H$40,MATCH(G151,'TDS Rates'!$B$6:$B$40,0)),H151+M151,IF(H151&gt;INDEX('TDS Rates'!$G$6:$G$40,MATCH(G151,'TDS Rates'!$B$6:$B$40,0)),H151,0)),IF(L151+H151&gt;INDEX('TDS Rates'!$H$6:$H$40,MATCH(G151,'TDS Rates'!$B$6:$B$40,0)),H151+M151,0))))),0))</f>
        <v/>
      </c>
      <c r="O151" s="33" t="str">
        <f aca="false">IF(OR(G151="",H151=""),"",IFERROR(IF(F151="No",IF(INDEX('TDS Rates'!$C$6:$C$40,MATCH(G151,'TDS Rates'!$B$6:$B$40,0))="194Q",Settings!$C$14,MAX(Settings!$C$13,IF(E151="Individual / HUF",INDEX('TDS Rates'!$I$6:$I$40,MATCH(G151,'TDS Rates'!$B$6:$B$40,0)),IF(E151="Company",INDEX('TDS Rates'!$J$6:$J$40,MATCH(G151,'TDS Rates'!$B$6:$B$40,0)),INDEX('TDS Rates'!$K$6:$K$40,MATCH(G151,'TDS Rates'!$B$6:$B$40,0)))))),IF(E151="Individual / HUF",INDEX('TDS Rates'!$I$6:$I$40,MATCH(G151,'TDS Rates'!$B$6:$B$40,0)),IF(E151="Company",INDEX('TDS Rates'!$J$6:$J$40,MATCH(G151,'TDS Rates'!$B$6:$B$40,0)),INDEX('TDS Rates'!$K$6:$K$40,MATCH(G151,'TDS Rates'!$B$6:$B$40,0))))),0))</f>
        <v/>
      </c>
      <c r="P151" s="34" t="str">
        <f aca="false">IF(OR(G151="",H151=""),"",ROUND(N151*O151,0))</f>
        <v/>
      </c>
      <c r="Q151" s="27" t="str">
        <f aca="false">IF(OR(G151="",H151=""),"",IFERROR(IF(INDEX('TDS Rates'!$E$6:$E$40,MATCH(G151,'TDS Rates'!$B$6:$B$40,0))="Form 141",EOMONTH(IF(R151="",B151,R151),0)+30,IF(MONTH(IF(R151="",B151,R151))=3,DATE(YEAR(IF(R151="",B151,R151)),4,30),DATE(YEAR(IF(R151="",B151,R151)),MONTH(IF(R151="",B151,R151))+1,7))),""))</f>
        <v/>
      </c>
      <c r="R151" s="17"/>
      <c r="S151" s="17"/>
      <c r="T151" s="5"/>
      <c r="U151" s="28" t="str">
        <f aca="false">IF(OR(G151="",H151=""),"",IF(P151=0,0,IF(IF(R151="",Settings!$C$9,R151)&lt;=B151,0,((YEAR(IF(R151="",Settings!$C$9,R151))-YEAR(B151))*12+MONTH(IF(R151="",Settings!$C$9,R151))-MONTH(B151)+1))))</f>
        <v/>
      </c>
      <c r="V151" s="29" t="str">
        <f aca="false">IF(OR(G151="",H151=""),"",ROUND(P151*Settings!$C$10*U151,0))</f>
        <v/>
      </c>
      <c r="W151" s="28" t="str">
        <f aca="false">IF(OR(G151="",H151=""),"",IF(OR(P151=0,R151=""),0,IF(IF(S151="",Settings!$C$9,S151)&lt;=Q151,0,((YEAR(IF(S151="",Settings!$C$9,S151))-YEAR(R151))*12+MONTH(IF(S151="",Settings!$C$9,S151))-MONTH(R151)+1))))</f>
        <v/>
      </c>
      <c r="X151" s="29" t="str">
        <f aca="false">IF(OR(G151="",H151=""),"",ROUND(P151*Settings!$C$11*W151,0))</f>
        <v/>
      </c>
      <c r="Y151" s="29" t="str">
        <f aca="false">IF(OR(G151="",H151=""),"",V151+X151)</f>
        <v/>
      </c>
      <c r="Z151" s="7" t="str">
        <f aca="false">IF(OR(G151="",H151=""),"",IF(P151=0,"Below threshold",IF(R151="","Not yet deducted",IF(S151="",IF(Settings!$C$9&gt;Q151,"Overdue — pay now","Deducted, due "&amp;TEXT(Q151,"dd-mmm")),IF(S151&lt;=Q151,IF(N(U151)&gt;0,"Deducted late, paid on time","Paid on time"),"Paid late")))))</f>
        <v/>
      </c>
      <c r="AA151" s="35" t="str">
        <f aca="false">IF(OR(G151="",H151=""),"",IF(D151&lt;&gt;"",UPPER(TRIM(D151)),UPPER(TRIM(C151))))</f>
        <v/>
      </c>
    </row>
    <row r="152" customFormat="false" ht="15" hidden="false" customHeight="false" outlineLevel="0" collapsed="false">
      <c r="B152" s="17"/>
      <c r="C152" s="5"/>
      <c r="D152" s="5"/>
      <c r="E152" s="5"/>
      <c r="F152" s="5"/>
      <c r="G152" s="5"/>
      <c r="H152" s="16"/>
      <c r="I152" s="7" t="str">
        <f aca="false">IF(OR(G152="",H152=""),"",IFERROR(INDEX('TDS Rates'!$D$6:$D$40,MATCH(G152,'TDS Rates'!$B$6:$B$40,0)),"Check nature"))</f>
        <v/>
      </c>
      <c r="J152" s="7" t="str">
        <f aca="false">IF(OR(G152="",H152=""),"",IFERROR(INDEX('TDS Rates'!$C$6:$C$40,MATCH(G152,'TDS Rates'!$B$6:$B$40,0)),""))</f>
        <v/>
      </c>
      <c r="K152" s="7" t="str">
        <f aca="false">IF(OR(G152="",H152=""),"",IFERROR(INDEX('TDS Rates'!$E$6:$E$40,MATCH(G152,'TDS Rates'!$B$6:$B$40,0)),""))</f>
        <v/>
      </c>
      <c r="L152" s="29" t="str">
        <f aca="false">IF(OR(G152="",H152=""),"",SUMIFS(H$6:H151,AA$6:AA151,AA152,G$6:G151,G152))</f>
        <v/>
      </c>
      <c r="M152" s="29" t="str">
        <f aca="false">IF(OR(G152="",H152=""),"",SUMIFS(H$6:H151,AA$6:AA151,AA152,G$6:G151,G152,N$6:N151,0))</f>
        <v/>
      </c>
      <c r="N152" s="29" t="str">
        <f aca="false">IF(OR(G152="",H152=""),"",IFERROR(IF(INDEX('TDS Rates'!$F$6:$F$40,MATCH(G152,'TDS Rates'!$B$6:$B$40,0))="NONE",H152,IF(INDEX('TDS Rates'!$F$6:$F$40,MATCH(G152,'TDS Rates'!$B$6:$B$40,0))="PER",IF(H152&gt;INDEX('TDS Rates'!$G$6:$G$40,MATCH(G152,'TDS Rates'!$B$6:$B$40,0)),H152,0),IF(INDEX('TDS Rates'!$F$6:$F$40,MATCH(G152,'TDS Rates'!$B$6:$B$40,0))="EXCESS",MAX(0,L152+H152-INDEX('TDS Rates'!$H$6:$H$40,MATCH(G152,'TDS Rates'!$B$6:$B$40,0)))-MAX(0,L152-INDEX('TDS Rates'!$H$6:$H$40,MATCH(G152,'TDS Rates'!$B$6:$B$40,0))),IF(INDEX('TDS Rates'!$F$6:$F$40,MATCH(G152,'TDS Rates'!$B$6:$B$40,0))="SA",IF(L152+H152&gt;INDEX('TDS Rates'!$H$6:$H$40,MATCH(G152,'TDS Rates'!$B$6:$B$40,0)),H152+M152,IF(H152&gt;INDEX('TDS Rates'!$G$6:$G$40,MATCH(G152,'TDS Rates'!$B$6:$B$40,0)),H152,0)),IF(L152+H152&gt;INDEX('TDS Rates'!$H$6:$H$40,MATCH(G152,'TDS Rates'!$B$6:$B$40,0)),H152+M152,0))))),0))</f>
        <v/>
      </c>
      <c r="O152" s="33" t="str">
        <f aca="false">IF(OR(G152="",H152=""),"",IFERROR(IF(F152="No",IF(INDEX('TDS Rates'!$C$6:$C$40,MATCH(G152,'TDS Rates'!$B$6:$B$40,0))="194Q",Settings!$C$14,MAX(Settings!$C$13,IF(E152="Individual / HUF",INDEX('TDS Rates'!$I$6:$I$40,MATCH(G152,'TDS Rates'!$B$6:$B$40,0)),IF(E152="Company",INDEX('TDS Rates'!$J$6:$J$40,MATCH(G152,'TDS Rates'!$B$6:$B$40,0)),INDEX('TDS Rates'!$K$6:$K$40,MATCH(G152,'TDS Rates'!$B$6:$B$40,0)))))),IF(E152="Individual / HUF",INDEX('TDS Rates'!$I$6:$I$40,MATCH(G152,'TDS Rates'!$B$6:$B$40,0)),IF(E152="Company",INDEX('TDS Rates'!$J$6:$J$40,MATCH(G152,'TDS Rates'!$B$6:$B$40,0)),INDEX('TDS Rates'!$K$6:$K$40,MATCH(G152,'TDS Rates'!$B$6:$B$40,0))))),0))</f>
        <v/>
      </c>
      <c r="P152" s="34" t="str">
        <f aca="false">IF(OR(G152="",H152=""),"",ROUND(N152*O152,0))</f>
        <v/>
      </c>
      <c r="Q152" s="27" t="str">
        <f aca="false">IF(OR(G152="",H152=""),"",IFERROR(IF(INDEX('TDS Rates'!$E$6:$E$40,MATCH(G152,'TDS Rates'!$B$6:$B$40,0))="Form 141",EOMONTH(IF(R152="",B152,R152),0)+30,IF(MONTH(IF(R152="",B152,R152))=3,DATE(YEAR(IF(R152="",B152,R152)),4,30),DATE(YEAR(IF(R152="",B152,R152)),MONTH(IF(R152="",B152,R152))+1,7))),""))</f>
        <v/>
      </c>
      <c r="R152" s="17"/>
      <c r="S152" s="17"/>
      <c r="T152" s="5"/>
      <c r="U152" s="28" t="str">
        <f aca="false">IF(OR(G152="",H152=""),"",IF(P152=0,0,IF(IF(R152="",Settings!$C$9,R152)&lt;=B152,0,((YEAR(IF(R152="",Settings!$C$9,R152))-YEAR(B152))*12+MONTH(IF(R152="",Settings!$C$9,R152))-MONTH(B152)+1))))</f>
        <v/>
      </c>
      <c r="V152" s="29" t="str">
        <f aca="false">IF(OR(G152="",H152=""),"",ROUND(P152*Settings!$C$10*U152,0))</f>
        <v/>
      </c>
      <c r="W152" s="28" t="str">
        <f aca="false">IF(OR(G152="",H152=""),"",IF(OR(P152=0,R152=""),0,IF(IF(S152="",Settings!$C$9,S152)&lt;=Q152,0,((YEAR(IF(S152="",Settings!$C$9,S152))-YEAR(R152))*12+MONTH(IF(S152="",Settings!$C$9,S152))-MONTH(R152)+1))))</f>
        <v/>
      </c>
      <c r="X152" s="29" t="str">
        <f aca="false">IF(OR(G152="",H152=""),"",ROUND(P152*Settings!$C$11*W152,0))</f>
        <v/>
      </c>
      <c r="Y152" s="29" t="str">
        <f aca="false">IF(OR(G152="",H152=""),"",V152+X152)</f>
        <v/>
      </c>
      <c r="Z152" s="7" t="str">
        <f aca="false">IF(OR(G152="",H152=""),"",IF(P152=0,"Below threshold",IF(R152="","Not yet deducted",IF(S152="",IF(Settings!$C$9&gt;Q152,"Overdue — pay now","Deducted, due "&amp;TEXT(Q152,"dd-mmm")),IF(S152&lt;=Q152,IF(N(U152)&gt;0,"Deducted late, paid on time","Paid on time"),"Paid late")))))</f>
        <v/>
      </c>
      <c r="AA152" s="35" t="str">
        <f aca="false">IF(OR(G152="",H152=""),"",IF(D152&lt;&gt;"",UPPER(TRIM(D152)),UPPER(TRIM(C152))))</f>
        <v/>
      </c>
    </row>
    <row r="153" customFormat="false" ht="15" hidden="false" customHeight="false" outlineLevel="0" collapsed="false">
      <c r="B153" s="17"/>
      <c r="C153" s="5"/>
      <c r="D153" s="5"/>
      <c r="E153" s="5"/>
      <c r="F153" s="5"/>
      <c r="G153" s="5"/>
      <c r="H153" s="16"/>
      <c r="I153" s="7" t="str">
        <f aca="false">IF(OR(G153="",H153=""),"",IFERROR(INDEX('TDS Rates'!$D$6:$D$40,MATCH(G153,'TDS Rates'!$B$6:$B$40,0)),"Check nature"))</f>
        <v/>
      </c>
      <c r="J153" s="7" t="str">
        <f aca="false">IF(OR(G153="",H153=""),"",IFERROR(INDEX('TDS Rates'!$C$6:$C$40,MATCH(G153,'TDS Rates'!$B$6:$B$40,0)),""))</f>
        <v/>
      </c>
      <c r="K153" s="7" t="str">
        <f aca="false">IF(OR(G153="",H153=""),"",IFERROR(INDEX('TDS Rates'!$E$6:$E$40,MATCH(G153,'TDS Rates'!$B$6:$B$40,0)),""))</f>
        <v/>
      </c>
      <c r="L153" s="29" t="str">
        <f aca="false">IF(OR(G153="",H153=""),"",SUMIFS(H$6:H152,AA$6:AA152,AA153,G$6:G152,G153))</f>
        <v/>
      </c>
      <c r="M153" s="29" t="str">
        <f aca="false">IF(OR(G153="",H153=""),"",SUMIFS(H$6:H152,AA$6:AA152,AA153,G$6:G152,G153,N$6:N152,0))</f>
        <v/>
      </c>
      <c r="N153" s="29" t="str">
        <f aca="false">IF(OR(G153="",H153=""),"",IFERROR(IF(INDEX('TDS Rates'!$F$6:$F$40,MATCH(G153,'TDS Rates'!$B$6:$B$40,0))="NONE",H153,IF(INDEX('TDS Rates'!$F$6:$F$40,MATCH(G153,'TDS Rates'!$B$6:$B$40,0))="PER",IF(H153&gt;INDEX('TDS Rates'!$G$6:$G$40,MATCH(G153,'TDS Rates'!$B$6:$B$40,0)),H153,0),IF(INDEX('TDS Rates'!$F$6:$F$40,MATCH(G153,'TDS Rates'!$B$6:$B$40,0))="EXCESS",MAX(0,L153+H153-INDEX('TDS Rates'!$H$6:$H$40,MATCH(G153,'TDS Rates'!$B$6:$B$40,0)))-MAX(0,L153-INDEX('TDS Rates'!$H$6:$H$40,MATCH(G153,'TDS Rates'!$B$6:$B$40,0))),IF(INDEX('TDS Rates'!$F$6:$F$40,MATCH(G153,'TDS Rates'!$B$6:$B$40,0))="SA",IF(L153+H153&gt;INDEX('TDS Rates'!$H$6:$H$40,MATCH(G153,'TDS Rates'!$B$6:$B$40,0)),H153+M153,IF(H153&gt;INDEX('TDS Rates'!$G$6:$G$40,MATCH(G153,'TDS Rates'!$B$6:$B$40,0)),H153,0)),IF(L153+H153&gt;INDEX('TDS Rates'!$H$6:$H$40,MATCH(G153,'TDS Rates'!$B$6:$B$40,0)),H153+M153,0))))),0))</f>
        <v/>
      </c>
      <c r="O153" s="33" t="str">
        <f aca="false">IF(OR(G153="",H153=""),"",IFERROR(IF(F153="No",IF(INDEX('TDS Rates'!$C$6:$C$40,MATCH(G153,'TDS Rates'!$B$6:$B$40,0))="194Q",Settings!$C$14,MAX(Settings!$C$13,IF(E153="Individual / HUF",INDEX('TDS Rates'!$I$6:$I$40,MATCH(G153,'TDS Rates'!$B$6:$B$40,0)),IF(E153="Company",INDEX('TDS Rates'!$J$6:$J$40,MATCH(G153,'TDS Rates'!$B$6:$B$40,0)),INDEX('TDS Rates'!$K$6:$K$40,MATCH(G153,'TDS Rates'!$B$6:$B$40,0)))))),IF(E153="Individual / HUF",INDEX('TDS Rates'!$I$6:$I$40,MATCH(G153,'TDS Rates'!$B$6:$B$40,0)),IF(E153="Company",INDEX('TDS Rates'!$J$6:$J$40,MATCH(G153,'TDS Rates'!$B$6:$B$40,0)),INDEX('TDS Rates'!$K$6:$K$40,MATCH(G153,'TDS Rates'!$B$6:$B$40,0))))),0))</f>
        <v/>
      </c>
      <c r="P153" s="34" t="str">
        <f aca="false">IF(OR(G153="",H153=""),"",ROUND(N153*O153,0))</f>
        <v/>
      </c>
      <c r="Q153" s="27" t="str">
        <f aca="false">IF(OR(G153="",H153=""),"",IFERROR(IF(INDEX('TDS Rates'!$E$6:$E$40,MATCH(G153,'TDS Rates'!$B$6:$B$40,0))="Form 141",EOMONTH(IF(R153="",B153,R153),0)+30,IF(MONTH(IF(R153="",B153,R153))=3,DATE(YEAR(IF(R153="",B153,R153)),4,30),DATE(YEAR(IF(R153="",B153,R153)),MONTH(IF(R153="",B153,R153))+1,7))),""))</f>
        <v/>
      </c>
      <c r="R153" s="17"/>
      <c r="S153" s="17"/>
      <c r="T153" s="5"/>
      <c r="U153" s="28" t="str">
        <f aca="false">IF(OR(G153="",H153=""),"",IF(P153=0,0,IF(IF(R153="",Settings!$C$9,R153)&lt;=B153,0,((YEAR(IF(R153="",Settings!$C$9,R153))-YEAR(B153))*12+MONTH(IF(R153="",Settings!$C$9,R153))-MONTH(B153)+1))))</f>
        <v/>
      </c>
      <c r="V153" s="29" t="str">
        <f aca="false">IF(OR(G153="",H153=""),"",ROUND(P153*Settings!$C$10*U153,0))</f>
        <v/>
      </c>
      <c r="W153" s="28" t="str">
        <f aca="false">IF(OR(G153="",H153=""),"",IF(OR(P153=0,R153=""),0,IF(IF(S153="",Settings!$C$9,S153)&lt;=Q153,0,((YEAR(IF(S153="",Settings!$C$9,S153))-YEAR(R153))*12+MONTH(IF(S153="",Settings!$C$9,S153))-MONTH(R153)+1))))</f>
        <v/>
      </c>
      <c r="X153" s="29" t="str">
        <f aca="false">IF(OR(G153="",H153=""),"",ROUND(P153*Settings!$C$11*W153,0))</f>
        <v/>
      </c>
      <c r="Y153" s="29" t="str">
        <f aca="false">IF(OR(G153="",H153=""),"",V153+X153)</f>
        <v/>
      </c>
      <c r="Z153" s="7" t="str">
        <f aca="false">IF(OR(G153="",H153=""),"",IF(P153=0,"Below threshold",IF(R153="","Not yet deducted",IF(S153="",IF(Settings!$C$9&gt;Q153,"Overdue — pay now","Deducted, due "&amp;TEXT(Q153,"dd-mmm")),IF(S153&lt;=Q153,IF(N(U153)&gt;0,"Deducted late, paid on time","Paid on time"),"Paid late")))))</f>
        <v/>
      </c>
      <c r="AA153" s="35" t="str">
        <f aca="false">IF(OR(G153="",H153=""),"",IF(D153&lt;&gt;"",UPPER(TRIM(D153)),UPPER(TRIM(C153))))</f>
        <v/>
      </c>
    </row>
    <row r="154" customFormat="false" ht="15" hidden="false" customHeight="false" outlineLevel="0" collapsed="false">
      <c r="B154" s="17"/>
      <c r="C154" s="5"/>
      <c r="D154" s="5"/>
      <c r="E154" s="5"/>
      <c r="F154" s="5"/>
      <c r="G154" s="5"/>
      <c r="H154" s="16"/>
      <c r="I154" s="7" t="str">
        <f aca="false">IF(OR(G154="",H154=""),"",IFERROR(INDEX('TDS Rates'!$D$6:$D$40,MATCH(G154,'TDS Rates'!$B$6:$B$40,0)),"Check nature"))</f>
        <v/>
      </c>
      <c r="J154" s="7" t="str">
        <f aca="false">IF(OR(G154="",H154=""),"",IFERROR(INDEX('TDS Rates'!$C$6:$C$40,MATCH(G154,'TDS Rates'!$B$6:$B$40,0)),""))</f>
        <v/>
      </c>
      <c r="K154" s="7" t="str">
        <f aca="false">IF(OR(G154="",H154=""),"",IFERROR(INDEX('TDS Rates'!$E$6:$E$40,MATCH(G154,'TDS Rates'!$B$6:$B$40,0)),""))</f>
        <v/>
      </c>
      <c r="L154" s="29" t="str">
        <f aca="false">IF(OR(G154="",H154=""),"",SUMIFS(H$6:H153,AA$6:AA153,AA154,G$6:G153,G154))</f>
        <v/>
      </c>
      <c r="M154" s="29" t="str">
        <f aca="false">IF(OR(G154="",H154=""),"",SUMIFS(H$6:H153,AA$6:AA153,AA154,G$6:G153,G154,N$6:N153,0))</f>
        <v/>
      </c>
      <c r="N154" s="29" t="str">
        <f aca="false">IF(OR(G154="",H154=""),"",IFERROR(IF(INDEX('TDS Rates'!$F$6:$F$40,MATCH(G154,'TDS Rates'!$B$6:$B$40,0))="NONE",H154,IF(INDEX('TDS Rates'!$F$6:$F$40,MATCH(G154,'TDS Rates'!$B$6:$B$40,0))="PER",IF(H154&gt;INDEX('TDS Rates'!$G$6:$G$40,MATCH(G154,'TDS Rates'!$B$6:$B$40,0)),H154,0),IF(INDEX('TDS Rates'!$F$6:$F$40,MATCH(G154,'TDS Rates'!$B$6:$B$40,0))="EXCESS",MAX(0,L154+H154-INDEX('TDS Rates'!$H$6:$H$40,MATCH(G154,'TDS Rates'!$B$6:$B$40,0)))-MAX(0,L154-INDEX('TDS Rates'!$H$6:$H$40,MATCH(G154,'TDS Rates'!$B$6:$B$40,0))),IF(INDEX('TDS Rates'!$F$6:$F$40,MATCH(G154,'TDS Rates'!$B$6:$B$40,0))="SA",IF(L154+H154&gt;INDEX('TDS Rates'!$H$6:$H$40,MATCH(G154,'TDS Rates'!$B$6:$B$40,0)),H154+M154,IF(H154&gt;INDEX('TDS Rates'!$G$6:$G$40,MATCH(G154,'TDS Rates'!$B$6:$B$40,0)),H154,0)),IF(L154+H154&gt;INDEX('TDS Rates'!$H$6:$H$40,MATCH(G154,'TDS Rates'!$B$6:$B$40,0)),H154+M154,0))))),0))</f>
        <v/>
      </c>
      <c r="O154" s="33" t="str">
        <f aca="false">IF(OR(G154="",H154=""),"",IFERROR(IF(F154="No",IF(INDEX('TDS Rates'!$C$6:$C$40,MATCH(G154,'TDS Rates'!$B$6:$B$40,0))="194Q",Settings!$C$14,MAX(Settings!$C$13,IF(E154="Individual / HUF",INDEX('TDS Rates'!$I$6:$I$40,MATCH(G154,'TDS Rates'!$B$6:$B$40,0)),IF(E154="Company",INDEX('TDS Rates'!$J$6:$J$40,MATCH(G154,'TDS Rates'!$B$6:$B$40,0)),INDEX('TDS Rates'!$K$6:$K$40,MATCH(G154,'TDS Rates'!$B$6:$B$40,0)))))),IF(E154="Individual / HUF",INDEX('TDS Rates'!$I$6:$I$40,MATCH(G154,'TDS Rates'!$B$6:$B$40,0)),IF(E154="Company",INDEX('TDS Rates'!$J$6:$J$40,MATCH(G154,'TDS Rates'!$B$6:$B$40,0)),INDEX('TDS Rates'!$K$6:$K$40,MATCH(G154,'TDS Rates'!$B$6:$B$40,0))))),0))</f>
        <v/>
      </c>
      <c r="P154" s="34" t="str">
        <f aca="false">IF(OR(G154="",H154=""),"",ROUND(N154*O154,0))</f>
        <v/>
      </c>
      <c r="Q154" s="27" t="str">
        <f aca="false">IF(OR(G154="",H154=""),"",IFERROR(IF(INDEX('TDS Rates'!$E$6:$E$40,MATCH(G154,'TDS Rates'!$B$6:$B$40,0))="Form 141",EOMONTH(IF(R154="",B154,R154),0)+30,IF(MONTH(IF(R154="",B154,R154))=3,DATE(YEAR(IF(R154="",B154,R154)),4,30),DATE(YEAR(IF(R154="",B154,R154)),MONTH(IF(R154="",B154,R154))+1,7))),""))</f>
        <v/>
      </c>
      <c r="R154" s="17"/>
      <c r="S154" s="17"/>
      <c r="T154" s="5"/>
      <c r="U154" s="28" t="str">
        <f aca="false">IF(OR(G154="",H154=""),"",IF(P154=0,0,IF(IF(R154="",Settings!$C$9,R154)&lt;=B154,0,((YEAR(IF(R154="",Settings!$C$9,R154))-YEAR(B154))*12+MONTH(IF(R154="",Settings!$C$9,R154))-MONTH(B154)+1))))</f>
        <v/>
      </c>
      <c r="V154" s="29" t="str">
        <f aca="false">IF(OR(G154="",H154=""),"",ROUND(P154*Settings!$C$10*U154,0))</f>
        <v/>
      </c>
      <c r="W154" s="28" t="str">
        <f aca="false">IF(OR(G154="",H154=""),"",IF(OR(P154=0,R154=""),0,IF(IF(S154="",Settings!$C$9,S154)&lt;=Q154,0,((YEAR(IF(S154="",Settings!$C$9,S154))-YEAR(R154))*12+MONTH(IF(S154="",Settings!$C$9,S154))-MONTH(R154)+1))))</f>
        <v/>
      </c>
      <c r="X154" s="29" t="str">
        <f aca="false">IF(OR(G154="",H154=""),"",ROUND(P154*Settings!$C$11*W154,0))</f>
        <v/>
      </c>
      <c r="Y154" s="29" t="str">
        <f aca="false">IF(OR(G154="",H154=""),"",V154+X154)</f>
        <v/>
      </c>
      <c r="Z154" s="7" t="str">
        <f aca="false">IF(OR(G154="",H154=""),"",IF(P154=0,"Below threshold",IF(R154="","Not yet deducted",IF(S154="",IF(Settings!$C$9&gt;Q154,"Overdue — pay now","Deducted, due "&amp;TEXT(Q154,"dd-mmm")),IF(S154&lt;=Q154,IF(N(U154)&gt;0,"Deducted late, paid on time","Paid on time"),"Paid late")))))</f>
        <v/>
      </c>
      <c r="AA154" s="35" t="str">
        <f aca="false">IF(OR(G154="",H154=""),"",IF(D154&lt;&gt;"",UPPER(TRIM(D154)),UPPER(TRIM(C154))))</f>
        <v/>
      </c>
    </row>
    <row r="155" customFormat="false" ht="15" hidden="false" customHeight="false" outlineLevel="0" collapsed="false">
      <c r="B155" s="17"/>
      <c r="C155" s="5"/>
      <c r="D155" s="5"/>
      <c r="E155" s="5"/>
      <c r="F155" s="5"/>
      <c r="G155" s="5"/>
      <c r="H155" s="16"/>
      <c r="I155" s="7" t="str">
        <f aca="false">IF(OR(G155="",H155=""),"",IFERROR(INDEX('TDS Rates'!$D$6:$D$40,MATCH(G155,'TDS Rates'!$B$6:$B$40,0)),"Check nature"))</f>
        <v/>
      </c>
      <c r="J155" s="7" t="str">
        <f aca="false">IF(OR(G155="",H155=""),"",IFERROR(INDEX('TDS Rates'!$C$6:$C$40,MATCH(G155,'TDS Rates'!$B$6:$B$40,0)),""))</f>
        <v/>
      </c>
      <c r="K155" s="7" t="str">
        <f aca="false">IF(OR(G155="",H155=""),"",IFERROR(INDEX('TDS Rates'!$E$6:$E$40,MATCH(G155,'TDS Rates'!$B$6:$B$40,0)),""))</f>
        <v/>
      </c>
      <c r="L155" s="29" t="str">
        <f aca="false">IF(OR(G155="",H155=""),"",SUMIFS(H$6:H154,AA$6:AA154,AA155,G$6:G154,G155))</f>
        <v/>
      </c>
      <c r="M155" s="29" t="str">
        <f aca="false">IF(OR(G155="",H155=""),"",SUMIFS(H$6:H154,AA$6:AA154,AA155,G$6:G154,G155,N$6:N154,0))</f>
        <v/>
      </c>
      <c r="N155" s="29" t="str">
        <f aca="false">IF(OR(G155="",H155=""),"",IFERROR(IF(INDEX('TDS Rates'!$F$6:$F$40,MATCH(G155,'TDS Rates'!$B$6:$B$40,0))="NONE",H155,IF(INDEX('TDS Rates'!$F$6:$F$40,MATCH(G155,'TDS Rates'!$B$6:$B$40,0))="PER",IF(H155&gt;INDEX('TDS Rates'!$G$6:$G$40,MATCH(G155,'TDS Rates'!$B$6:$B$40,0)),H155,0),IF(INDEX('TDS Rates'!$F$6:$F$40,MATCH(G155,'TDS Rates'!$B$6:$B$40,0))="EXCESS",MAX(0,L155+H155-INDEX('TDS Rates'!$H$6:$H$40,MATCH(G155,'TDS Rates'!$B$6:$B$40,0)))-MAX(0,L155-INDEX('TDS Rates'!$H$6:$H$40,MATCH(G155,'TDS Rates'!$B$6:$B$40,0))),IF(INDEX('TDS Rates'!$F$6:$F$40,MATCH(G155,'TDS Rates'!$B$6:$B$40,0))="SA",IF(L155+H155&gt;INDEX('TDS Rates'!$H$6:$H$40,MATCH(G155,'TDS Rates'!$B$6:$B$40,0)),H155+M155,IF(H155&gt;INDEX('TDS Rates'!$G$6:$G$40,MATCH(G155,'TDS Rates'!$B$6:$B$40,0)),H155,0)),IF(L155+H155&gt;INDEX('TDS Rates'!$H$6:$H$40,MATCH(G155,'TDS Rates'!$B$6:$B$40,0)),H155+M155,0))))),0))</f>
        <v/>
      </c>
      <c r="O155" s="33" t="str">
        <f aca="false">IF(OR(G155="",H155=""),"",IFERROR(IF(F155="No",IF(INDEX('TDS Rates'!$C$6:$C$40,MATCH(G155,'TDS Rates'!$B$6:$B$40,0))="194Q",Settings!$C$14,MAX(Settings!$C$13,IF(E155="Individual / HUF",INDEX('TDS Rates'!$I$6:$I$40,MATCH(G155,'TDS Rates'!$B$6:$B$40,0)),IF(E155="Company",INDEX('TDS Rates'!$J$6:$J$40,MATCH(G155,'TDS Rates'!$B$6:$B$40,0)),INDEX('TDS Rates'!$K$6:$K$40,MATCH(G155,'TDS Rates'!$B$6:$B$40,0)))))),IF(E155="Individual / HUF",INDEX('TDS Rates'!$I$6:$I$40,MATCH(G155,'TDS Rates'!$B$6:$B$40,0)),IF(E155="Company",INDEX('TDS Rates'!$J$6:$J$40,MATCH(G155,'TDS Rates'!$B$6:$B$40,0)),INDEX('TDS Rates'!$K$6:$K$40,MATCH(G155,'TDS Rates'!$B$6:$B$40,0))))),0))</f>
        <v/>
      </c>
      <c r="P155" s="34" t="str">
        <f aca="false">IF(OR(G155="",H155=""),"",ROUND(N155*O155,0))</f>
        <v/>
      </c>
      <c r="Q155" s="27" t="str">
        <f aca="false">IF(OR(G155="",H155=""),"",IFERROR(IF(INDEX('TDS Rates'!$E$6:$E$40,MATCH(G155,'TDS Rates'!$B$6:$B$40,0))="Form 141",EOMONTH(IF(R155="",B155,R155),0)+30,IF(MONTH(IF(R155="",B155,R155))=3,DATE(YEAR(IF(R155="",B155,R155)),4,30),DATE(YEAR(IF(R155="",B155,R155)),MONTH(IF(R155="",B155,R155))+1,7))),""))</f>
        <v/>
      </c>
      <c r="R155" s="17"/>
      <c r="S155" s="17"/>
      <c r="T155" s="5"/>
      <c r="U155" s="28" t="str">
        <f aca="false">IF(OR(G155="",H155=""),"",IF(P155=0,0,IF(IF(R155="",Settings!$C$9,R155)&lt;=B155,0,((YEAR(IF(R155="",Settings!$C$9,R155))-YEAR(B155))*12+MONTH(IF(R155="",Settings!$C$9,R155))-MONTH(B155)+1))))</f>
        <v/>
      </c>
      <c r="V155" s="29" t="str">
        <f aca="false">IF(OR(G155="",H155=""),"",ROUND(P155*Settings!$C$10*U155,0))</f>
        <v/>
      </c>
      <c r="W155" s="28" t="str">
        <f aca="false">IF(OR(G155="",H155=""),"",IF(OR(P155=0,R155=""),0,IF(IF(S155="",Settings!$C$9,S155)&lt;=Q155,0,((YEAR(IF(S155="",Settings!$C$9,S155))-YEAR(R155))*12+MONTH(IF(S155="",Settings!$C$9,S155))-MONTH(R155)+1))))</f>
        <v/>
      </c>
      <c r="X155" s="29" t="str">
        <f aca="false">IF(OR(G155="",H155=""),"",ROUND(P155*Settings!$C$11*W155,0))</f>
        <v/>
      </c>
      <c r="Y155" s="29" t="str">
        <f aca="false">IF(OR(G155="",H155=""),"",V155+X155)</f>
        <v/>
      </c>
      <c r="Z155" s="7" t="str">
        <f aca="false">IF(OR(G155="",H155=""),"",IF(P155=0,"Below threshold",IF(R155="","Not yet deducted",IF(S155="",IF(Settings!$C$9&gt;Q155,"Overdue — pay now","Deducted, due "&amp;TEXT(Q155,"dd-mmm")),IF(S155&lt;=Q155,IF(N(U155)&gt;0,"Deducted late, paid on time","Paid on time"),"Paid late")))))</f>
        <v/>
      </c>
      <c r="AA155" s="35" t="str">
        <f aca="false">IF(OR(G155="",H155=""),"",IF(D155&lt;&gt;"",UPPER(TRIM(D155)),UPPER(TRIM(C155))))</f>
        <v/>
      </c>
    </row>
    <row r="156" customFormat="false" ht="15" hidden="false" customHeight="false" outlineLevel="0" collapsed="false">
      <c r="B156" s="17"/>
      <c r="C156" s="5"/>
      <c r="D156" s="5"/>
      <c r="E156" s="5"/>
      <c r="F156" s="5"/>
      <c r="G156" s="5"/>
      <c r="H156" s="16"/>
      <c r="I156" s="7" t="str">
        <f aca="false">IF(OR(G156="",H156=""),"",IFERROR(INDEX('TDS Rates'!$D$6:$D$40,MATCH(G156,'TDS Rates'!$B$6:$B$40,0)),"Check nature"))</f>
        <v/>
      </c>
      <c r="J156" s="7" t="str">
        <f aca="false">IF(OR(G156="",H156=""),"",IFERROR(INDEX('TDS Rates'!$C$6:$C$40,MATCH(G156,'TDS Rates'!$B$6:$B$40,0)),""))</f>
        <v/>
      </c>
      <c r="K156" s="7" t="str">
        <f aca="false">IF(OR(G156="",H156=""),"",IFERROR(INDEX('TDS Rates'!$E$6:$E$40,MATCH(G156,'TDS Rates'!$B$6:$B$40,0)),""))</f>
        <v/>
      </c>
      <c r="L156" s="29" t="str">
        <f aca="false">IF(OR(G156="",H156=""),"",SUMIFS(H$6:H155,AA$6:AA155,AA156,G$6:G155,G156))</f>
        <v/>
      </c>
      <c r="M156" s="29" t="str">
        <f aca="false">IF(OR(G156="",H156=""),"",SUMIFS(H$6:H155,AA$6:AA155,AA156,G$6:G155,G156,N$6:N155,0))</f>
        <v/>
      </c>
      <c r="N156" s="29" t="str">
        <f aca="false">IF(OR(G156="",H156=""),"",IFERROR(IF(INDEX('TDS Rates'!$F$6:$F$40,MATCH(G156,'TDS Rates'!$B$6:$B$40,0))="NONE",H156,IF(INDEX('TDS Rates'!$F$6:$F$40,MATCH(G156,'TDS Rates'!$B$6:$B$40,0))="PER",IF(H156&gt;INDEX('TDS Rates'!$G$6:$G$40,MATCH(G156,'TDS Rates'!$B$6:$B$40,0)),H156,0),IF(INDEX('TDS Rates'!$F$6:$F$40,MATCH(G156,'TDS Rates'!$B$6:$B$40,0))="EXCESS",MAX(0,L156+H156-INDEX('TDS Rates'!$H$6:$H$40,MATCH(G156,'TDS Rates'!$B$6:$B$40,0)))-MAX(0,L156-INDEX('TDS Rates'!$H$6:$H$40,MATCH(G156,'TDS Rates'!$B$6:$B$40,0))),IF(INDEX('TDS Rates'!$F$6:$F$40,MATCH(G156,'TDS Rates'!$B$6:$B$40,0))="SA",IF(L156+H156&gt;INDEX('TDS Rates'!$H$6:$H$40,MATCH(G156,'TDS Rates'!$B$6:$B$40,0)),H156+M156,IF(H156&gt;INDEX('TDS Rates'!$G$6:$G$40,MATCH(G156,'TDS Rates'!$B$6:$B$40,0)),H156,0)),IF(L156+H156&gt;INDEX('TDS Rates'!$H$6:$H$40,MATCH(G156,'TDS Rates'!$B$6:$B$40,0)),H156+M156,0))))),0))</f>
        <v/>
      </c>
      <c r="O156" s="33" t="str">
        <f aca="false">IF(OR(G156="",H156=""),"",IFERROR(IF(F156="No",IF(INDEX('TDS Rates'!$C$6:$C$40,MATCH(G156,'TDS Rates'!$B$6:$B$40,0))="194Q",Settings!$C$14,MAX(Settings!$C$13,IF(E156="Individual / HUF",INDEX('TDS Rates'!$I$6:$I$40,MATCH(G156,'TDS Rates'!$B$6:$B$40,0)),IF(E156="Company",INDEX('TDS Rates'!$J$6:$J$40,MATCH(G156,'TDS Rates'!$B$6:$B$40,0)),INDEX('TDS Rates'!$K$6:$K$40,MATCH(G156,'TDS Rates'!$B$6:$B$40,0)))))),IF(E156="Individual / HUF",INDEX('TDS Rates'!$I$6:$I$40,MATCH(G156,'TDS Rates'!$B$6:$B$40,0)),IF(E156="Company",INDEX('TDS Rates'!$J$6:$J$40,MATCH(G156,'TDS Rates'!$B$6:$B$40,0)),INDEX('TDS Rates'!$K$6:$K$40,MATCH(G156,'TDS Rates'!$B$6:$B$40,0))))),0))</f>
        <v/>
      </c>
      <c r="P156" s="34" t="str">
        <f aca="false">IF(OR(G156="",H156=""),"",ROUND(N156*O156,0))</f>
        <v/>
      </c>
      <c r="Q156" s="27" t="str">
        <f aca="false">IF(OR(G156="",H156=""),"",IFERROR(IF(INDEX('TDS Rates'!$E$6:$E$40,MATCH(G156,'TDS Rates'!$B$6:$B$40,0))="Form 141",EOMONTH(IF(R156="",B156,R156),0)+30,IF(MONTH(IF(R156="",B156,R156))=3,DATE(YEAR(IF(R156="",B156,R156)),4,30),DATE(YEAR(IF(R156="",B156,R156)),MONTH(IF(R156="",B156,R156))+1,7))),""))</f>
        <v/>
      </c>
      <c r="R156" s="17"/>
      <c r="S156" s="17"/>
      <c r="T156" s="5"/>
      <c r="U156" s="28" t="str">
        <f aca="false">IF(OR(G156="",H156=""),"",IF(P156=0,0,IF(IF(R156="",Settings!$C$9,R156)&lt;=B156,0,((YEAR(IF(R156="",Settings!$C$9,R156))-YEAR(B156))*12+MONTH(IF(R156="",Settings!$C$9,R156))-MONTH(B156)+1))))</f>
        <v/>
      </c>
      <c r="V156" s="29" t="str">
        <f aca="false">IF(OR(G156="",H156=""),"",ROUND(P156*Settings!$C$10*U156,0))</f>
        <v/>
      </c>
      <c r="W156" s="28" t="str">
        <f aca="false">IF(OR(G156="",H156=""),"",IF(OR(P156=0,R156=""),0,IF(IF(S156="",Settings!$C$9,S156)&lt;=Q156,0,((YEAR(IF(S156="",Settings!$C$9,S156))-YEAR(R156))*12+MONTH(IF(S156="",Settings!$C$9,S156))-MONTH(R156)+1))))</f>
        <v/>
      </c>
      <c r="X156" s="29" t="str">
        <f aca="false">IF(OR(G156="",H156=""),"",ROUND(P156*Settings!$C$11*W156,0))</f>
        <v/>
      </c>
      <c r="Y156" s="29" t="str">
        <f aca="false">IF(OR(G156="",H156=""),"",V156+X156)</f>
        <v/>
      </c>
      <c r="Z156" s="7" t="str">
        <f aca="false">IF(OR(G156="",H156=""),"",IF(P156=0,"Below threshold",IF(R156="","Not yet deducted",IF(S156="",IF(Settings!$C$9&gt;Q156,"Overdue — pay now","Deducted, due "&amp;TEXT(Q156,"dd-mmm")),IF(S156&lt;=Q156,IF(N(U156)&gt;0,"Deducted late, paid on time","Paid on time"),"Paid late")))))</f>
        <v/>
      </c>
      <c r="AA156" s="35" t="str">
        <f aca="false">IF(OR(G156="",H156=""),"",IF(D156&lt;&gt;"",UPPER(TRIM(D156)),UPPER(TRIM(C156))))</f>
        <v/>
      </c>
    </row>
    <row r="157" customFormat="false" ht="15" hidden="false" customHeight="false" outlineLevel="0" collapsed="false">
      <c r="B157" s="17"/>
      <c r="C157" s="5"/>
      <c r="D157" s="5"/>
      <c r="E157" s="5"/>
      <c r="F157" s="5"/>
      <c r="G157" s="5"/>
      <c r="H157" s="16"/>
      <c r="I157" s="7" t="str">
        <f aca="false">IF(OR(G157="",H157=""),"",IFERROR(INDEX('TDS Rates'!$D$6:$D$40,MATCH(G157,'TDS Rates'!$B$6:$B$40,0)),"Check nature"))</f>
        <v/>
      </c>
      <c r="J157" s="7" t="str">
        <f aca="false">IF(OR(G157="",H157=""),"",IFERROR(INDEX('TDS Rates'!$C$6:$C$40,MATCH(G157,'TDS Rates'!$B$6:$B$40,0)),""))</f>
        <v/>
      </c>
      <c r="K157" s="7" t="str">
        <f aca="false">IF(OR(G157="",H157=""),"",IFERROR(INDEX('TDS Rates'!$E$6:$E$40,MATCH(G157,'TDS Rates'!$B$6:$B$40,0)),""))</f>
        <v/>
      </c>
      <c r="L157" s="29" t="str">
        <f aca="false">IF(OR(G157="",H157=""),"",SUMIFS(H$6:H156,AA$6:AA156,AA157,G$6:G156,G157))</f>
        <v/>
      </c>
      <c r="M157" s="29" t="str">
        <f aca="false">IF(OR(G157="",H157=""),"",SUMIFS(H$6:H156,AA$6:AA156,AA157,G$6:G156,G157,N$6:N156,0))</f>
        <v/>
      </c>
      <c r="N157" s="29" t="str">
        <f aca="false">IF(OR(G157="",H157=""),"",IFERROR(IF(INDEX('TDS Rates'!$F$6:$F$40,MATCH(G157,'TDS Rates'!$B$6:$B$40,0))="NONE",H157,IF(INDEX('TDS Rates'!$F$6:$F$40,MATCH(G157,'TDS Rates'!$B$6:$B$40,0))="PER",IF(H157&gt;INDEX('TDS Rates'!$G$6:$G$40,MATCH(G157,'TDS Rates'!$B$6:$B$40,0)),H157,0),IF(INDEX('TDS Rates'!$F$6:$F$40,MATCH(G157,'TDS Rates'!$B$6:$B$40,0))="EXCESS",MAX(0,L157+H157-INDEX('TDS Rates'!$H$6:$H$40,MATCH(G157,'TDS Rates'!$B$6:$B$40,0)))-MAX(0,L157-INDEX('TDS Rates'!$H$6:$H$40,MATCH(G157,'TDS Rates'!$B$6:$B$40,0))),IF(INDEX('TDS Rates'!$F$6:$F$40,MATCH(G157,'TDS Rates'!$B$6:$B$40,0))="SA",IF(L157+H157&gt;INDEX('TDS Rates'!$H$6:$H$40,MATCH(G157,'TDS Rates'!$B$6:$B$40,0)),H157+M157,IF(H157&gt;INDEX('TDS Rates'!$G$6:$G$40,MATCH(G157,'TDS Rates'!$B$6:$B$40,0)),H157,0)),IF(L157+H157&gt;INDEX('TDS Rates'!$H$6:$H$40,MATCH(G157,'TDS Rates'!$B$6:$B$40,0)),H157+M157,0))))),0))</f>
        <v/>
      </c>
      <c r="O157" s="33" t="str">
        <f aca="false">IF(OR(G157="",H157=""),"",IFERROR(IF(F157="No",IF(INDEX('TDS Rates'!$C$6:$C$40,MATCH(G157,'TDS Rates'!$B$6:$B$40,0))="194Q",Settings!$C$14,MAX(Settings!$C$13,IF(E157="Individual / HUF",INDEX('TDS Rates'!$I$6:$I$40,MATCH(G157,'TDS Rates'!$B$6:$B$40,0)),IF(E157="Company",INDEX('TDS Rates'!$J$6:$J$40,MATCH(G157,'TDS Rates'!$B$6:$B$40,0)),INDEX('TDS Rates'!$K$6:$K$40,MATCH(G157,'TDS Rates'!$B$6:$B$40,0)))))),IF(E157="Individual / HUF",INDEX('TDS Rates'!$I$6:$I$40,MATCH(G157,'TDS Rates'!$B$6:$B$40,0)),IF(E157="Company",INDEX('TDS Rates'!$J$6:$J$40,MATCH(G157,'TDS Rates'!$B$6:$B$40,0)),INDEX('TDS Rates'!$K$6:$K$40,MATCH(G157,'TDS Rates'!$B$6:$B$40,0))))),0))</f>
        <v/>
      </c>
      <c r="P157" s="34" t="str">
        <f aca="false">IF(OR(G157="",H157=""),"",ROUND(N157*O157,0))</f>
        <v/>
      </c>
      <c r="Q157" s="27" t="str">
        <f aca="false">IF(OR(G157="",H157=""),"",IFERROR(IF(INDEX('TDS Rates'!$E$6:$E$40,MATCH(G157,'TDS Rates'!$B$6:$B$40,0))="Form 141",EOMONTH(IF(R157="",B157,R157),0)+30,IF(MONTH(IF(R157="",B157,R157))=3,DATE(YEAR(IF(R157="",B157,R157)),4,30),DATE(YEAR(IF(R157="",B157,R157)),MONTH(IF(R157="",B157,R157))+1,7))),""))</f>
        <v/>
      </c>
      <c r="R157" s="17"/>
      <c r="S157" s="17"/>
      <c r="T157" s="5"/>
      <c r="U157" s="28" t="str">
        <f aca="false">IF(OR(G157="",H157=""),"",IF(P157=0,0,IF(IF(R157="",Settings!$C$9,R157)&lt;=B157,0,((YEAR(IF(R157="",Settings!$C$9,R157))-YEAR(B157))*12+MONTH(IF(R157="",Settings!$C$9,R157))-MONTH(B157)+1))))</f>
        <v/>
      </c>
      <c r="V157" s="29" t="str">
        <f aca="false">IF(OR(G157="",H157=""),"",ROUND(P157*Settings!$C$10*U157,0))</f>
        <v/>
      </c>
      <c r="W157" s="28" t="str">
        <f aca="false">IF(OR(G157="",H157=""),"",IF(OR(P157=0,R157=""),0,IF(IF(S157="",Settings!$C$9,S157)&lt;=Q157,0,((YEAR(IF(S157="",Settings!$C$9,S157))-YEAR(R157))*12+MONTH(IF(S157="",Settings!$C$9,S157))-MONTH(R157)+1))))</f>
        <v/>
      </c>
      <c r="X157" s="29" t="str">
        <f aca="false">IF(OR(G157="",H157=""),"",ROUND(P157*Settings!$C$11*W157,0))</f>
        <v/>
      </c>
      <c r="Y157" s="29" t="str">
        <f aca="false">IF(OR(G157="",H157=""),"",V157+X157)</f>
        <v/>
      </c>
      <c r="Z157" s="7" t="str">
        <f aca="false">IF(OR(G157="",H157=""),"",IF(P157=0,"Below threshold",IF(R157="","Not yet deducted",IF(S157="",IF(Settings!$C$9&gt;Q157,"Overdue — pay now","Deducted, due "&amp;TEXT(Q157,"dd-mmm")),IF(S157&lt;=Q157,IF(N(U157)&gt;0,"Deducted late, paid on time","Paid on time"),"Paid late")))))</f>
        <v/>
      </c>
      <c r="AA157" s="35" t="str">
        <f aca="false">IF(OR(G157="",H157=""),"",IF(D157&lt;&gt;"",UPPER(TRIM(D157)),UPPER(TRIM(C157))))</f>
        <v/>
      </c>
    </row>
    <row r="158" customFormat="false" ht="15" hidden="false" customHeight="false" outlineLevel="0" collapsed="false">
      <c r="B158" s="17"/>
      <c r="C158" s="5"/>
      <c r="D158" s="5"/>
      <c r="E158" s="5"/>
      <c r="F158" s="5"/>
      <c r="G158" s="5"/>
      <c r="H158" s="16"/>
      <c r="I158" s="7" t="str">
        <f aca="false">IF(OR(G158="",H158=""),"",IFERROR(INDEX('TDS Rates'!$D$6:$D$40,MATCH(G158,'TDS Rates'!$B$6:$B$40,0)),"Check nature"))</f>
        <v/>
      </c>
      <c r="J158" s="7" t="str">
        <f aca="false">IF(OR(G158="",H158=""),"",IFERROR(INDEX('TDS Rates'!$C$6:$C$40,MATCH(G158,'TDS Rates'!$B$6:$B$40,0)),""))</f>
        <v/>
      </c>
      <c r="K158" s="7" t="str">
        <f aca="false">IF(OR(G158="",H158=""),"",IFERROR(INDEX('TDS Rates'!$E$6:$E$40,MATCH(G158,'TDS Rates'!$B$6:$B$40,0)),""))</f>
        <v/>
      </c>
      <c r="L158" s="29" t="str">
        <f aca="false">IF(OR(G158="",H158=""),"",SUMIFS(H$6:H157,AA$6:AA157,AA158,G$6:G157,G158))</f>
        <v/>
      </c>
      <c r="M158" s="29" t="str">
        <f aca="false">IF(OR(G158="",H158=""),"",SUMIFS(H$6:H157,AA$6:AA157,AA158,G$6:G157,G158,N$6:N157,0))</f>
        <v/>
      </c>
      <c r="N158" s="29" t="str">
        <f aca="false">IF(OR(G158="",H158=""),"",IFERROR(IF(INDEX('TDS Rates'!$F$6:$F$40,MATCH(G158,'TDS Rates'!$B$6:$B$40,0))="NONE",H158,IF(INDEX('TDS Rates'!$F$6:$F$40,MATCH(G158,'TDS Rates'!$B$6:$B$40,0))="PER",IF(H158&gt;INDEX('TDS Rates'!$G$6:$G$40,MATCH(G158,'TDS Rates'!$B$6:$B$40,0)),H158,0),IF(INDEX('TDS Rates'!$F$6:$F$40,MATCH(G158,'TDS Rates'!$B$6:$B$40,0))="EXCESS",MAX(0,L158+H158-INDEX('TDS Rates'!$H$6:$H$40,MATCH(G158,'TDS Rates'!$B$6:$B$40,0)))-MAX(0,L158-INDEX('TDS Rates'!$H$6:$H$40,MATCH(G158,'TDS Rates'!$B$6:$B$40,0))),IF(INDEX('TDS Rates'!$F$6:$F$40,MATCH(G158,'TDS Rates'!$B$6:$B$40,0))="SA",IF(L158+H158&gt;INDEX('TDS Rates'!$H$6:$H$40,MATCH(G158,'TDS Rates'!$B$6:$B$40,0)),H158+M158,IF(H158&gt;INDEX('TDS Rates'!$G$6:$G$40,MATCH(G158,'TDS Rates'!$B$6:$B$40,0)),H158,0)),IF(L158+H158&gt;INDEX('TDS Rates'!$H$6:$H$40,MATCH(G158,'TDS Rates'!$B$6:$B$40,0)),H158+M158,0))))),0))</f>
        <v/>
      </c>
      <c r="O158" s="33" t="str">
        <f aca="false">IF(OR(G158="",H158=""),"",IFERROR(IF(F158="No",IF(INDEX('TDS Rates'!$C$6:$C$40,MATCH(G158,'TDS Rates'!$B$6:$B$40,0))="194Q",Settings!$C$14,MAX(Settings!$C$13,IF(E158="Individual / HUF",INDEX('TDS Rates'!$I$6:$I$40,MATCH(G158,'TDS Rates'!$B$6:$B$40,0)),IF(E158="Company",INDEX('TDS Rates'!$J$6:$J$40,MATCH(G158,'TDS Rates'!$B$6:$B$40,0)),INDEX('TDS Rates'!$K$6:$K$40,MATCH(G158,'TDS Rates'!$B$6:$B$40,0)))))),IF(E158="Individual / HUF",INDEX('TDS Rates'!$I$6:$I$40,MATCH(G158,'TDS Rates'!$B$6:$B$40,0)),IF(E158="Company",INDEX('TDS Rates'!$J$6:$J$40,MATCH(G158,'TDS Rates'!$B$6:$B$40,0)),INDEX('TDS Rates'!$K$6:$K$40,MATCH(G158,'TDS Rates'!$B$6:$B$40,0))))),0))</f>
        <v/>
      </c>
      <c r="P158" s="34" t="str">
        <f aca="false">IF(OR(G158="",H158=""),"",ROUND(N158*O158,0))</f>
        <v/>
      </c>
      <c r="Q158" s="27" t="str">
        <f aca="false">IF(OR(G158="",H158=""),"",IFERROR(IF(INDEX('TDS Rates'!$E$6:$E$40,MATCH(G158,'TDS Rates'!$B$6:$B$40,0))="Form 141",EOMONTH(IF(R158="",B158,R158),0)+30,IF(MONTH(IF(R158="",B158,R158))=3,DATE(YEAR(IF(R158="",B158,R158)),4,30),DATE(YEAR(IF(R158="",B158,R158)),MONTH(IF(R158="",B158,R158))+1,7))),""))</f>
        <v/>
      </c>
      <c r="R158" s="17"/>
      <c r="S158" s="17"/>
      <c r="T158" s="5"/>
      <c r="U158" s="28" t="str">
        <f aca="false">IF(OR(G158="",H158=""),"",IF(P158=0,0,IF(IF(R158="",Settings!$C$9,R158)&lt;=B158,0,((YEAR(IF(R158="",Settings!$C$9,R158))-YEAR(B158))*12+MONTH(IF(R158="",Settings!$C$9,R158))-MONTH(B158)+1))))</f>
        <v/>
      </c>
      <c r="V158" s="29" t="str">
        <f aca="false">IF(OR(G158="",H158=""),"",ROUND(P158*Settings!$C$10*U158,0))</f>
        <v/>
      </c>
      <c r="W158" s="28" t="str">
        <f aca="false">IF(OR(G158="",H158=""),"",IF(OR(P158=0,R158=""),0,IF(IF(S158="",Settings!$C$9,S158)&lt;=Q158,0,((YEAR(IF(S158="",Settings!$C$9,S158))-YEAR(R158))*12+MONTH(IF(S158="",Settings!$C$9,S158))-MONTH(R158)+1))))</f>
        <v/>
      </c>
      <c r="X158" s="29" t="str">
        <f aca="false">IF(OR(G158="",H158=""),"",ROUND(P158*Settings!$C$11*W158,0))</f>
        <v/>
      </c>
      <c r="Y158" s="29" t="str">
        <f aca="false">IF(OR(G158="",H158=""),"",V158+X158)</f>
        <v/>
      </c>
      <c r="Z158" s="7" t="str">
        <f aca="false">IF(OR(G158="",H158=""),"",IF(P158=0,"Below threshold",IF(R158="","Not yet deducted",IF(S158="",IF(Settings!$C$9&gt;Q158,"Overdue — pay now","Deducted, due "&amp;TEXT(Q158,"dd-mmm")),IF(S158&lt;=Q158,IF(N(U158)&gt;0,"Deducted late, paid on time","Paid on time"),"Paid late")))))</f>
        <v/>
      </c>
      <c r="AA158" s="35" t="str">
        <f aca="false">IF(OR(G158="",H158=""),"",IF(D158&lt;&gt;"",UPPER(TRIM(D158)),UPPER(TRIM(C158))))</f>
        <v/>
      </c>
    </row>
    <row r="159" customFormat="false" ht="15" hidden="false" customHeight="false" outlineLevel="0" collapsed="false">
      <c r="B159" s="17"/>
      <c r="C159" s="5"/>
      <c r="D159" s="5"/>
      <c r="E159" s="5"/>
      <c r="F159" s="5"/>
      <c r="G159" s="5"/>
      <c r="H159" s="16"/>
      <c r="I159" s="7" t="str">
        <f aca="false">IF(OR(G159="",H159=""),"",IFERROR(INDEX('TDS Rates'!$D$6:$D$40,MATCH(G159,'TDS Rates'!$B$6:$B$40,0)),"Check nature"))</f>
        <v/>
      </c>
      <c r="J159" s="7" t="str">
        <f aca="false">IF(OR(G159="",H159=""),"",IFERROR(INDEX('TDS Rates'!$C$6:$C$40,MATCH(G159,'TDS Rates'!$B$6:$B$40,0)),""))</f>
        <v/>
      </c>
      <c r="K159" s="7" t="str">
        <f aca="false">IF(OR(G159="",H159=""),"",IFERROR(INDEX('TDS Rates'!$E$6:$E$40,MATCH(G159,'TDS Rates'!$B$6:$B$40,0)),""))</f>
        <v/>
      </c>
      <c r="L159" s="29" t="str">
        <f aca="false">IF(OR(G159="",H159=""),"",SUMIFS(H$6:H158,AA$6:AA158,AA159,G$6:G158,G159))</f>
        <v/>
      </c>
      <c r="M159" s="29" t="str">
        <f aca="false">IF(OR(G159="",H159=""),"",SUMIFS(H$6:H158,AA$6:AA158,AA159,G$6:G158,G159,N$6:N158,0))</f>
        <v/>
      </c>
      <c r="N159" s="29" t="str">
        <f aca="false">IF(OR(G159="",H159=""),"",IFERROR(IF(INDEX('TDS Rates'!$F$6:$F$40,MATCH(G159,'TDS Rates'!$B$6:$B$40,0))="NONE",H159,IF(INDEX('TDS Rates'!$F$6:$F$40,MATCH(G159,'TDS Rates'!$B$6:$B$40,0))="PER",IF(H159&gt;INDEX('TDS Rates'!$G$6:$G$40,MATCH(G159,'TDS Rates'!$B$6:$B$40,0)),H159,0),IF(INDEX('TDS Rates'!$F$6:$F$40,MATCH(G159,'TDS Rates'!$B$6:$B$40,0))="EXCESS",MAX(0,L159+H159-INDEX('TDS Rates'!$H$6:$H$40,MATCH(G159,'TDS Rates'!$B$6:$B$40,0)))-MAX(0,L159-INDEX('TDS Rates'!$H$6:$H$40,MATCH(G159,'TDS Rates'!$B$6:$B$40,0))),IF(INDEX('TDS Rates'!$F$6:$F$40,MATCH(G159,'TDS Rates'!$B$6:$B$40,0))="SA",IF(L159+H159&gt;INDEX('TDS Rates'!$H$6:$H$40,MATCH(G159,'TDS Rates'!$B$6:$B$40,0)),H159+M159,IF(H159&gt;INDEX('TDS Rates'!$G$6:$G$40,MATCH(G159,'TDS Rates'!$B$6:$B$40,0)),H159,0)),IF(L159+H159&gt;INDEX('TDS Rates'!$H$6:$H$40,MATCH(G159,'TDS Rates'!$B$6:$B$40,0)),H159+M159,0))))),0))</f>
        <v/>
      </c>
      <c r="O159" s="33" t="str">
        <f aca="false">IF(OR(G159="",H159=""),"",IFERROR(IF(F159="No",IF(INDEX('TDS Rates'!$C$6:$C$40,MATCH(G159,'TDS Rates'!$B$6:$B$40,0))="194Q",Settings!$C$14,MAX(Settings!$C$13,IF(E159="Individual / HUF",INDEX('TDS Rates'!$I$6:$I$40,MATCH(G159,'TDS Rates'!$B$6:$B$40,0)),IF(E159="Company",INDEX('TDS Rates'!$J$6:$J$40,MATCH(G159,'TDS Rates'!$B$6:$B$40,0)),INDEX('TDS Rates'!$K$6:$K$40,MATCH(G159,'TDS Rates'!$B$6:$B$40,0)))))),IF(E159="Individual / HUF",INDEX('TDS Rates'!$I$6:$I$40,MATCH(G159,'TDS Rates'!$B$6:$B$40,0)),IF(E159="Company",INDEX('TDS Rates'!$J$6:$J$40,MATCH(G159,'TDS Rates'!$B$6:$B$40,0)),INDEX('TDS Rates'!$K$6:$K$40,MATCH(G159,'TDS Rates'!$B$6:$B$40,0))))),0))</f>
        <v/>
      </c>
      <c r="P159" s="34" t="str">
        <f aca="false">IF(OR(G159="",H159=""),"",ROUND(N159*O159,0))</f>
        <v/>
      </c>
      <c r="Q159" s="27" t="str">
        <f aca="false">IF(OR(G159="",H159=""),"",IFERROR(IF(INDEX('TDS Rates'!$E$6:$E$40,MATCH(G159,'TDS Rates'!$B$6:$B$40,0))="Form 141",EOMONTH(IF(R159="",B159,R159),0)+30,IF(MONTH(IF(R159="",B159,R159))=3,DATE(YEAR(IF(R159="",B159,R159)),4,30),DATE(YEAR(IF(R159="",B159,R159)),MONTH(IF(R159="",B159,R159))+1,7))),""))</f>
        <v/>
      </c>
      <c r="R159" s="17"/>
      <c r="S159" s="17"/>
      <c r="T159" s="5"/>
      <c r="U159" s="28" t="str">
        <f aca="false">IF(OR(G159="",H159=""),"",IF(P159=0,0,IF(IF(R159="",Settings!$C$9,R159)&lt;=B159,0,((YEAR(IF(R159="",Settings!$C$9,R159))-YEAR(B159))*12+MONTH(IF(R159="",Settings!$C$9,R159))-MONTH(B159)+1))))</f>
        <v/>
      </c>
      <c r="V159" s="29" t="str">
        <f aca="false">IF(OR(G159="",H159=""),"",ROUND(P159*Settings!$C$10*U159,0))</f>
        <v/>
      </c>
      <c r="W159" s="28" t="str">
        <f aca="false">IF(OR(G159="",H159=""),"",IF(OR(P159=0,R159=""),0,IF(IF(S159="",Settings!$C$9,S159)&lt;=Q159,0,((YEAR(IF(S159="",Settings!$C$9,S159))-YEAR(R159))*12+MONTH(IF(S159="",Settings!$C$9,S159))-MONTH(R159)+1))))</f>
        <v/>
      </c>
      <c r="X159" s="29" t="str">
        <f aca="false">IF(OR(G159="",H159=""),"",ROUND(P159*Settings!$C$11*W159,0))</f>
        <v/>
      </c>
      <c r="Y159" s="29" t="str">
        <f aca="false">IF(OR(G159="",H159=""),"",V159+X159)</f>
        <v/>
      </c>
      <c r="Z159" s="7" t="str">
        <f aca="false">IF(OR(G159="",H159=""),"",IF(P159=0,"Below threshold",IF(R159="","Not yet deducted",IF(S159="",IF(Settings!$C$9&gt;Q159,"Overdue — pay now","Deducted, due "&amp;TEXT(Q159,"dd-mmm")),IF(S159&lt;=Q159,IF(N(U159)&gt;0,"Deducted late, paid on time","Paid on time"),"Paid late")))))</f>
        <v/>
      </c>
      <c r="AA159" s="35" t="str">
        <f aca="false">IF(OR(G159="",H159=""),"",IF(D159&lt;&gt;"",UPPER(TRIM(D159)),UPPER(TRIM(C159))))</f>
        <v/>
      </c>
    </row>
    <row r="160" customFormat="false" ht="15" hidden="false" customHeight="false" outlineLevel="0" collapsed="false">
      <c r="B160" s="17"/>
      <c r="C160" s="5"/>
      <c r="D160" s="5"/>
      <c r="E160" s="5"/>
      <c r="F160" s="5"/>
      <c r="G160" s="5"/>
      <c r="H160" s="16"/>
      <c r="I160" s="7" t="str">
        <f aca="false">IF(OR(G160="",H160=""),"",IFERROR(INDEX('TDS Rates'!$D$6:$D$40,MATCH(G160,'TDS Rates'!$B$6:$B$40,0)),"Check nature"))</f>
        <v/>
      </c>
      <c r="J160" s="7" t="str">
        <f aca="false">IF(OR(G160="",H160=""),"",IFERROR(INDEX('TDS Rates'!$C$6:$C$40,MATCH(G160,'TDS Rates'!$B$6:$B$40,0)),""))</f>
        <v/>
      </c>
      <c r="K160" s="7" t="str">
        <f aca="false">IF(OR(G160="",H160=""),"",IFERROR(INDEX('TDS Rates'!$E$6:$E$40,MATCH(G160,'TDS Rates'!$B$6:$B$40,0)),""))</f>
        <v/>
      </c>
      <c r="L160" s="29" t="str">
        <f aca="false">IF(OR(G160="",H160=""),"",SUMIFS(H$6:H159,AA$6:AA159,AA160,G$6:G159,G160))</f>
        <v/>
      </c>
      <c r="M160" s="29" t="str">
        <f aca="false">IF(OR(G160="",H160=""),"",SUMIFS(H$6:H159,AA$6:AA159,AA160,G$6:G159,G160,N$6:N159,0))</f>
        <v/>
      </c>
      <c r="N160" s="29" t="str">
        <f aca="false">IF(OR(G160="",H160=""),"",IFERROR(IF(INDEX('TDS Rates'!$F$6:$F$40,MATCH(G160,'TDS Rates'!$B$6:$B$40,0))="NONE",H160,IF(INDEX('TDS Rates'!$F$6:$F$40,MATCH(G160,'TDS Rates'!$B$6:$B$40,0))="PER",IF(H160&gt;INDEX('TDS Rates'!$G$6:$G$40,MATCH(G160,'TDS Rates'!$B$6:$B$40,0)),H160,0),IF(INDEX('TDS Rates'!$F$6:$F$40,MATCH(G160,'TDS Rates'!$B$6:$B$40,0))="EXCESS",MAX(0,L160+H160-INDEX('TDS Rates'!$H$6:$H$40,MATCH(G160,'TDS Rates'!$B$6:$B$40,0)))-MAX(0,L160-INDEX('TDS Rates'!$H$6:$H$40,MATCH(G160,'TDS Rates'!$B$6:$B$40,0))),IF(INDEX('TDS Rates'!$F$6:$F$40,MATCH(G160,'TDS Rates'!$B$6:$B$40,0))="SA",IF(L160+H160&gt;INDEX('TDS Rates'!$H$6:$H$40,MATCH(G160,'TDS Rates'!$B$6:$B$40,0)),H160+M160,IF(H160&gt;INDEX('TDS Rates'!$G$6:$G$40,MATCH(G160,'TDS Rates'!$B$6:$B$40,0)),H160,0)),IF(L160+H160&gt;INDEX('TDS Rates'!$H$6:$H$40,MATCH(G160,'TDS Rates'!$B$6:$B$40,0)),H160+M160,0))))),0))</f>
        <v/>
      </c>
      <c r="O160" s="33" t="str">
        <f aca="false">IF(OR(G160="",H160=""),"",IFERROR(IF(F160="No",IF(INDEX('TDS Rates'!$C$6:$C$40,MATCH(G160,'TDS Rates'!$B$6:$B$40,0))="194Q",Settings!$C$14,MAX(Settings!$C$13,IF(E160="Individual / HUF",INDEX('TDS Rates'!$I$6:$I$40,MATCH(G160,'TDS Rates'!$B$6:$B$40,0)),IF(E160="Company",INDEX('TDS Rates'!$J$6:$J$40,MATCH(G160,'TDS Rates'!$B$6:$B$40,0)),INDEX('TDS Rates'!$K$6:$K$40,MATCH(G160,'TDS Rates'!$B$6:$B$40,0)))))),IF(E160="Individual / HUF",INDEX('TDS Rates'!$I$6:$I$40,MATCH(G160,'TDS Rates'!$B$6:$B$40,0)),IF(E160="Company",INDEX('TDS Rates'!$J$6:$J$40,MATCH(G160,'TDS Rates'!$B$6:$B$40,0)),INDEX('TDS Rates'!$K$6:$K$40,MATCH(G160,'TDS Rates'!$B$6:$B$40,0))))),0))</f>
        <v/>
      </c>
      <c r="P160" s="34" t="str">
        <f aca="false">IF(OR(G160="",H160=""),"",ROUND(N160*O160,0))</f>
        <v/>
      </c>
      <c r="Q160" s="27" t="str">
        <f aca="false">IF(OR(G160="",H160=""),"",IFERROR(IF(INDEX('TDS Rates'!$E$6:$E$40,MATCH(G160,'TDS Rates'!$B$6:$B$40,0))="Form 141",EOMONTH(IF(R160="",B160,R160),0)+30,IF(MONTH(IF(R160="",B160,R160))=3,DATE(YEAR(IF(R160="",B160,R160)),4,30),DATE(YEAR(IF(R160="",B160,R160)),MONTH(IF(R160="",B160,R160))+1,7))),""))</f>
        <v/>
      </c>
      <c r="R160" s="17"/>
      <c r="S160" s="17"/>
      <c r="T160" s="5"/>
      <c r="U160" s="28" t="str">
        <f aca="false">IF(OR(G160="",H160=""),"",IF(P160=0,0,IF(IF(R160="",Settings!$C$9,R160)&lt;=B160,0,((YEAR(IF(R160="",Settings!$C$9,R160))-YEAR(B160))*12+MONTH(IF(R160="",Settings!$C$9,R160))-MONTH(B160)+1))))</f>
        <v/>
      </c>
      <c r="V160" s="29" t="str">
        <f aca="false">IF(OR(G160="",H160=""),"",ROUND(P160*Settings!$C$10*U160,0))</f>
        <v/>
      </c>
      <c r="W160" s="28" t="str">
        <f aca="false">IF(OR(G160="",H160=""),"",IF(OR(P160=0,R160=""),0,IF(IF(S160="",Settings!$C$9,S160)&lt;=Q160,0,((YEAR(IF(S160="",Settings!$C$9,S160))-YEAR(R160))*12+MONTH(IF(S160="",Settings!$C$9,S160))-MONTH(R160)+1))))</f>
        <v/>
      </c>
      <c r="X160" s="29" t="str">
        <f aca="false">IF(OR(G160="",H160=""),"",ROUND(P160*Settings!$C$11*W160,0))</f>
        <v/>
      </c>
      <c r="Y160" s="29" t="str">
        <f aca="false">IF(OR(G160="",H160=""),"",V160+X160)</f>
        <v/>
      </c>
      <c r="Z160" s="7" t="str">
        <f aca="false">IF(OR(G160="",H160=""),"",IF(P160=0,"Below threshold",IF(R160="","Not yet deducted",IF(S160="",IF(Settings!$C$9&gt;Q160,"Overdue — pay now","Deducted, due "&amp;TEXT(Q160,"dd-mmm")),IF(S160&lt;=Q160,IF(N(U160)&gt;0,"Deducted late, paid on time","Paid on time"),"Paid late")))))</f>
        <v/>
      </c>
      <c r="AA160" s="35" t="str">
        <f aca="false">IF(OR(G160="",H160=""),"",IF(D160&lt;&gt;"",UPPER(TRIM(D160)),UPPER(TRIM(C160))))</f>
        <v/>
      </c>
    </row>
    <row r="161" customFormat="false" ht="15" hidden="false" customHeight="false" outlineLevel="0" collapsed="false">
      <c r="B161" s="17"/>
      <c r="C161" s="5"/>
      <c r="D161" s="5"/>
      <c r="E161" s="5"/>
      <c r="F161" s="5"/>
      <c r="G161" s="5"/>
      <c r="H161" s="16"/>
      <c r="I161" s="7" t="str">
        <f aca="false">IF(OR(G161="",H161=""),"",IFERROR(INDEX('TDS Rates'!$D$6:$D$40,MATCH(G161,'TDS Rates'!$B$6:$B$40,0)),"Check nature"))</f>
        <v/>
      </c>
      <c r="J161" s="7" t="str">
        <f aca="false">IF(OR(G161="",H161=""),"",IFERROR(INDEX('TDS Rates'!$C$6:$C$40,MATCH(G161,'TDS Rates'!$B$6:$B$40,0)),""))</f>
        <v/>
      </c>
      <c r="K161" s="7" t="str">
        <f aca="false">IF(OR(G161="",H161=""),"",IFERROR(INDEX('TDS Rates'!$E$6:$E$40,MATCH(G161,'TDS Rates'!$B$6:$B$40,0)),""))</f>
        <v/>
      </c>
      <c r="L161" s="29" t="str">
        <f aca="false">IF(OR(G161="",H161=""),"",SUMIFS(H$6:H160,AA$6:AA160,AA161,G$6:G160,G161))</f>
        <v/>
      </c>
      <c r="M161" s="29" t="str">
        <f aca="false">IF(OR(G161="",H161=""),"",SUMIFS(H$6:H160,AA$6:AA160,AA161,G$6:G160,G161,N$6:N160,0))</f>
        <v/>
      </c>
      <c r="N161" s="29" t="str">
        <f aca="false">IF(OR(G161="",H161=""),"",IFERROR(IF(INDEX('TDS Rates'!$F$6:$F$40,MATCH(G161,'TDS Rates'!$B$6:$B$40,0))="NONE",H161,IF(INDEX('TDS Rates'!$F$6:$F$40,MATCH(G161,'TDS Rates'!$B$6:$B$40,0))="PER",IF(H161&gt;INDEX('TDS Rates'!$G$6:$G$40,MATCH(G161,'TDS Rates'!$B$6:$B$40,0)),H161,0),IF(INDEX('TDS Rates'!$F$6:$F$40,MATCH(G161,'TDS Rates'!$B$6:$B$40,0))="EXCESS",MAX(0,L161+H161-INDEX('TDS Rates'!$H$6:$H$40,MATCH(G161,'TDS Rates'!$B$6:$B$40,0)))-MAX(0,L161-INDEX('TDS Rates'!$H$6:$H$40,MATCH(G161,'TDS Rates'!$B$6:$B$40,0))),IF(INDEX('TDS Rates'!$F$6:$F$40,MATCH(G161,'TDS Rates'!$B$6:$B$40,0))="SA",IF(L161+H161&gt;INDEX('TDS Rates'!$H$6:$H$40,MATCH(G161,'TDS Rates'!$B$6:$B$40,0)),H161+M161,IF(H161&gt;INDEX('TDS Rates'!$G$6:$G$40,MATCH(G161,'TDS Rates'!$B$6:$B$40,0)),H161,0)),IF(L161+H161&gt;INDEX('TDS Rates'!$H$6:$H$40,MATCH(G161,'TDS Rates'!$B$6:$B$40,0)),H161+M161,0))))),0))</f>
        <v/>
      </c>
      <c r="O161" s="33" t="str">
        <f aca="false">IF(OR(G161="",H161=""),"",IFERROR(IF(F161="No",IF(INDEX('TDS Rates'!$C$6:$C$40,MATCH(G161,'TDS Rates'!$B$6:$B$40,0))="194Q",Settings!$C$14,MAX(Settings!$C$13,IF(E161="Individual / HUF",INDEX('TDS Rates'!$I$6:$I$40,MATCH(G161,'TDS Rates'!$B$6:$B$40,0)),IF(E161="Company",INDEX('TDS Rates'!$J$6:$J$40,MATCH(G161,'TDS Rates'!$B$6:$B$40,0)),INDEX('TDS Rates'!$K$6:$K$40,MATCH(G161,'TDS Rates'!$B$6:$B$40,0)))))),IF(E161="Individual / HUF",INDEX('TDS Rates'!$I$6:$I$40,MATCH(G161,'TDS Rates'!$B$6:$B$40,0)),IF(E161="Company",INDEX('TDS Rates'!$J$6:$J$40,MATCH(G161,'TDS Rates'!$B$6:$B$40,0)),INDEX('TDS Rates'!$K$6:$K$40,MATCH(G161,'TDS Rates'!$B$6:$B$40,0))))),0))</f>
        <v/>
      </c>
      <c r="P161" s="34" t="str">
        <f aca="false">IF(OR(G161="",H161=""),"",ROUND(N161*O161,0))</f>
        <v/>
      </c>
      <c r="Q161" s="27" t="str">
        <f aca="false">IF(OR(G161="",H161=""),"",IFERROR(IF(INDEX('TDS Rates'!$E$6:$E$40,MATCH(G161,'TDS Rates'!$B$6:$B$40,0))="Form 141",EOMONTH(IF(R161="",B161,R161),0)+30,IF(MONTH(IF(R161="",B161,R161))=3,DATE(YEAR(IF(R161="",B161,R161)),4,30),DATE(YEAR(IF(R161="",B161,R161)),MONTH(IF(R161="",B161,R161))+1,7))),""))</f>
        <v/>
      </c>
      <c r="R161" s="17"/>
      <c r="S161" s="17"/>
      <c r="T161" s="5"/>
      <c r="U161" s="28" t="str">
        <f aca="false">IF(OR(G161="",H161=""),"",IF(P161=0,0,IF(IF(R161="",Settings!$C$9,R161)&lt;=B161,0,((YEAR(IF(R161="",Settings!$C$9,R161))-YEAR(B161))*12+MONTH(IF(R161="",Settings!$C$9,R161))-MONTH(B161)+1))))</f>
        <v/>
      </c>
      <c r="V161" s="29" t="str">
        <f aca="false">IF(OR(G161="",H161=""),"",ROUND(P161*Settings!$C$10*U161,0))</f>
        <v/>
      </c>
      <c r="W161" s="28" t="str">
        <f aca="false">IF(OR(G161="",H161=""),"",IF(OR(P161=0,R161=""),0,IF(IF(S161="",Settings!$C$9,S161)&lt;=Q161,0,((YEAR(IF(S161="",Settings!$C$9,S161))-YEAR(R161))*12+MONTH(IF(S161="",Settings!$C$9,S161))-MONTH(R161)+1))))</f>
        <v/>
      </c>
      <c r="X161" s="29" t="str">
        <f aca="false">IF(OR(G161="",H161=""),"",ROUND(P161*Settings!$C$11*W161,0))</f>
        <v/>
      </c>
      <c r="Y161" s="29" t="str">
        <f aca="false">IF(OR(G161="",H161=""),"",V161+X161)</f>
        <v/>
      </c>
      <c r="Z161" s="7" t="str">
        <f aca="false">IF(OR(G161="",H161=""),"",IF(P161=0,"Below threshold",IF(R161="","Not yet deducted",IF(S161="",IF(Settings!$C$9&gt;Q161,"Overdue — pay now","Deducted, due "&amp;TEXT(Q161,"dd-mmm")),IF(S161&lt;=Q161,IF(N(U161)&gt;0,"Deducted late, paid on time","Paid on time"),"Paid late")))))</f>
        <v/>
      </c>
      <c r="AA161" s="35" t="str">
        <f aca="false">IF(OR(G161="",H161=""),"",IF(D161&lt;&gt;"",UPPER(TRIM(D161)),UPPER(TRIM(C161))))</f>
        <v/>
      </c>
    </row>
    <row r="162" customFormat="false" ht="15" hidden="false" customHeight="false" outlineLevel="0" collapsed="false">
      <c r="B162" s="17"/>
      <c r="C162" s="5"/>
      <c r="D162" s="5"/>
      <c r="E162" s="5"/>
      <c r="F162" s="5"/>
      <c r="G162" s="5"/>
      <c r="H162" s="16"/>
      <c r="I162" s="7" t="str">
        <f aca="false">IF(OR(G162="",H162=""),"",IFERROR(INDEX('TDS Rates'!$D$6:$D$40,MATCH(G162,'TDS Rates'!$B$6:$B$40,0)),"Check nature"))</f>
        <v/>
      </c>
      <c r="J162" s="7" t="str">
        <f aca="false">IF(OR(G162="",H162=""),"",IFERROR(INDEX('TDS Rates'!$C$6:$C$40,MATCH(G162,'TDS Rates'!$B$6:$B$40,0)),""))</f>
        <v/>
      </c>
      <c r="K162" s="7" t="str">
        <f aca="false">IF(OR(G162="",H162=""),"",IFERROR(INDEX('TDS Rates'!$E$6:$E$40,MATCH(G162,'TDS Rates'!$B$6:$B$40,0)),""))</f>
        <v/>
      </c>
      <c r="L162" s="29" t="str">
        <f aca="false">IF(OR(G162="",H162=""),"",SUMIFS(H$6:H161,AA$6:AA161,AA162,G$6:G161,G162))</f>
        <v/>
      </c>
      <c r="M162" s="29" t="str">
        <f aca="false">IF(OR(G162="",H162=""),"",SUMIFS(H$6:H161,AA$6:AA161,AA162,G$6:G161,G162,N$6:N161,0))</f>
        <v/>
      </c>
      <c r="N162" s="29" t="str">
        <f aca="false">IF(OR(G162="",H162=""),"",IFERROR(IF(INDEX('TDS Rates'!$F$6:$F$40,MATCH(G162,'TDS Rates'!$B$6:$B$40,0))="NONE",H162,IF(INDEX('TDS Rates'!$F$6:$F$40,MATCH(G162,'TDS Rates'!$B$6:$B$40,0))="PER",IF(H162&gt;INDEX('TDS Rates'!$G$6:$G$40,MATCH(G162,'TDS Rates'!$B$6:$B$40,0)),H162,0),IF(INDEX('TDS Rates'!$F$6:$F$40,MATCH(G162,'TDS Rates'!$B$6:$B$40,0))="EXCESS",MAX(0,L162+H162-INDEX('TDS Rates'!$H$6:$H$40,MATCH(G162,'TDS Rates'!$B$6:$B$40,0)))-MAX(0,L162-INDEX('TDS Rates'!$H$6:$H$40,MATCH(G162,'TDS Rates'!$B$6:$B$40,0))),IF(INDEX('TDS Rates'!$F$6:$F$40,MATCH(G162,'TDS Rates'!$B$6:$B$40,0))="SA",IF(L162+H162&gt;INDEX('TDS Rates'!$H$6:$H$40,MATCH(G162,'TDS Rates'!$B$6:$B$40,0)),H162+M162,IF(H162&gt;INDEX('TDS Rates'!$G$6:$G$40,MATCH(G162,'TDS Rates'!$B$6:$B$40,0)),H162,0)),IF(L162+H162&gt;INDEX('TDS Rates'!$H$6:$H$40,MATCH(G162,'TDS Rates'!$B$6:$B$40,0)),H162+M162,0))))),0))</f>
        <v/>
      </c>
      <c r="O162" s="33" t="str">
        <f aca="false">IF(OR(G162="",H162=""),"",IFERROR(IF(F162="No",IF(INDEX('TDS Rates'!$C$6:$C$40,MATCH(G162,'TDS Rates'!$B$6:$B$40,0))="194Q",Settings!$C$14,MAX(Settings!$C$13,IF(E162="Individual / HUF",INDEX('TDS Rates'!$I$6:$I$40,MATCH(G162,'TDS Rates'!$B$6:$B$40,0)),IF(E162="Company",INDEX('TDS Rates'!$J$6:$J$40,MATCH(G162,'TDS Rates'!$B$6:$B$40,0)),INDEX('TDS Rates'!$K$6:$K$40,MATCH(G162,'TDS Rates'!$B$6:$B$40,0)))))),IF(E162="Individual / HUF",INDEX('TDS Rates'!$I$6:$I$40,MATCH(G162,'TDS Rates'!$B$6:$B$40,0)),IF(E162="Company",INDEX('TDS Rates'!$J$6:$J$40,MATCH(G162,'TDS Rates'!$B$6:$B$40,0)),INDEX('TDS Rates'!$K$6:$K$40,MATCH(G162,'TDS Rates'!$B$6:$B$40,0))))),0))</f>
        <v/>
      </c>
      <c r="P162" s="34" t="str">
        <f aca="false">IF(OR(G162="",H162=""),"",ROUND(N162*O162,0))</f>
        <v/>
      </c>
      <c r="Q162" s="27" t="str">
        <f aca="false">IF(OR(G162="",H162=""),"",IFERROR(IF(INDEX('TDS Rates'!$E$6:$E$40,MATCH(G162,'TDS Rates'!$B$6:$B$40,0))="Form 141",EOMONTH(IF(R162="",B162,R162),0)+30,IF(MONTH(IF(R162="",B162,R162))=3,DATE(YEAR(IF(R162="",B162,R162)),4,30),DATE(YEAR(IF(R162="",B162,R162)),MONTH(IF(R162="",B162,R162))+1,7))),""))</f>
        <v/>
      </c>
      <c r="R162" s="17"/>
      <c r="S162" s="17"/>
      <c r="T162" s="5"/>
      <c r="U162" s="28" t="str">
        <f aca="false">IF(OR(G162="",H162=""),"",IF(P162=0,0,IF(IF(R162="",Settings!$C$9,R162)&lt;=B162,0,((YEAR(IF(R162="",Settings!$C$9,R162))-YEAR(B162))*12+MONTH(IF(R162="",Settings!$C$9,R162))-MONTH(B162)+1))))</f>
        <v/>
      </c>
      <c r="V162" s="29" t="str">
        <f aca="false">IF(OR(G162="",H162=""),"",ROUND(P162*Settings!$C$10*U162,0))</f>
        <v/>
      </c>
      <c r="W162" s="28" t="str">
        <f aca="false">IF(OR(G162="",H162=""),"",IF(OR(P162=0,R162=""),0,IF(IF(S162="",Settings!$C$9,S162)&lt;=Q162,0,((YEAR(IF(S162="",Settings!$C$9,S162))-YEAR(R162))*12+MONTH(IF(S162="",Settings!$C$9,S162))-MONTH(R162)+1))))</f>
        <v/>
      </c>
      <c r="X162" s="29" t="str">
        <f aca="false">IF(OR(G162="",H162=""),"",ROUND(P162*Settings!$C$11*W162,0))</f>
        <v/>
      </c>
      <c r="Y162" s="29" t="str">
        <f aca="false">IF(OR(G162="",H162=""),"",V162+X162)</f>
        <v/>
      </c>
      <c r="Z162" s="7" t="str">
        <f aca="false">IF(OR(G162="",H162=""),"",IF(P162=0,"Below threshold",IF(R162="","Not yet deducted",IF(S162="",IF(Settings!$C$9&gt;Q162,"Overdue — pay now","Deducted, due "&amp;TEXT(Q162,"dd-mmm")),IF(S162&lt;=Q162,IF(N(U162)&gt;0,"Deducted late, paid on time","Paid on time"),"Paid late")))))</f>
        <v/>
      </c>
      <c r="AA162" s="35" t="str">
        <f aca="false">IF(OR(G162="",H162=""),"",IF(D162&lt;&gt;"",UPPER(TRIM(D162)),UPPER(TRIM(C162))))</f>
        <v/>
      </c>
    </row>
    <row r="163" customFormat="false" ht="15" hidden="false" customHeight="false" outlineLevel="0" collapsed="false">
      <c r="B163" s="17"/>
      <c r="C163" s="5"/>
      <c r="D163" s="5"/>
      <c r="E163" s="5"/>
      <c r="F163" s="5"/>
      <c r="G163" s="5"/>
      <c r="H163" s="16"/>
      <c r="I163" s="7" t="str">
        <f aca="false">IF(OR(G163="",H163=""),"",IFERROR(INDEX('TDS Rates'!$D$6:$D$40,MATCH(G163,'TDS Rates'!$B$6:$B$40,0)),"Check nature"))</f>
        <v/>
      </c>
      <c r="J163" s="7" t="str">
        <f aca="false">IF(OR(G163="",H163=""),"",IFERROR(INDEX('TDS Rates'!$C$6:$C$40,MATCH(G163,'TDS Rates'!$B$6:$B$40,0)),""))</f>
        <v/>
      </c>
      <c r="K163" s="7" t="str">
        <f aca="false">IF(OR(G163="",H163=""),"",IFERROR(INDEX('TDS Rates'!$E$6:$E$40,MATCH(G163,'TDS Rates'!$B$6:$B$40,0)),""))</f>
        <v/>
      </c>
      <c r="L163" s="29" t="str">
        <f aca="false">IF(OR(G163="",H163=""),"",SUMIFS(H$6:H162,AA$6:AA162,AA163,G$6:G162,G163))</f>
        <v/>
      </c>
      <c r="M163" s="29" t="str">
        <f aca="false">IF(OR(G163="",H163=""),"",SUMIFS(H$6:H162,AA$6:AA162,AA163,G$6:G162,G163,N$6:N162,0))</f>
        <v/>
      </c>
      <c r="N163" s="29" t="str">
        <f aca="false">IF(OR(G163="",H163=""),"",IFERROR(IF(INDEX('TDS Rates'!$F$6:$F$40,MATCH(G163,'TDS Rates'!$B$6:$B$40,0))="NONE",H163,IF(INDEX('TDS Rates'!$F$6:$F$40,MATCH(G163,'TDS Rates'!$B$6:$B$40,0))="PER",IF(H163&gt;INDEX('TDS Rates'!$G$6:$G$40,MATCH(G163,'TDS Rates'!$B$6:$B$40,0)),H163,0),IF(INDEX('TDS Rates'!$F$6:$F$40,MATCH(G163,'TDS Rates'!$B$6:$B$40,0))="EXCESS",MAX(0,L163+H163-INDEX('TDS Rates'!$H$6:$H$40,MATCH(G163,'TDS Rates'!$B$6:$B$40,0)))-MAX(0,L163-INDEX('TDS Rates'!$H$6:$H$40,MATCH(G163,'TDS Rates'!$B$6:$B$40,0))),IF(INDEX('TDS Rates'!$F$6:$F$40,MATCH(G163,'TDS Rates'!$B$6:$B$40,0))="SA",IF(L163+H163&gt;INDEX('TDS Rates'!$H$6:$H$40,MATCH(G163,'TDS Rates'!$B$6:$B$40,0)),H163+M163,IF(H163&gt;INDEX('TDS Rates'!$G$6:$G$40,MATCH(G163,'TDS Rates'!$B$6:$B$40,0)),H163,0)),IF(L163+H163&gt;INDEX('TDS Rates'!$H$6:$H$40,MATCH(G163,'TDS Rates'!$B$6:$B$40,0)),H163+M163,0))))),0))</f>
        <v/>
      </c>
      <c r="O163" s="33" t="str">
        <f aca="false">IF(OR(G163="",H163=""),"",IFERROR(IF(F163="No",IF(INDEX('TDS Rates'!$C$6:$C$40,MATCH(G163,'TDS Rates'!$B$6:$B$40,0))="194Q",Settings!$C$14,MAX(Settings!$C$13,IF(E163="Individual / HUF",INDEX('TDS Rates'!$I$6:$I$40,MATCH(G163,'TDS Rates'!$B$6:$B$40,0)),IF(E163="Company",INDEX('TDS Rates'!$J$6:$J$40,MATCH(G163,'TDS Rates'!$B$6:$B$40,0)),INDEX('TDS Rates'!$K$6:$K$40,MATCH(G163,'TDS Rates'!$B$6:$B$40,0)))))),IF(E163="Individual / HUF",INDEX('TDS Rates'!$I$6:$I$40,MATCH(G163,'TDS Rates'!$B$6:$B$40,0)),IF(E163="Company",INDEX('TDS Rates'!$J$6:$J$40,MATCH(G163,'TDS Rates'!$B$6:$B$40,0)),INDEX('TDS Rates'!$K$6:$K$40,MATCH(G163,'TDS Rates'!$B$6:$B$40,0))))),0))</f>
        <v/>
      </c>
      <c r="P163" s="34" t="str">
        <f aca="false">IF(OR(G163="",H163=""),"",ROUND(N163*O163,0))</f>
        <v/>
      </c>
      <c r="Q163" s="27" t="str">
        <f aca="false">IF(OR(G163="",H163=""),"",IFERROR(IF(INDEX('TDS Rates'!$E$6:$E$40,MATCH(G163,'TDS Rates'!$B$6:$B$40,0))="Form 141",EOMONTH(IF(R163="",B163,R163),0)+30,IF(MONTH(IF(R163="",B163,R163))=3,DATE(YEAR(IF(R163="",B163,R163)),4,30),DATE(YEAR(IF(R163="",B163,R163)),MONTH(IF(R163="",B163,R163))+1,7))),""))</f>
        <v/>
      </c>
      <c r="R163" s="17"/>
      <c r="S163" s="17"/>
      <c r="T163" s="5"/>
      <c r="U163" s="28" t="str">
        <f aca="false">IF(OR(G163="",H163=""),"",IF(P163=0,0,IF(IF(R163="",Settings!$C$9,R163)&lt;=B163,0,((YEAR(IF(R163="",Settings!$C$9,R163))-YEAR(B163))*12+MONTH(IF(R163="",Settings!$C$9,R163))-MONTH(B163)+1))))</f>
        <v/>
      </c>
      <c r="V163" s="29" t="str">
        <f aca="false">IF(OR(G163="",H163=""),"",ROUND(P163*Settings!$C$10*U163,0))</f>
        <v/>
      </c>
      <c r="W163" s="28" t="str">
        <f aca="false">IF(OR(G163="",H163=""),"",IF(OR(P163=0,R163=""),0,IF(IF(S163="",Settings!$C$9,S163)&lt;=Q163,0,((YEAR(IF(S163="",Settings!$C$9,S163))-YEAR(R163))*12+MONTH(IF(S163="",Settings!$C$9,S163))-MONTH(R163)+1))))</f>
        <v/>
      </c>
      <c r="X163" s="29" t="str">
        <f aca="false">IF(OR(G163="",H163=""),"",ROUND(P163*Settings!$C$11*W163,0))</f>
        <v/>
      </c>
      <c r="Y163" s="29" t="str">
        <f aca="false">IF(OR(G163="",H163=""),"",V163+X163)</f>
        <v/>
      </c>
      <c r="Z163" s="7" t="str">
        <f aca="false">IF(OR(G163="",H163=""),"",IF(P163=0,"Below threshold",IF(R163="","Not yet deducted",IF(S163="",IF(Settings!$C$9&gt;Q163,"Overdue — pay now","Deducted, due "&amp;TEXT(Q163,"dd-mmm")),IF(S163&lt;=Q163,IF(N(U163)&gt;0,"Deducted late, paid on time","Paid on time"),"Paid late")))))</f>
        <v/>
      </c>
      <c r="AA163" s="35" t="str">
        <f aca="false">IF(OR(G163="",H163=""),"",IF(D163&lt;&gt;"",UPPER(TRIM(D163)),UPPER(TRIM(C163))))</f>
        <v/>
      </c>
    </row>
    <row r="164" customFormat="false" ht="15" hidden="false" customHeight="false" outlineLevel="0" collapsed="false">
      <c r="B164" s="17"/>
      <c r="C164" s="5"/>
      <c r="D164" s="5"/>
      <c r="E164" s="5"/>
      <c r="F164" s="5"/>
      <c r="G164" s="5"/>
      <c r="H164" s="16"/>
      <c r="I164" s="7" t="str">
        <f aca="false">IF(OR(G164="",H164=""),"",IFERROR(INDEX('TDS Rates'!$D$6:$D$40,MATCH(G164,'TDS Rates'!$B$6:$B$40,0)),"Check nature"))</f>
        <v/>
      </c>
      <c r="J164" s="7" t="str">
        <f aca="false">IF(OR(G164="",H164=""),"",IFERROR(INDEX('TDS Rates'!$C$6:$C$40,MATCH(G164,'TDS Rates'!$B$6:$B$40,0)),""))</f>
        <v/>
      </c>
      <c r="K164" s="7" t="str">
        <f aca="false">IF(OR(G164="",H164=""),"",IFERROR(INDEX('TDS Rates'!$E$6:$E$40,MATCH(G164,'TDS Rates'!$B$6:$B$40,0)),""))</f>
        <v/>
      </c>
      <c r="L164" s="29" t="str">
        <f aca="false">IF(OR(G164="",H164=""),"",SUMIFS(H$6:H163,AA$6:AA163,AA164,G$6:G163,G164))</f>
        <v/>
      </c>
      <c r="M164" s="29" t="str">
        <f aca="false">IF(OR(G164="",H164=""),"",SUMIFS(H$6:H163,AA$6:AA163,AA164,G$6:G163,G164,N$6:N163,0))</f>
        <v/>
      </c>
      <c r="N164" s="29" t="str">
        <f aca="false">IF(OR(G164="",H164=""),"",IFERROR(IF(INDEX('TDS Rates'!$F$6:$F$40,MATCH(G164,'TDS Rates'!$B$6:$B$40,0))="NONE",H164,IF(INDEX('TDS Rates'!$F$6:$F$40,MATCH(G164,'TDS Rates'!$B$6:$B$40,0))="PER",IF(H164&gt;INDEX('TDS Rates'!$G$6:$G$40,MATCH(G164,'TDS Rates'!$B$6:$B$40,0)),H164,0),IF(INDEX('TDS Rates'!$F$6:$F$40,MATCH(G164,'TDS Rates'!$B$6:$B$40,0))="EXCESS",MAX(0,L164+H164-INDEX('TDS Rates'!$H$6:$H$40,MATCH(G164,'TDS Rates'!$B$6:$B$40,0)))-MAX(0,L164-INDEX('TDS Rates'!$H$6:$H$40,MATCH(G164,'TDS Rates'!$B$6:$B$40,0))),IF(INDEX('TDS Rates'!$F$6:$F$40,MATCH(G164,'TDS Rates'!$B$6:$B$40,0))="SA",IF(L164+H164&gt;INDEX('TDS Rates'!$H$6:$H$40,MATCH(G164,'TDS Rates'!$B$6:$B$40,0)),H164+M164,IF(H164&gt;INDEX('TDS Rates'!$G$6:$G$40,MATCH(G164,'TDS Rates'!$B$6:$B$40,0)),H164,0)),IF(L164+H164&gt;INDEX('TDS Rates'!$H$6:$H$40,MATCH(G164,'TDS Rates'!$B$6:$B$40,0)),H164+M164,0))))),0))</f>
        <v/>
      </c>
      <c r="O164" s="33" t="str">
        <f aca="false">IF(OR(G164="",H164=""),"",IFERROR(IF(F164="No",IF(INDEX('TDS Rates'!$C$6:$C$40,MATCH(G164,'TDS Rates'!$B$6:$B$40,0))="194Q",Settings!$C$14,MAX(Settings!$C$13,IF(E164="Individual / HUF",INDEX('TDS Rates'!$I$6:$I$40,MATCH(G164,'TDS Rates'!$B$6:$B$40,0)),IF(E164="Company",INDEX('TDS Rates'!$J$6:$J$40,MATCH(G164,'TDS Rates'!$B$6:$B$40,0)),INDEX('TDS Rates'!$K$6:$K$40,MATCH(G164,'TDS Rates'!$B$6:$B$40,0)))))),IF(E164="Individual / HUF",INDEX('TDS Rates'!$I$6:$I$40,MATCH(G164,'TDS Rates'!$B$6:$B$40,0)),IF(E164="Company",INDEX('TDS Rates'!$J$6:$J$40,MATCH(G164,'TDS Rates'!$B$6:$B$40,0)),INDEX('TDS Rates'!$K$6:$K$40,MATCH(G164,'TDS Rates'!$B$6:$B$40,0))))),0))</f>
        <v/>
      </c>
      <c r="P164" s="34" t="str">
        <f aca="false">IF(OR(G164="",H164=""),"",ROUND(N164*O164,0))</f>
        <v/>
      </c>
      <c r="Q164" s="27" t="str">
        <f aca="false">IF(OR(G164="",H164=""),"",IFERROR(IF(INDEX('TDS Rates'!$E$6:$E$40,MATCH(G164,'TDS Rates'!$B$6:$B$40,0))="Form 141",EOMONTH(IF(R164="",B164,R164),0)+30,IF(MONTH(IF(R164="",B164,R164))=3,DATE(YEAR(IF(R164="",B164,R164)),4,30),DATE(YEAR(IF(R164="",B164,R164)),MONTH(IF(R164="",B164,R164))+1,7))),""))</f>
        <v/>
      </c>
      <c r="R164" s="17"/>
      <c r="S164" s="17"/>
      <c r="T164" s="5"/>
      <c r="U164" s="28" t="str">
        <f aca="false">IF(OR(G164="",H164=""),"",IF(P164=0,0,IF(IF(R164="",Settings!$C$9,R164)&lt;=B164,0,((YEAR(IF(R164="",Settings!$C$9,R164))-YEAR(B164))*12+MONTH(IF(R164="",Settings!$C$9,R164))-MONTH(B164)+1))))</f>
        <v/>
      </c>
      <c r="V164" s="29" t="str">
        <f aca="false">IF(OR(G164="",H164=""),"",ROUND(P164*Settings!$C$10*U164,0))</f>
        <v/>
      </c>
      <c r="W164" s="28" t="str">
        <f aca="false">IF(OR(G164="",H164=""),"",IF(OR(P164=0,R164=""),0,IF(IF(S164="",Settings!$C$9,S164)&lt;=Q164,0,((YEAR(IF(S164="",Settings!$C$9,S164))-YEAR(R164))*12+MONTH(IF(S164="",Settings!$C$9,S164))-MONTH(R164)+1))))</f>
        <v/>
      </c>
      <c r="X164" s="29" t="str">
        <f aca="false">IF(OR(G164="",H164=""),"",ROUND(P164*Settings!$C$11*W164,0))</f>
        <v/>
      </c>
      <c r="Y164" s="29" t="str">
        <f aca="false">IF(OR(G164="",H164=""),"",V164+X164)</f>
        <v/>
      </c>
      <c r="Z164" s="7" t="str">
        <f aca="false">IF(OR(G164="",H164=""),"",IF(P164=0,"Below threshold",IF(R164="","Not yet deducted",IF(S164="",IF(Settings!$C$9&gt;Q164,"Overdue — pay now","Deducted, due "&amp;TEXT(Q164,"dd-mmm")),IF(S164&lt;=Q164,IF(N(U164)&gt;0,"Deducted late, paid on time","Paid on time"),"Paid late")))))</f>
        <v/>
      </c>
      <c r="AA164" s="35" t="str">
        <f aca="false">IF(OR(G164="",H164=""),"",IF(D164&lt;&gt;"",UPPER(TRIM(D164)),UPPER(TRIM(C164))))</f>
        <v/>
      </c>
    </row>
    <row r="165" customFormat="false" ht="15" hidden="false" customHeight="false" outlineLevel="0" collapsed="false">
      <c r="B165" s="17"/>
      <c r="C165" s="5"/>
      <c r="D165" s="5"/>
      <c r="E165" s="5"/>
      <c r="F165" s="5"/>
      <c r="G165" s="5"/>
      <c r="H165" s="16"/>
      <c r="I165" s="7" t="str">
        <f aca="false">IF(OR(G165="",H165=""),"",IFERROR(INDEX('TDS Rates'!$D$6:$D$40,MATCH(G165,'TDS Rates'!$B$6:$B$40,0)),"Check nature"))</f>
        <v/>
      </c>
      <c r="J165" s="7" t="str">
        <f aca="false">IF(OR(G165="",H165=""),"",IFERROR(INDEX('TDS Rates'!$C$6:$C$40,MATCH(G165,'TDS Rates'!$B$6:$B$40,0)),""))</f>
        <v/>
      </c>
      <c r="K165" s="7" t="str">
        <f aca="false">IF(OR(G165="",H165=""),"",IFERROR(INDEX('TDS Rates'!$E$6:$E$40,MATCH(G165,'TDS Rates'!$B$6:$B$40,0)),""))</f>
        <v/>
      </c>
      <c r="L165" s="29" t="str">
        <f aca="false">IF(OR(G165="",H165=""),"",SUMIFS(H$6:H164,AA$6:AA164,AA165,G$6:G164,G165))</f>
        <v/>
      </c>
      <c r="M165" s="29" t="str">
        <f aca="false">IF(OR(G165="",H165=""),"",SUMIFS(H$6:H164,AA$6:AA164,AA165,G$6:G164,G165,N$6:N164,0))</f>
        <v/>
      </c>
      <c r="N165" s="29" t="str">
        <f aca="false">IF(OR(G165="",H165=""),"",IFERROR(IF(INDEX('TDS Rates'!$F$6:$F$40,MATCH(G165,'TDS Rates'!$B$6:$B$40,0))="NONE",H165,IF(INDEX('TDS Rates'!$F$6:$F$40,MATCH(G165,'TDS Rates'!$B$6:$B$40,0))="PER",IF(H165&gt;INDEX('TDS Rates'!$G$6:$G$40,MATCH(G165,'TDS Rates'!$B$6:$B$40,0)),H165,0),IF(INDEX('TDS Rates'!$F$6:$F$40,MATCH(G165,'TDS Rates'!$B$6:$B$40,0))="EXCESS",MAX(0,L165+H165-INDEX('TDS Rates'!$H$6:$H$40,MATCH(G165,'TDS Rates'!$B$6:$B$40,0)))-MAX(0,L165-INDEX('TDS Rates'!$H$6:$H$40,MATCH(G165,'TDS Rates'!$B$6:$B$40,0))),IF(INDEX('TDS Rates'!$F$6:$F$40,MATCH(G165,'TDS Rates'!$B$6:$B$40,0))="SA",IF(L165+H165&gt;INDEX('TDS Rates'!$H$6:$H$40,MATCH(G165,'TDS Rates'!$B$6:$B$40,0)),H165+M165,IF(H165&gt;INDEX('TDS Rates'!$G$6:$G$40,MATCH(G165,'TDS Rates'!$B$6:$B$40,0)),H165,0)),IF(L165+H165&gt;INDEX('TDS Rates'!$H$6:$H$40,MATCH(G165,'TDS Rates'!$B$6:$B$40,0)),H165+M165,0))))),0))</f>
        <v/>
      </c>
      <c r="O165" s="33" t="str">
        <f aca="false">IF(OR(G165="",H165=""),"",IFERROR(IF(F165="No",IF(INDEX('TDS Rates'!$C$6:$C$40,MATCH(G165,'TDS Rates'!$B$6:$B$40,0))="194Q",Settings!$C$14,MAX(Settings!$C$13,IF(E165="Individual / HUF",INDEX('TDS Rates'!$I$6:$I$40,MATCH(G165,'TDS Rates'!$B$6:$B$40,0)),IF(E165="Company",INDEX('TDS Rates'!$J$6:$J$40,MATCH(G165,'TDS Rates'!$B$6:$B$40,0)),INDEX('TDS Rates'!$K$6:$K$40,MATCH(G165,'TDS Rates'!$B$6:$B$40,0)))))),IF(E165="Individual / HUF",INDEX('TDS Rates'!$I$6:$I$40,MATCH(G165,'TDS Rates'!$B$6:$B$40,0)),IF(E165="Company",INDEX('TDS Rates'!$J$6:$J$40,MATCH(G165,'TDS Rates'!$B$6:$B$40,0)),INDEX('TDS Rates'!$K$6:$K$40,MATCH(G165,'TDS Rates'!$B$6:$B$40,0))))),0))</f>
        <v/>
      </c>
      <c r="P165" s="34" t="str">
        <f aca="false">IF(OR(G165="",H165=""),"",ROUND(N165*O165,0))</f>
        <v/>
      </c>
      <c r="Q165" s="27" t="str">
        <f aca="false">IF(OR(G165="",H165=""),"",IFERROR(IF(INDEX('TDS Rates'!$E$6:$E$40,MATCH(G165,'TDS Rates'!$B$6:$B$40,0))="Form 141",EOMONTH(IF(R165="",B165,R165),0)+30,IF(MONTH(IF(R165="",B165,R165))=3,DATE(YEAR(IF(R165="",B165,R165)),4,30),DATE(YEAR(IF(R165="",B165,R165)),MONTH(IF(R165="",B165,R165))+1,7))),""))</f>
        <v/>
      </c>
      <c r="R165" s="17"/>
      <c r="S165" s="17"/>
      <c r="T165" s="5"/>
      <c r="U165" s="28" t="str">
        <f aca="false">IF(OR(G165="",H165=""),"",IF(P165=0,0,IF(IF(R165="",Settings!$C$9,R165)&lt;=B165,0,((YEAR(IF(R165="",Settings!$C$9,R165))-YEAR(B165))*12+MONTH(IF(R165="",Settings!$C$9,R165))-MONTH(B165)+1))))</f>
        <v/>
      </c>
      <c r="V165" s="29" t="str">
        <f aca="false">IF(OR(G165="",H165=""),"",ROUND(P165*Settings!$C$10*U165,0))</f>
        <v/>
      </c>
      <c r="W165" s="28" t="str">
        <f aca="false">IF(OR(G165="",H165=""),"",IF(OR(P165=0,R165=""),0,IF(IF(S165="",Settings!$C$9,S165)&lt;=Q165,0,((YEAR(IF(S165="",Settings!$C$9,S165))-YEAR(R165))*12+MONTH(IF(S165="",Settings!$C$9,S165))-MONTH(R165)+1))))</f>
        <v/>
      </c>
      <c r="X165" s="29" t="str">
        <f aca="false">IF(OR(G165="",H165=""),"",ROUND(P165*Settings!$C$11*W165,0))</f>
        <v/>
      </c>
      <c r="Y165" s="29" t="str">
        <f aca="false">IF(OR(G165="",H165=""),"",V165+X165)</f>
        <v/>
      </c>
      <c r="Z165" s="7" t="str">
        <f aca="false">IF(OR(G165="",H165=""),"",IF(P165=0,"Below threshold",IF(R165="","Not yet deducted",IF(S165="",IF(Settings!$C$9&gt;Q165,"Overdue — pay now","Deducted, due "&amp;TEXT(Q165,"dd-mmm")),IF(S165&lt;=Q165,IF(N(U165)&gt;0,"Deducted late, paid on time","Paid on time"),"Paid late")))))</f>
        <v/>
      </c>
      <c r="AA165" s="35" t="str">
        <f aca="false">IF(OR(G165="",H165=""),"",IF(D165&lt;&gt;"",UPPER(TRIM(D165)),UPPER(TRIM(C165))))</f>
        <v/>
      </c>
    </row>
    <row r="166" customFormat="false" ht="15" hidden="false" customHeight="false" outlineLevel="0" collapsed="false">
      <c r="B166" s="17"/>
      <c r="C166" s="5"/>
      <c r="D166" s="5"/>
      <c r="E166" s="5"/>
      <c r="F166" s="5"/>
      <c r="G166" s="5"/>
      <c r="H166" s="16"/>
      <c r="I166" s="7" t="str">
        <f aca="false">IF(OR(G166="",H166=""),"",IFERROR(INDEX('TDS Rates'!$D$6:$D$40,MATCH(G166,'TDS Rates'!$B$6:$B$40,0)),"Check nature"))</f>
        <v/>
      </c>
      <c r="J166" s="7" t="str">
        <f aca="false">IF(OR(G166="",H166=""),"",IFERROR(INDEX('TDS Rates'!$C$6:$C$40,MATCH(G166,'TDS Rates'!$B$6:$B$40,0)),""))</f>
        <v/>
      </c>
      <c r="K166" s="7" t="str">
        <f aca="false">IF(OR(G166="",H166=""),"",IFERROR(INDEX('TDS Rates'!$E$6:$E$40,MATCH(G166,'TDS Rates'!$B$6:$B$40,0)),""))</f>
        <v/>
      </c>
      <c r="L166" s="29" t="str">
        <f aca="false">IF(OR(G166="",H166=""),"",SUMIFS(H$6:H165,AA$6:AA165,AA166,G$6:G165,G166))</f>
        <v/>
      </c>
      <c r="M166" s="29" t="str">
        <f aca="false">IF(OR(G166="",H166=""),"",SUMIFS(H$6:H165,AA$6:AA165,AA166,G$6:G165,G166,N$6:N165,0))</f>
        <v/>
      </c>
      <c r="N166" s="29" t="str">
        <f aca="false">IF(OR(G166="",H166=""),"",IFERROR(IF(INDEX('TDS Rates'!$F$6:$F$40,MATCH(G166,'TDS Rates'!$B$6:$B$40,0))="NONE",H166,IF(INDEX('TDS Rates'!$F$6:$F$40,MATCH(G166,'TDS Rates'!$B$6:$B$40,0))="PER",IF(H166&gt;INDEX('TDS Rates'!$G$6:$G$40,MATCH(G166,'TDS Rates'!$B$6:$B$40,0)),H166,0),IF(INDEX('TDS Rates'!$F$6:$F$40,MATCH(G166,'TDS Rates'!$B$6:$B$40,0))="EXCESS",MAX(0,L166+H166-INDEX('TDS Rates'!$H$6:$H$40,MATCH(G166,'TDS Rates'!$B$6:$B$40,0)))-MAX(0,L166-INDEX('TDS Rates'!$H$6:$H$40,MATCH(G166,'TDS Rates'!$B$6:$B$40,0))),IF(INDEX('TDS Rates'!$F$6:$F$40,MATCH(G166,'TDS Rates'!$B$6:$B$40,0))="SA",IF(L166+H166&gt;INDEX('TDS Rates'!$H$6:$H$40,MATCH(G166,'TDS Rates'!$B$6:$B$40,0)),H166+M166,IF(H166&gt;INDEX('TDS Rates'!$G$6:$G$40,MATCH(G166,'TDS Rates'!$B$6:$B$40,0)),H166,0)),IF(L166+H166&gt;INDEX('TDS Rates'!$H$6:$H$40,MATCH(G166,'TDS Rates'!$B$6:$B$40,0)),H166+M166,0))))),0))</f>
        <v/>
      </c>
      <c r="O166" s="33" t="str">
        <f aca="false">IF(OR(G166="",H166=""),"",IFERROR(IF(F166="No",IF(INDEX('TDS Rates'!$C$6:$C$40,MATCH(G166,'TDS Rates'!$B$6:$B$40,0))="194Q",Settings!$C$14,MAX(Settings!$C$13,IF(E166="Individual / HUF",INDEX('TDS Rates'!$I$6:$I$40,MATCH(G166,'TDS Rates'!$B$6:$B$40,0)),IF(E166="Company",INDEX('TDS Rates'!$J$6:$J$40,MATCH(G166,'TDS Rates'!$B$6:$B$40,0)),INDEX('TDS Rates'!$K$6:$K$40,MATCH(G166,'TDS Rates'!$B$6:$B$40,0)))))),IF(E166="Individual / HUF",INDEX('TDS Rates'!$I$6:$I$40,MATCH(G166,'TDS Rates'!$B$6:$B$40,0)),IF(E166="Company",INDEX('TDS Rates'!$J$6:$J$40,MATCH(G166,'TDS Rates'!$B$6:$B$40,0)),INDEX('TDS Rates'!$K$6:$K$40,MATCH(G166,'TDS Rates'!$B$6:$B$40,0))))),0))</f>
        <v/>
      </c>
      <c r="P166" s="34" t="str">
        <f aca="false">IF(OR(G166="",H166=""),"",ROUND(N166*O166,0))</f>
        <v/>
      </c>
      <c r="Q166" s="27" t="str">
        <f aca="false">IF(OR(G166="",H166=""),"",IFERROR(IF(INDEX('TDS Rates'!$E$6:$E$40,MATCH(G166,'TDS Rates'!$B$6:$B$40,0))="Form 141",EOMONTH(IF(R166="",B166,R166),0)+30,IF(MONTH(IF(R166="",B166,R166))=3,DATE(YEAR(IF(R166="",B166,R166)),4,30),DATE(YEAR(IF(R166="",B166,R166)),MONTH(IF(R166="",B166,R166))+1,7))),""))</f>
        <v/>
      </c>
      <c r="R166" s="17"/>
      <c r="S166" s="17"/>
      <c r="T166" s="5"/>
      <c r="U166" s="28" t="str">
        <f aca="false">IF(OR(G166="",H166=""),"",IF(P166=0,0,IF(IF(R166="",Settings!$C$9,R166)&lt;=B166,0,((YEAR(IF(R166="",Settings!$C$9,R166))-YEAR(B166))*12+MONTH(IF(R166="",Settings!$C$9,R166))-MONTH(B166)+1))))</f>
        <v/>
      </c>
      <c r="V166" s="29" t="str">
        <f aca="false">IF(OR(G166="",H166=""),"",ROUND(P166*Settings!$C$10*U166,0))</f>
        <v/>
      </c>
      <c r="W166" s="28" t="str">
        <f aca="false">IF(OR(G166="",H166=""),"",IF(OR(P166=0,R166=""),0,IF(IF(S166="",Settings!$C$9,S166)&lt;=Q166,0,((YEAR(IF(S166="",Settings!$C$9,S166))-YEAR(R166))*12+MONTH(IF(S166="",Settings!$C$9,S166))-MONTH(R166)+1))))</f>
        <v/>
      </c>
      <c r="X166" s="29" t="str">
        <f aca="false">IF(OR(G166="",H166=""),"",ROUND(P166*Settings!$C$11*W166,0))</f>
        <v/>
      </c>
      <c r="Y166" s="29" t="str">
        <f aca="false">IF(OR(G166="",H166=""),"",V166+X166)</f>
        <v/>
      </c>
      <c r="Z166" s="7" t="str">
        <f aca="false">IF(OR(G166="",H166=""),"",IF(P166=0,"Below threshold",IF(R166="","Not yet deducted",IF(S166="",IF(Settings!$C$9&gt;Q166,"Overdue — pay now","Deducted, due "&amp;TEXT(Q166,"dd-mmm")),IF(S166&lt;=Q166,IF(N(U166)&gt;0,"Deducted late, paid on time","Paid on time"),"Paid late")))))</f>
        <v/>
      </c>
      <c r="AA166" s="35" t="str">
        <f aca="false">IF(OR(G166="",H166=""),"",IF(D166&lt;&gt;"",UPPER(TRIM(D166)),UPPER(TRIM(C166))))</f>
        <v/>
      </c>
    </row>
    <row r="167" customFormat="false" ht="15" hidden="false" customHeight="false" outlineLevel="0" collapsed="false">
      <c r="B167" s="17"/>
      <c r="C167" s="5"/>
      <c r="D167" s="5"/>
      <c r="E167" s="5"/>
      <c r="F167" s="5"/>
      <c r="G167" s="5"/>
      <c r="H167" s="16"/>
      <c r="I167" s="7" t="str">
        <f aca="false">IF(OR(G167="",H167=""),"",IFERROR(INDEX('TDS Rates'!$D$6:$D$40,MATCH(G167,'TDS Rates'!$B$6:$B$40,0)),"Check nature"))</f>
        <v/>
      </c>
      <c r="J167" s="7" t="str">
        <f aca="false">IF(OR(G167="",H167=""),"",IFERROR(INDEX('TDS Rates'!$C$6:$C$40,MATCH(G167,'TDS Rates'!$B$6:$B$40,0)),""))</f>
        <v/>
      </c>
      <c r="K167" s="7" t="str">
        <f aca="false">IF(OR(G167="",H167=""),"",IFERROR(INDEX('TDS Rates'!$E$6:$E$40,MATCH(G167,'TDS Rates'!$B$6:$B$40,0)),""))</f>
        <v/>
      </c>
      <c r="L167" s="29" t="str">
        <f aca="false">IF(OR(G167="",H167=""),"",SUMIFS(H$6:H166,AA$6:AA166,AA167,G$6:G166,G167))</f>
        <v/>
      </c>
      <c r="M167" s="29" t="str">
        <f aca="false">IF(OR(G167="",H167=""),"",SUMIFS(H$6:H166,AA$6:AA166,AA167,G$6:G166,G167,N$6:N166,0))</f>
        <v/>
      </c>
      <c r="N167" s="29" t="str">
        <f aca="false">IF(OR(G167="",H167=""),"",IFERROR(IF(INDEX('TDS Rates'!$F$6:$F$40,MATCH(G167,'TDS Rates'!$B$6:$B$40,0))="NONE",H167,IF(INDEX('TDS Rates'!$F$6:$F$40,MATCH(G167,'TDS Rates'!$B$6:$B$40,0))="PER",IF(H167&gt;INDEX('TDS Rates'!$G$6:$G$40,MATCH(G167,'TDS Rates'!$B$6:$B$40,0)),H167,0),IF(INDEX('TDS Rates'!$F$6:$F$40,MATCH(G167,'TDS Rates'!$B$6:$B$40,0))="EXCESS",MAX(0,L167+H167-INDEX('TDS Rates'!$H$6:$H$40,MATCH(G167,'TDS Rates'!$B$6:$B$40,0)))-MAX(0,L167-INDEX('TDS Rates'!$H$6:$H$40,MATCH(G167,'TDS Rates'!$B$6:$B$40,0))),IF(INDEX('TDS Rates'!$F$6:$F$40,MATCH(G167,'TDS Rates'!$B$6:$B$40,0))="SA",IF(L167+H167&gt;INDEX('TDS Rates'!$H$6:$H$40,MATCH(G167,'TDS Rates'!$B$6:$B$40,0)),H167+M167,IF(H167&gt;INDEX('TDS Rates'!$G$6:$G$40,MATCH(G167,'TDS Rates'!$B$6:$B$40,0)),H167,0)),IF(L167+H167&gt;INDEX('TDS Rates'!$H$6:$H$40,MATCH(G167,'TDS Rates'!$B$6:$B$40,0)),H167+M167,0))))),0))</f>
        <v/>
      </c>
      <c r="O167" s="33" t="str">
        <f aca="false">IF(OR(G167="",H167=""),"",IFERROR(IF(F167="No",IF(INDEX('TDS Rates'!$C$6:$C$40,MATCH(G167,'TDS Rates'!$B$6:$B$40,0))="194Q",Settings!$C$14,MAX(Settings!$C$13,IF(E167="Individual / HUF",INDEX('TDS Rates'!$I$6:$I$40,MATCH(G167,'TDS Rates'!$B$6:$B$40,0)),IF(E167="Company",INDEX('TDS Rates'!$J$6:$J$40,MATCH(G167,'TDS Rates'!$B$6:$B$40,0)),INDEX('TDS Rates'!$K$6:$K$40,MATCH(G167,'TDS Rates'!$B$6:$B$40,0)))))),IF(E167="Individual / HUF",INDEX('TDS Rates'!$I$6:$I$40,MATCH(G167,'TDS Rates'!$B$6:$B$40,0)),IF(E167="Company",INDEX('TDS Rates'!$J$6:$J$40,MATCH(G167,'TDS Rates'!$B$6:$B$40,0)),INDEX('TDS Rates'!$K$6:$K$40,MATCH(G167,'TDS Rates'!$B$6:$B$40,0))))),0))</f>
        <v/>
      </c>
      <c r="P167" s="34" t="str">
        <f aca="false">IF(OR(G167="",H167=""),"",ROUND(N167*O167,0))</f>
        <v/>
      </c>
      <c r="Q167" s="27" t="str">
        <f aca="false">IF(OR(G167="",H167=""),"",IFERROR(IF(INDEX('TDS Rates'!$E$6:$E$40,MATCH(G167,'TDS Rates'!$B$6:$B$40,0))="Form 141",EOMONTH(IF(R167="",B167,R167),0)+30,IF(MONTH(IF(R167="",B167,R167))=3,DATE(YEAR(IF(R167="",B167,R167)),4,30),DATE(YEAR(IF(R167="",B167,R167)),MONTH(IF(R167="",B167,R167))+1,7))),""))</f>
        <v/>
      </c>
      <c r="R167" s="17"/>
      <c r="S167" s="17"/>
      <c r="T167" s="5"/>
      <c r="U167" s="28" t="str">
        <f aca="false">IF(OR(G167="",H167=""),"",IF(P167=0,0,IF(IF(R167="",Settings!$C$9,R167)&lt;=B167,0,((YEAR(IF(R167="",Settings!$C$9,R167))-YEAR(B167))*12+MONTH(IF(R167="",Settings!$C$9,R167))-MONTH(B167)+1))))</f>
        <v/>
      </c>
      <c r="V167" s="29" t="str">
        <f aca="false">IF(OR(G167="",H167=""),"",ROUND(P167*Settings!$C$10*U167,0))</f>
        <v/>
      </c>
      <c r="W167" s="28" t="str">
        <f aca="false">IF(OR(G167="",H167=""),"",IF(OR(P167=0,R167=""),0,IF(IF(S167="",Settings!$C$9,S167)&lt;=Q167,0,((YEAR(IF(S167="",Settings!$C$9,S167))-YEAR(R167))*12+MONTH(IF(S167="",Settings!$C$9,S167))-MONTH(R167)+1))))</f>
        <v/>
      </c>
      <c r="X167" s="29" t="str">
        <f aca="false">IF(OR(G167="",H167=""),"",ROUND(P167*Settings!$C$11*W167,0))</f>
        <v/>
      </c>
      <c r="Y167" s="29" t="str">
        <f aca="false">IF(OR(G167="",H167=""),"",V167+X167)</f>
        <v/>
      </c>
      <c r="Z167" s="7" t="str">
        <f aca="false">IF(OR(G167="",H167=""),"",IF(P167=0,"Below threshold",IF(R167="","Not yet deducted",IF(S167="",IF(Settings!$C$9&gt;Q167,"Overdue — pay now","Deducted, due "&amp;TEXT(Q167,"dd-mmm")),IF(S167&lt;=Q167,IF(N(U167)&gt;0,"Deducted late, paid on time","Paid on time"),"Paid late")))))</f>
        <v/>
      </c>
      <c r="AA167" s="35" t="str">
        <f aca="false">IF(OR(G167="",H167=""),"",IF(D167&lt;&gt;"",UPPER(TRIM(D167)),UPPER(TRIM(C167))))</f>
        <v/>
      </c>
    </row>
    <row r="168" customFormat="false" ht="15" hidden="false" customHeight="false" outlineLevel="0" collapsed="false">
      <c r="B168" s="17"/>
      <c r="C168" s="5"/>
      <c r="D168" s="5"/>
      <c r="E168" s="5"/>
      <c r="F168" s="5"/>
      <c r="G168" s="5"/>
      <c r="H168" s="16"/>
      <c r="I168" s="7" t="str">
        <f aca="false">IF(OR(G168="",H168=""),"",IFERROR(INDEX('TDS Rates'!$D$6:$D$40,MATCH(G168,'TDS Rates'!$B$6:$B$40,0)),"Check nature"))</f>
        <v/>
      </c>
      <c r="J168" s="7" t="str">
        <f aca="false">IF(OR(G168="",H168=""),"",IFERROR(INDEX('TDS Rates'!$C$6:$C$40,MATCH(G168,'TDS Rates'!$B$6:$B$40,0)),""))</f>
        <v/>
      </c>
      <c r="K168" s="7" t="str">
        <f aca="false">IF(OR(G168="",H168=""),"",IFERROR(INDEX('TDS Rates'!$E$6:$E$40,MATCH(G168,'TDS Rates'!$B$6:$B$40,0)),""))</f>
        <v/>
      </c>
      <c r="L168" s="29" t="str">
        <f aca="false">IF(OR(G168="",H168=""),"",SUMIFS(H$6:H167,AA$6:AA167,AA168,G$6:G167,G168))</f>
        <v/>
      </c>
      <c r="M168" s="29" t="str">
        <f aca="false">IF(OR(G168="",H168=""),"",SUMIFS(H$6:H167,AA$6:AA167,AA168,G$6:G167,G168,N$6:N167,0))</f>
        <v/>
      </c>
      <c r="N168" s="29" t="str">
        <f aca="false">IF(OR(G168="",H168=""),"",IFERROR(IF(INDEX('TDS Rates'!$F$6:$F$40,MATCH(G168,'TDS Rates'!$B$6:$B$40,0))="NONE",H168,IF(INDEX('TDS Rates'!$F$6:$F$40,MATCH(G168,'TDS Rates'!$B$6:$B$40,0))="PER",IF(H168&gt;INDEX('TDS Rates'!$G$6:$G$40,MATCH(G168,'TDS Rates'!$B$6:$B$40,0)),H168,0),IF(INDEX('TDS Rates'!$F$6:$F$40,MATCH(G168,'TDS Rates'!$B$6:$B$40,0))="EXCESS",MAX(0,L168+H168-INDEX('TDS Rates'!$H$6:$H$40,MATCH(G168,'TDS Rates'!$B$6:$B$40,0)))-MAX(0,L168-INDEX('TDS Rates'!$H$6:$H$40,MATCH(G168,'TDS Rates'!$B$6:$B$40,0))),IF(INDEX('TDS Rates'!$F$6:$F$40,MATCH(G168,'TDS Rates'!$B$6:$B$40,0))="SA",IF(L168+H168&gt;INDEX('TDS Rates'!$H$6:$H$40,MATCH(G168,'TDS Rates'!$B$6:$B$40,0)),H168+M168,IF(H168&gt;INDEX('TDS Rates'!$G$6:$G$40,MATCH(G168,'TDS Rates'!$B$6:$B$40,0)),H168,0)),IF(L168+H168&gt;INDEX('TDS Rates'!$H$6:$H$40,MATCH(G168,'TDS Rates'!$B$6:$B$40,0)),H168+M168,0))))),0))</f>
        <v/>
      </c>
      <c r="O168" s="33" t="str">
        <f aca="false">IF(OR(G168="",H168=""),"",IFERROR(IF(F168="No",IF(INDEX('TDS Rates'!$C$6:$C$40,MATCH(G168,'TDS Rates'!$B$6:$B$40,0))="194Q",Settings!$C$14,MAX(Settings!$C$13,IF(E168="Individual / HUF",INDEX('TDS Rates'!$I$6:$I$40,MATCH(G168,'TDS Rates'!$B$6:$B$40,0)),IF(E168="Company",INDEX('TDS Rates'!$J$6:$J$40,MATCH(G168,'TDS Rates'!$B$6:$B$40,0)),INDEX('TDS Rates'!$K$6:$K$40,MATCH(G168,'TDS Rates'!$B$6:$B$40,0)))))),IF(E168="Individual / HUF",INDEX('TDS Rates'!$I$6:$I$40,MATCH(G168,'TDS Rates'!$B$6:$B$40,0)),IF(E168="Company",INDEX('TDS Rates'!$J$6:$J$40,MATCH(G168,'TDS Rates'!$B$6:$B$40,0)),INDEX('TDS Rates'!$K$6:$K$40,MATCH(G168,'TDS Rates'!$B$6:$B$40,0))))),0))</f>
        <v/>
      </c>
      <c r="P168" s="34" t="str">
        <f aca="false">IF(OR(G168="",H168=""),"",ROUND(N168*O168,0))</f>
        <v/>
      </c>
      <c r="Q168" s="27" t="str">
        <f aca="false">IF(OR(G168="",H168=""),"",IFERROR(IF(INDEX('TDS Rates'!$E$6:$E$40,MATCH(G168,'TDS Rates'!$B$6:$B$40,0))="Form 141",EOMONTH(IF(R168="",B168,R168),0)+30,IF(MONTH(IF(R168="",B168,R168))=3,DATE(YEAR(IF(R168="",B168,R168)),4,30),DATE(YEAR(IF(R168="",B168,R168)),MONTH(IF(R168="",B168,R168))+1,7))),""))</f>
        <v/>
      </c>
      <c r="R168" s="17"/>
      <c r="S168" s="17"/>
      <c r="T168" s="5"/>
      <c r="U168" s="28" t="str">
        <f aca="false">IF(OR(G168="",H168=""),"",IF(P168=0,0,IF(IF(R168="",Settings!$C$9,R168)&lt;=B168,0,((YEAR(IF(R168="",Settings!$C$9,R168))-YEAR(B168))*12+MONTH(IF(R168="",Settings!$C$9,R168))-MONTH(B168)+1))))</f>
        <v/>
      </c>
      <c r="V168" s="29" t="str">
        <f aca="false">IF(OR(G168="",H168=""),"",ROUND(P168*Settings!$C$10*U168,0))</f>
        <v/>
      </c>
      <c r="W168" s="28" t="str">
        <f aca="false">IF(OR(G168="",H168=""),"",IF(OR(P168=0,R168=""),0,IF(IF(S168="",Settings!$C$9,S168)&lt;=Q168,0,((YEAR(IF(S168="",Settings!$C$9,S168))-YEAR(R168))*12+MONTH(IF(S168="",Settings!$C$9,S168))-MONTH(R168)+1))))</f>
        <v/>
      </c>
      <c r="X168" s="29" t="str">
        <f aca="false">IF(OR(G168="",H168=""),"",ROUND(P168*Settings!$C$11*W168,0))</f>
        <v/>
      </c>
      <c r="Y168" s="29" t="str">
        <f aca="false">IF(OR(G168="",H168=""),"",V168+X168)</f>
        <v/>
      </c>
      <c r="Z168" s="7" t="str">
        <f aca="false">IF(OR(G168="",H168=""),"",IF(P168=0,"Below threshold",IF(R168="","Not yet deducted",IF(S168="",IF(Settings!$C$9&gt;Q168,"Overdue — pay now","Deducted, due "&amp;TEXT(Q168,"dd-mmm")),IF(S168&lt;=Q168,IF(N(U168)&gt;0,"Deducted late, paid on time","Paid on time"),"Paid late")))))</f>
        <v/>
      </c>
      <c r="AA168" s="35" t="str">
        <f aca="false">IF(OR(G168="",H168=""),"",IF(D168&lt;&gt;"",UPPER(TRIM(D168)),UPPER(TRIM(C168))))</f>
        <v/>
      </c>
    </row>
    <row r="169" customFormat="false" ht="15" hidden="false" customHeight="false" outlineLevel="0" collapsed="false">
      <c r="B169" s="17"/>
      <c r="C169" s="5"/>
      <c r="D169" s="5"/>
      <c r="E169" s="5"/>
      <c r="F169" s="5"/>
      <c r="G169" s="5"/>
      <c r="H169" s="16"/>
      <c r="I169" s="7" t="str">
        <f aca="false">IF(OR(G169="",H169=""),"",IFERROR(INDEX('TDS Rates'!$D$6:$D$40,MATCH(G169,'TDS Rates'!$B$6:$B$40,0)),"Check nature"))</f>
        <v/>
      </c>
      <c r="J169" s="7" t="str">
        <f aca="false">IF(OR(G169="",H169=""),"",IFERROR(INDEX('TDS Rates'!$C$6:$C$40,MATCH(G169,'TDS Rates'!$B$6:$B$40,0)),""))</f>
        <v/>
      </c>
      <c r="K169" s="7" t="str">
        <f aca="false">IF(OR(G169="",H169=""),"",IFERROR(INDEX('TDS Rates'!$E$6:$E$40,MATCH(G169,'TDS Rates'!$B$6:$B$40,0)),""))</f>
        <v/>
      </c>
      <c r="L169" s="29" t="str">
        <f aca="false">IF(OR(G169="",H169=""),"",SUMIFS(H$6:H168,AA$6:AA168,AA169,G$6:G168,G169))</f>
        <v/>
      </c>
      <c r="M169" s="29" t="str">
        <f aca="false">IF(OR(G169="",H169=""),"",SUMIFS(H$6:H168,AA$6:AA168,AA169,G$6:G168,G169,N$6:N168,0))</f>
        <v/>
      </c>
      <c r="N169" s="29" t="str">
        <f aca="false">IF(OR(G169="",H169=""),"",IFERROR(IF(INDEX('TDS Rates'!$F$6:$F$40,MATCH(G169,'TDS Rates'!$B$6:$B$40,0))="NONE",H169,IF(INDEX('TDS Rates'!$F$6:$F$40,MATCH(G169,'TDS Rates'!$B$6:$B$40,0))="PER",IF(H169&gt;INDEX('TDS Rates'!$G$6:$G$40,MATCH(G169,'TDS Rates'!$B$6:$B$40,0)),H169,0),IF(INDEX('TDS Rates'!$F$6:$F$40,MATCH(G169,'TDS Rates'!$B$6:$B$40,0))="EXCESS",MAX(0,L169+H169-INDEX('TDS Rates'!$H$6:$H$40,MATCH(G169,'TDS Rates'!$B$6:$B$40,0)))-MAX(0,L169-INDEX('TDS Rates'!$H$6:$H$40,MATCH(G169,'TDS Rates'!$B$6:$B$40,0))),IF(INDEX('TDS Rates'!$F$6:$F$40,MATCH(G169,'TDS Rates'!$B$6:$B$40,0))="SA",IF(L169+H169&gt;INDEX('TDS Rates'!$H$6:$H$40,MATCH(G169,'TDS Rates'!$B$6:$B$40,0)),H169+M169,IF(H169&gt;INDEX('TDS Rates'!$G$6:$G$40,MATCH(G169,'TDS Rates'!$B$6:$B$40,0)),H169,0)),IF(L169+H169&gt;INDEX('TDS Rates'!$H$6:$H$40,MATCH(G169,'TDS Rates'!$B$6:$B$40,0)),H169+M169,0))))),0))</f>
        <v/>
      </c>
      <c r="O169" s="33" t="str">
        <f aca="false">IF(OR(G169="",H169=""),"",IFERROR(IF(F169="No",IF(INDEX('TDS Rates'!$C$6:$C$40,MATCH(G169,'TDS Rates'!$B$6:$B$40,0))="194Q",Settings!$C$14,MAX(Settings!$C$13,IF(E169="Individual / HUF",INDEX('TDS Rates'!$I$6:$I$40,MATCH(G169,'TDS Rates'!$B$6:$B$40,0)),IF(E169="Company",INDEX('TDS Rates'!$J$6:$J$40,MATCH(G169,'TDS Rates'!$B$6:$B$40,0)),INDEX('TDS Rates'!$K$6:$K$40,MATCH(G169,'TDS Rates'!$B$6:$B$40,0)))))),IF(E169="Individual / HUF",INDEX('TDS Rates'!$I$6:$I$40,MATCH(G169,'TDS Rates'!$B$6:$B$40,0)),IF(E169="Company",INDEX('TDS Rates'!$J$6:$J$40,MATCH(G169,'TDS Rates'!$B$6:$B$40,0)),INDEX('TDS Rates'!$K$6:$K$40,MATCH(G169,'TDS Rates'!$B$6:$B$40,0))))),0))</f>
        <v/>
      </c>
      <c r="P169" s="34" t="str">
        <f aca="false">IF(OR(G169="",H169=""),"",ROUND(N169*O169,0))</f>
        <v/>
      </c>
      <c r="Q169" s="27" t="str">
        <f aca="false">IF(OR(G169="",H169=""),"",IFERROR(IF(INDEX('TDS Rates'!$E$6:$E$40,MATCH(G169,'TDS Rates'!$B$6:$B$40,0))="Form 141",EOMONTH(IF(R169="",B169,R169),0)+30,IF(MONTH(IF(R169="",B169,R169))=3,DATE(YEAR(IF(R169="",B169,R169)),4,30),DATE(YEAR(IF(R169="",B169,R169)),MONTH(IF(R169="",B169,R169))+1,7))),""))</f>
        <v/>
      </c>
      <c r="R169" s="17"/>
      <c r="S169" s="17"/>
      <c r="T169" s="5"/>
      <c r="U169" s="28" t="str">
        <f aca="false">IF(OR(G169="",H169=""),"",IF(P169=0,0,IF(IF(R169="",Settings!$C$9,R169)&lt;=B169,0,((YEAR(IF(R169="",Settings!$C$9,R169))-YEAR(B169))*12+MONTH(IF(R169="",Settings!$C$9,R169))-MONTH(B169)+1))))</f>
        <v/>
      </c>
      <c r="V169" s="29" t="str">
        <f aca="false">IF(OR(G169="",H169=""),"",ROUND(P169*Settings!$C$10*U169,0))</f>
        <v/>
      </c>
      <c r="W169" s="28" t="str">
        <f aca="false">IF(OR(G169="",H169=""),"",IF(OR(P169=0,R169=""),0,IF(IF(S169="",Settings!$C$9,S169)&lt;=Q169,0,((YEAR(IF(S169="",Settings!$C$9,S169))-YEAR(R169))*12+MONTH(IF(S169="",Settings!$C$9,S169))-MONTH(R169)+1))))</f>
        <v/>
      </c>
      <c r="X169" s="29" t="str">
        <f aca="false">IF(OR(G169="",H169=""),"",ROUND(P169*Settings!$C$11*W169,0))</f>
        <v/>
      </c>
      <c r="Y169" s="29" t="str">
        <f aca="false">IF(OR(G169="",H169=""),"",V169+X169)</f>
        <v/>
      </c>
      <c r="Z169" s="7" t="str">
        <f aca="false">IF(OR(G169="",H169=""),"",IF(P169=0,"Below threshold",IF(R169="","Not yet deducted",IF(S169="",IF(Settings!$C$9&gt;Q169,"Overdue — pay now","Deducted, due "&amp;TEXT(Q169,"dd-mmm")),IF(S169&lt;=Q169,IF(N(U169)&gt;0,"Deducted late, paid on time","Paid on time"),"Paid late")))))</f>
        <v/>
      </c>
      <c r="AA169" s="35" t="str">
        <f aca="false">IF(OR(G169="",H169=""),"",IF(D169&lt;&gt;"",UPPER(TRIM(D169)),UPPER(TRIM(C169))))</f>
        <v/>
      </c>
    </row>
    <row r="170" customFormat="false" ht="15" hidden="false" customHeight="false" outlineLevel="0" collapsed="false">
      <c r="B170" s="17"/>
      <c r="C170" s="5"/>
      <c r="D170" s="5"/>
      <c r="E170" s="5"/>
      <c r="F170" s="5"/>
      <c r="G170" s="5"/>
      <c r="H170" s="16"/>
      <c r="I170" s="7" t="str">
        <f aca="false">IF(OR(G170="",H170=""),"",IFERROR(INDEX('TDS Rates'!$D$6:$D$40,MATCH(G170,'TDS Rates'!$B$6:$B$40,0)),"Check nature"))</f>
        <v/>
      </c>
      <c r="J170" s="7" t="str">
        <f aca="false">IF(OR(G170="",H170=""),"",IFERROR(INDEX('TDS Rates'!$C$6:$C$40,MATCH(G170,'TDS Rates'!$B$6:$B$40,0)),""))</f>
        <v/>
      </c>
      <c r="K170" s="7" t="str">
        <f aca="false">IF(OR(G170="",H170=""),"",IFERROR(INDEX('TDS Rates'!$E$6:$E$40,MATCH(G170,'TDS Rates'!$B$6:$B$40,0)),""))</f>
        <v/>
      </c>
      <c r="L170" s="29" t="str">
        <f aca="false">IF(OR(G170="",H170=""),"",SUMIFS(H$6:H169,AA$6:AA169,AA170,G$6:G169,G170))</f>
        <v/>
      </c>
      <c r="M170" s="29" t="str">
        <f aca="false">IF(OR(G170="",H170=""),"",SUMIFS(H$6:H169,AA$6:AA169,AA170,G$6:G169,G170,N$6:N169,0))</f>
        <v/>
      </c>
      <c r="N170" s="29" t="str">
        <f aca="false">IF(OR(G170="",H170=""),"",IFERROR(IF(INDEX('TDS Rates'!$F$6:$F$40,MATCH(G170,'TDS Rates'!$B$6:$B$40,0))="NONE",H170,IF(INDEX('TDS Rates'!$F$6:$F$40,MATCH(G170,'TDS Rates'!$B$6:$B$40,0))="PER",IF(H170&gt;INDEX('TDS Rates'!$G$6:$G$40,MATCH(G170,'TDS Rates'!$B$6:$B$40,0)),H170,0),IF(INDEX('TDS Rates'!$F$6:$F$40,MATCH(G170,'TDS Rates'!$B$6:$B$40,0))="EXCESS",MAX(0,L170+H170-INDEX('TDS Rates'!$H$6:$H$40,MATCH(G170,'TDS Rates'!$B$6:$B$40,0)))-MAX(0,L170-INDEX('TDS Rates'!$H$6:$H$40,MATCH(G170,'TDS Rates'!$B$6:$B$40,0))),IF(INDEX('TDS Rates'!$F$6:$F$40,MATCH(G170,'TDS Rates'!$B$6:$B$40,0))="SA",IF(L170+H170&gt;INDEX('TDS Rates'!$H$6:$H$40,MATCH(G170,'TDS Rates'!$B$6:$B$40,0)),H170+M170,IF(H170&gt;INDEX('TDS Rates'!$G$6:$G$40,MATCH(G170,'TDS Rates'!$B$6:$B$40,0)),H170,0)),IF(L170+H170&gt;INDEX('TDS Rates'!$H$6:$H$40,MATCH(G170,'TDS Rates'!$B$6:$B$40,0)),H170+M170,0))))),0))</f>
        <v/>
      </c>
      <c r="O170" s="33" t="str">
        <f aca="false">IF(OR(G170="",H170=""),"",IFERROR(IF(F170="No",IF(INDEX('TDS Rates'!$C$6:$C$40,MATCH(G170,'TDS Rates'!$B$6:$B$40,0))="194Q",Settings!$C$14,MAX(Settings!$C$13,IF(E170="Individual / HUF",INDEX('TDS Rates'!$I$6:$I$40,MATCH(G170,'TDS Rates'!$B$6:$B$40,0)),IF(E170="Company",INDEX('TDS Rates'!$J$6:$J$40,MATCH(G170,'TDS Rates'!$B$6:$B$40,0)),INDEX('TDS Rates'!$K$6:$K$40,MATCH(G170,'TDS Rates'!$B$6:$B$40,0)))))),IF(E170="Individual / HUF",INDEX('TDS Rates'!$I$6:$I$40,MATCH(G170,'TDS Rates'!$B$6:$B$40,0)),IF(E170="Company",INDEX('TDS Rates'!$J$6:$J$40,MATCH(G170,'TDS Rates'!$B$6:$B$40,0)),INDEX('TDS Rates'!$K$6:$K$40,MATCH(G170,'TDS Rates'!$B$6:$B$40,0))))),0))</f>
        <v/>
      </c>
      <c r="P170" s="34" t="str">
        <f aca="false">IF(OR(G170="",H170=""),"",ROUND(N170*O170,0))</f>
        <v/>
      </c>
      <c r="Q170" s="27" t="str">
        <f aca="false">IF(OR(G170="",H170=""),"",IFERROR(IF(INDEX('TDS Rates'!$E$6:$E$40,MATCH(G170,'TDS Rates'!$B$6:$B$40,0))="Form 141",EOMONTH(IF(R170="",B170,R170),0)+30,IF(MONTH(IF(R170="",B170,R170))=3,DATE(YEAR(IF(R170="",B170,R170)),4,30),DATE(YEAR(IF(R170="",B170,R170)),MONTH(IF(R170="",B170,R170))+1,7))),""))</f>
        <v/>
      </c>
      <c r="R170" s="17"/>
      <c r="S170" s="17"/>
      <c r="T170" s="5"/>
      <c r="U170" s="28" t="str">
        <f aca="false">IF(OR(G170="",H170=""),"",IF(P170=0,0,IF(IF(R170="",Settings!$C$9,R170)&lt;=B170,0,((YEAR(IF(R170="",Settings!$C$9,R170))-YEAR(B170))*12+MONTH(IF(R170="",Settings!$C$9,R170))-MONTH(B170)+1))))</f>
        <v/>
      </c>
      <c r="V170" s="29" t="str">
        <f aca="false">IF(OR(G170="",H170=""),"",ROUND(P170*Settings!$C$10*U170,0))</f>
        <v/>
      </c>
      <c r="W170" s="28" t="str">
        <f aca="false">IF(OR(G170="",H170=""),"",IF(OR(P170=0,R170=""),0,IF(IF(S170="",Settings!$C$9,S170)&lt;=Q170,0,((YEAR(IF(S170="",Settings!$C$9,S170))-YEAR(R170))*12+MONTH(IF(S170="",Settings!$C$9,S170))-MONTH(R170)+1))))</f>
        <v/>
      </c>
      <c r="X170" s="29" t="str">
        <f aca="false">IF(OR(G170="",H170=""),"",ROUND(P170*Settings!$C$11*W170,0))</f>
        <v/>
      </c>
      <c r="Y170" s="29" t="str">
        <f aca="false">IF(OR(G170="",H170=""),"",V170+X170)</f>
        <v/>
      </c>
      <c r="Z170" s="7" t="str">
        <f aca="false">IF(OR(G170="",H170=""),"",IF(P170=0,"Below threshold",IF(R170="","Not yet deducted",IF(S170="",IF(Settings!$C$9&gt;Q170,"Overdue — pay now","Deducted, due "&amp;TEXT(Q170,"dd-mmm")),IF(S170&lt;=Q170,IF(N(U170)&gt;0,"Deducted late, paid on time","Paid on time"),"Paid late")))))</f>
        <v/>
      </c>
      <c r="AA170" s="35" t="str">
        <f aca="false">IF(OR(G170="",H170=""),"",IF(D170&lt;&gt;"",UPPER(TRIM(D170)),UPPER(TRIM(C170))))</f>
        <v/>
      </c>
    </row>
    <row r="171" customFormat="false" ht="15" hidden="false" customHeight="false" outlineLevel="0" collapsed="false">
      <c r="B171" s="17"/>
      <c r="C171" s="5"/>
      <c r="D171" s="5"/>
      <c r="E171" s="5"/>
      <c r="F171" s="5"/>
      <c r="G171" s="5"/>
      <c r="H171" s="16"/>
      <c r="I171" s="7" t="str">
        <f aca="false">IF(OR(G171="",H171=""),"",IFERROR(INDEX('TDS Rates'!$D$6:$D$40,MATCH(G171,'TDS Rates'!$B$6:$B$40,0)),"Check nature"))</f>
        <v/>
      </c>
      <c r="J171" s="7" t="str">
        <f aca="false">IF(OR(G171="",H171=""),"",IFERROR(INDEX('TDS Rates'!$C$6:$C$40,MATCH(G171,'TDS Rates'!$B$6:$B$40,0)),""))</f>
        <v/>
      </c>
      <c r="K171" s="7" t="str">
        <f aca="false">IF(OR(G171="",H171=""),"",IFERROR(INDEX('TDS Rates'!$E$6:$E$40,MATCH(G171,'TDS Rates'!$B$6:$B$40,0)),""))</f>
        <v/>
      </c>
      <c r="L171" s="29" t="str">
        <f aca="false">IF(OR(G171="",H171=""),"",SUMIFS(H$6:H170,AA$6:AA170,AA171,G$6:G170,G171))</f>
        <v/>
      </c>
      <c r="M171" s="29" t="str">
        <f aca="false">IF(OR(G171="",H171=""),"",SUMIFS(H$6:H170,AA$6:AA170,AA171,G$6:G170,G171,N$6:N170,0))</f>
        <v/>
      </c>
      <c r="N171" s="29" t="str">
        <f aca="false">IF(OR(G171="",H171=""),"",IFERROR(IF(INDEX('TDS Rates'!$F$6:$F$40,MATCH(G171,'TDS Rates'!$B$6:$B$40,0))="NONE",H171,IF(INDEX('TDS Rates'!$F$6:$F$40,MATCH(G171,'TDS Rates'!$B$6:$B$40,0))="PER",IF(H171&gt;INDEX('TDS Rates'!$G$6:$G$40,MATCH(G171,'TDS Rates'!$B$6:$B$40,0)),H171,0),IF(INDEX('TDS Rates'!$F$6:$F$40,MATCH(G171,'TDS Rates'!$B$6:$B$40,0))="EXCESS",MAX(0,L171+H171-INDEX('TDS Rates'!$H$6:$H$40,MATCH(G171,'TDS Rates'!$B$6:$B$40,0)))-MAX(0,L171-INDEX('TDS Rates'!$H$6:$H$40,MATCH(G171,'TDS Rates'!$B$6:$B$40,0))),IF(INDEX('TDS Rates'!$F$6:$F$40,MATCH(G171,'TDS Rates'!$B$6:$B$40,0))="SA",IF(L171+H171&gt;INDEX('TDS Rates'!$H$6:$H$40,MATCH(G171,'TDS Rates'!$B$6:$B$40,0)),H171+M171,IF(H171&gt;INDEX('TDS Rates'!$G$6:$G$40,MATCH(G171,'TDS Rates'!$B$6:$B$40,0)),H171,0)),IF(L171+H171&gt;INDEX('TDS Rates'!$H$6:$H$40,MATCH(G171,'TDS Rates'!$B$6:$B$40,0)),H171+M171,0))))),0))</f>
        <v/>
      </c>
      <c r="O171" s="33" t="str">
        <f aca="false">IF(OR(G171="",H171=""),"",IFERROR(IF(F171="No",IF(INDEX('TDS Rates'!$C$6:$C$40,MATCH(G171,'TDS Rates'!$B$6:$B$40,0))="194Q",Settings!$C$14,MAX(Settings!$C$13,IF(E171="Individual / HUF",INDEX('TDS Rates'!$I$6:$I$40,MATCH(G171,'TDS Rates'!$B$6:$B$40,0)),IF(E171="Company",INDEX('TDS Rates'!$J$6:$J$40,MATCH(G171,'TDS Rates'!$B$6:$B$40,0)),INDEX('TDS Rates'!$K$6:$K$40,MATCH(G171,'TDS Rates'!$B$6:$B$40,0)))))),IF(E171="Individual / HUF",INDEX('TDS Rates'!$I$6:$I$40,MATCH(G171,'TDS Rates'!$B$6:$B$40,0)),IF(E171="Company",INDEX('TDS Rates'!$J$6:$J$40,MATCH(G171,'TDS Rates'!$B$6:$B$40,0)),INDEX('TDS Rates'!$K$6:$K$40,MATCH(G171,'TDS Rates'!$B$6:$B$40,0))))),0))</f>
        <v/>
      </c>
      <c r="P171" s="34" t="str">
        <f aca="false">IF(OR(G171="",H171=""),"",ROUND(N171*O171,0))</f>
        <v/>
      </c>
      <c r="Q171" s="27" t="str">
        <f aca="false">IF(OR(G171="",H171=""),"",IFERROR(IF(INDEX('TDS Rates'!$E$6:$E$40,MATCH(G171,'TDS Rates'!$B$6:$B$40,0))="Form 141",EOMONTH(IF(R171="",B171,R171),0)+30,IF(MONTH(IF(R171="",B171,R171))=3,DATE(YEAR(IF(R171="",B171,R171)),4,30),DATE(YEAR(IF(R171="",B171,R171)),MONTH(IF(R171="",B171,R171))+1,7))),""))</f>
        <v/>
      </c>
      <c r="R171" s="17"/>
      <c r="S171" s="17"/>
      <c r="T171" s="5"/>
      <c r="U171" s="28" t="str">
        <f aca="false">IF(OR(G171="",H171=""),"",IF(P171=0,0,IF(IF(R171="",Settings!$C$9,R171)&lt;=B171,0,((YEAR(IF(R171="",Settings!$C$9,R171))-YEAR(B171))*12+MONTH(IF(R171="",Settings!$C$9,R171))-MONTH(B171)+1))))</f>
        <v/>
      </c>
      <c r="V171" s="29" t="str">
        <f aca="false">IF(OR(G171="",H171=""),"",ROUND(P171*Settings!$C$10*U171,0))</f>
        <v/>
      </c>
      <c r="W171" s="28" t="str">
        <f aca="false">IF(OR(G171="",H171=""),"",IF(OR(P171=0,R171=""),0,IF(IF(S171="",Settings!$C$9,S171)&lt;=Q171,0,((YEAR(IF(S171="",Settings!$C$9,S171))-YEAR(R171))*12+MONTH(IF(S171="",Settings!$C$9,S171))-MONTH(R171)+1))))</f>
        <v/>
      </c>
      <c r="X171" s="29" t="str">
        <f aca="false">IF(OR(G171="",H171=""),"",ROUND(P171*Settings!$C$11*W171,0))</f>
        <v/>
      </c>
      <c r="Y171" s="29" t="str">
        <f aca="false">IF(OR(G171="",H171=""),"",V171+X171)</f>
        <v/>
      </c>
      <c r="Z171" s="7" t="str">
        <f aca="false">IF(OR(G171="",H171=""),"",IF(P171=0,"Below threshold",IF(R171="","Not yet deducted",IF(S171="",IF(Settings!$C$9&gt;Q171,"Overdue — pay now","Deducted, due "&amp;TEXT(Q171,"dd-mmm")),IF(S171&lt;=Q171,IF(N(U171)&gt;0,"Deducted late, paid on time","Paid on time"),"Paid late")))))</f>
        <v/>
      </c>
      <c r="AA171" s="35" t="str">
        <f aca="false">IF(OR(G171="",H171=""),"",IF(D171&lt;&gt;"",UPPER(TRIM(D171)),UPPER(TRIM(C171))))</f>
        <v/>
      </c>
    </row>
    <row r="172" customFormat="false" ht="15" hidden="false" customHeight="false" outlineLevel="0" collapsed="false">
      <c r="B172" s="17"/>
      <c r="C172" s="5"/>
      <c r="D172" s="5"/>
      <c r="E172" s="5"/>
      <c r="F172" s="5"/>
      <c r="G172" s="5"/>
      <c r="H172" s="16"/>
      <c r="I172" s="7" t="str">
        <f aca="false">IF(OR(G172="",H172=""),"",IFERROR(INDEX('TDS Rates'!$D$6:$D$40,MATCH(G172,'TDS Rates'!$B$6:$B$40,0)),"Check nature"))</f>
        <v/>
      </c>
      <c r="J172" s="7" t="str">
        <f aca="false">IF(OR(G172="",H172=""),"",IFERROR(INDEX('TDS Rates'!$C$6:$C$40,MATCH(G172,'TDS Rates'!$B$6:$B$40,0)),""))</f>
        <v/>
      </c>
      <c r="K172" s="7" t="str">
        <f aca="false">IF(OR(G172="",H172=""),"",IFERROR(INDEX('TDS Rates'!$E$6:$E$40,MATCH(G172,'TDS Rates'!$B$6:$B$40,0)),""))</f>
        <v/>
      </c>
      <c r="L172" s="29" t="str">
        <f aca="false">IF(OR(G172="",H172=""),"",SUMIFS(H$6:H171,AA$6:AA171,AA172,G$6:G171,G172))</f>
        <v/>
      </c>
      <c r="M172" s="29" t="str">
        <f aca="false">IF(OR(G172="",H172=""),"",SUMIFS(H$6:H171,AA$6:AA171,AA172,G$6:G171,G172,N$6:N171,0))</f>
        <v/>
      </c>
      <c r="N172" s="29" t="str">
        <f aca="false">IF(OR(G172="",H172=""),"",IFERROR(IF(INDEX('TDS Rates'!$F$6:$F$40,MATCH(G172,'TDS Rates'!$B$6:$B$40,0))="NONE",H172,IF(INDEX('TDS Rates'!$F$6:$F$40,MATCH(G172,'TDS Rates'!$B$6:$B$40,0))="PER",IF(H172&gt;INDEX('TDS Rates'!$G$6:$G$40,MATCH(G172,'TDS Rates'!$B$6:$B$40,0)),H172,0),IF(INDEX('TDS Rates'!$F$6:$F$40,MATCH(G172,'TDS Rates'!$B$6:$B$40,0))="EXCESS",MAX(0,L172+H172-INDEX('TDS Rates'!$H$6:$H$40,MATCH(G172,'TDS Rates'!$B$6:$B$40,0)))-MAX(0,L172-INDEX('TDS Rates'!$H$6:$H$40,MATCH(G172,'TDS Rates'!$B$6:$B$40,0))),IF(INDEX('TDS Rates'!$F$6:$F$40,MATCH(G172,'TDS Rates'!$B$6:$B$40,0))="SA",IF(L172+H172&gt;INDEX('TDS Rates'!$H$6:$H$40,MATCH(G172,'TDS Rates'!$B$6:$B$40,0)),H172+M172,IF(H172&gt;INDEX('TDS Rates'!$G$6:$G$40,MATCH(G172,'TDS Rates'!$B$6:$B$40,0)),H172,0)),IF(L172+H172&gt;INDEX('TDS Rates'!$H$6:$H$40,MATCH(G172,'TDS Rates'!$B$6:$B$40,0)),H172+M172,0))))),0))</f>
        <v/>
      </c>
      <c r="O172" s="33" t="str">
        <f aca="false">IF(OR(G172="",H172=""),"",IFERROR(IF(F172="No",IF(INDEX('TDS Rates'!$C$6:$C$40,MATCH(G172,'TDS Rates'!$B$6:$B$40,0))="194Q",Settings!$C$14,MAX(Settings!$C$13,IF(E172="Individual / HUF",INDEX('TDS Rates'!$I$6:$I$40,MATCH(G172,'TDS Rates'!$B$6:$B$40,0)),IF(E172="Company",INDEX('TDS Rates'!$J$6:$J$40,MATCH(G172,'TDS Rates'!$B$6:$B$40,0)),INDEX('TDS Rates'!$K$6:$K$40,MATCH(G172,'TDS Rates'!$B$6:$B$40,0)))))),IF(E172="Individual / HUF",INDEX('TDS Rates'!$I$6:$I$40,MATCH(G172,'TDS Rates'!$B$6:$B$40,0)),IF(E172="Company",INDEX('TDS Rates'!$J$6:$J$40,MATCH(G172,'TDS Rates'!$B$6:$B$40,0)),INDEX('TDS Rates'!$K$6:$K$40,MATCH(G172,'TDS Rates'!$B$6:$B$40,0))))),0))</f>
        <v/>
      </c>
      <c r="P172" s="34" t="str">
        <f aca="false">IF(OR(G172="",H172=""),"",ROUND(N172*O172,0))</f>
        <v/>
      </c>
      <c r="Q172" s="27" t="str">
        <f aca="false">IF(OR(G172="",H172=""),"",IFERROR(IF(INDEX('TDS Rates'!$E$6:$E$40,MATCH(G172,'TDS Rates'!$B$6:$B$40,0))="Form 141",EOMONTH(IF(R172="",B172,R172),0)+30,IF(MONTH(IF(R172="",B172,R172))=3,DATE(YEAR(IF(R172="",B172,R172)),4,30),DATE(YEAR(IF(R172="",B172,R172)),MONTH(IF(R172="",B172,R172))+1,7))),""))</f>
        <v/>
      </c>
      <c r="R172" s="17"/>
      <c r="S172" s="17"/>
      <c r="T172" s="5"/>
      <c r="U172" s="28" t="str">
        <f aca="false">IF(OR(G172="",H172=""),"",IF(P172=0,0,IF(IF(R172="",Settings!$C$9,R172)&lt;=B172,0,((YEAR(IF(R172="",Settings!$C$9,R172))-YEAR(B172))*12+MONTH(IF(R172="",Settings!$C$9,R172))-MONTH(B172)+1))))</f>
        <v/>
      </c>
      <c r="V172" s="29" t="str">
        <f aca="false">IF(OR(G172="",H172=""),"",ROUND(P172*Settings!$C$10*U172,0))</f>
        <v/>
      </c>
      <c r="W172" s="28" t="str">
        <f aca="false">IF(OR(G172="",H172=""),"",IF(OR(P172=0,R172=""),0,IF(IF(S172="",Settings!$C$9,S172)&lt;=Q172,0,((YEAR(IF(S172="",Settings!$C$9,S172))-YEAR(R172))*12+MONTH(IF(S172="",Settings!$C$9,S172))-MONTH(R172)+1))))</f>
        <v/>
      </c>
      <c r="X172" s="29" t="str">
        <f aca="false">IF(OR(G172="",H172=""),"",ROUND(P172*Settings!$C$11*W172,0))</f>
        <v/>
      </c>
      <c r="Y172" s="29" t="str">
        <f aca="false">IF(OR(G172="",H172=""),"",V172+X172)</f>
        <v/>
      </c>
      <c r="Z172" s="7" t="str">
        <f aca="false">IF(OR(G172="",H172=""),"",IF(P172=0,"Below threshold",IF(R172="","Not yet deducted",IF(S172="",IF(Settings!$C$9&gt;Q172,"Overdue — pay now","Deducted, due "&amp;TEXT(Q172,"dd-mmm")),IF(S172&lt;=Q172,IF(N(U172)&gt;0,"Deducted late, paid on time","Paid on time"),"Paid late")))))</f>
        <v/>
      </c>
      <c r="AA172" s="35" t="str">
        <f aca="false">IF(OR(G172="",H172=""),"",IF(D172&lt;&gt;"",UPPER(TRIM(D172)),UPPER(TRIM(C172))))</f>
        <v/>
      </c>
    </row>
    <row r="173" customFormat="false" ht="15" hidden="false" customHeight="false" outlineLevel="0" collapsed="false">
      <c r="B173" s="17"/>
      <c r="C173" s="5"/>
      <c r="D173" s="5"/>
      <c r="E173" s="5"/>
      <c r="F173" s="5"/>
      <c r="G173" s="5"/>
      <c r="H173" s="16"/>
      <c r="I173" s="7" t="str">
        <f aca="false">IF(OR(G173="",H173=""),"",IFERROR(INDEX('TDS Rates'!$D$6:$D$40,MATCH(G173,'TDS Rates'!$B$6:$B$40,0)),"Check nature"))</f>
        <v/>
      </c>
      <c r="J173" s="7" t="str">
        <f aca="false">IF(OR(G173="",H173=""),"",IFERROR(INDEX('TDS Rates'!$C$6:$C$40,MATCH(G173,'TDS Rates'!$B$6:$B$40,0)),""))</f>
        <v/>
      </c>
      <c r="K173" s="7" t="str">
        <f aca="false">IF(OR(G173="",H173=""),"",IFERROR(INDEX('TDS Rates'!$E$6:$E$40,MATCH(G173,'TDS Rates'!$B$6:$B$40,0)),""))</f>
        <v/>
      </c>
      <c r="L173" s="29" t="str">
        <f aca="false">IF(OR(G173="",H173=""),"",SUMIFS(H$6:H172,AA$6:AA172,AA173,G$6:G172,G173))</f>
        <v/>
      </c>
      <c r="M173" s="29" t="str">
        <f aca="false">IF(OR(G173="",H173=""),"",SUMIFS(H$6:H172,AA$6:AA172,AA173,G$6:G172,G173,N$6:N172,0))</f>
        <v/>
      </c>
      <c r="N173" s="29" t="str">
        <f aca="false">IF(OR(G173="",H173=""),"",IFERROR(IF(INDEX('TDS Rates'!$F$6:$F$40,MATCH(G173,'TDS Rates'!$B$6:$B$40,0))="NONE",H173,IF(INDEX('TDS Rates'!$F$6:$F$40,MATCH(G173,'TDS Rates'!$B$6:$B$40,0))="PER",IF(H173&gt;INDEX('TDS Rates'!$G$6:$G$40,MATCH(G173,'TDS Rates'!$B$6:$B$40,0)),H173,0),IF(INDEX('TDS Rates'!$F$6:$F$40,MATCH(G173,'TDS Rates'!$B$6:$B$40,0))="EXCESS",MAX(0,L173+H173-INDEX('TDS Rates'!$H$6:$H$40,MATCH(G173,'TDS Rates'!$B$6:$B$40,0)))-MAX(0,L173-INDEX('TDS Rates'!$H$6:$H$40,MATCH(G173,'TDS Rates'!$B$6:$B$40,0))),IF(INDEX('TDS Rates'!$F$6:$F$40,MATCH(G173,'TDS Rates'!$B$6:$B$40,0))="SA",IF(L173+H173&gt;INDEX('TDS Rates'!$H$6:$H$40,MATCH(G173,'TDS Rates'!$B$6:$B$40,0)),H173+M173,IF(H173&gt;INDEX('TDS Rates'!$G$6:$G$40,MATCH(G173,'TDS Rates'!$B$6:$B$40,0)),H173,0)),IF(L173+H173&gt;INDEX('TDS Rates'!$H$6:$H$40,MATCH(G173,'TDS Rates'!$B$6:$B$40,0)),H173+M173,0))))),0))</f>
        <v/>
      </c>
      <c r="O173" s="33" t="str">
        <f aca="false">IF(OR(G173="",H173=""),"",IFERROR(IF(F173="No",IF(INDEX('TDS Rates'!$C$6:$C$40,MATCH(G173,'TDS Rates'!$B$6:$B$40,0))="194Q",Settings!$C$14,MAX(Settings!$C$13,IF(E173="Individual / HUF",INDEX('TDS Rates'!$I$6:$I$40,MATCH(G173,'TDS Rates'!$B$6:$B$40,0)),IF(E173="Company",INDEX('TDS Rates'!$J$6:$J$40,MATCH(G173,'TDS Rates'!$B$6:$B$40,0)),INDEX('TDS Rates'!$K$6:$K$40,MATCH(G173,'TDS Rates'!$B$6:$B$40,0)))))),IF(E173="Individual / HUF",INDEX('TDS Rates'!$I$6:$I$40,MATCH(G173,'TDS Rates'!$B$6:$B$40,0)),IF(E173="Company",INDEX('TDS Rates'!$J$6:$J$40,MATCH(G173,'TDS Rates'!$B$6:$B$40,0)),INDEX('TDS Rates'!$K$6:$K$40,MATCH(G173,'TDS Rates'!$B$6:$B$40,0))))),0))</f>
        <v/>
      </c>
      <c r="P173" s="34" t="str">
        <f aca="false">IF(OR(G173="",H173=""),"",ROUND(N173*O173,0))</f>
        <v/>
      </c>
      <c r="Q173" s="27" t="str">
        <f aca="false">IF(OR(G173="",H173=""),"",IFERROR(IF(INDEX('TDS Rates'!$E$6:$E$40,MATCH(G173,'TDS Rates'!$B$6:$B$40,0))="Form 141",EOMONTH(IF(R173="",B173,R173),0)+30,IF(MONTH(IF(R173="",B173,R173))=3,DATE(YEAR(IF(R173="",B173,R173)),4,30),DATE(YEAR(IF(R173="",B173,R173)),MONTH(IF(R173="",B173,R173))+1,7))),""))</f>
        <v/>
      </c>
      <c r="R173" s="17"/>
      <c r="S173" s="17"/>
      <c r="T173" s="5"/>
      <c r="U173" s="28" t="str">
        <f aca="false">IF(OR(G173="",H173=""),"",IF(P173=0,0,IF(IF(R173="",Settings!$C$9,R173)&lt;=B173,0,((YEAR(IF(R173="",Settings!$C$9,R173))-YEAR(B173))*12+MONTH(IF(R173="",Settings!$C$9,R173))-MONTH(B173)+1))))</f>
        <v/>
      </c>
      <c r="V173" s="29" t="str">
        <f aca="false">IF(OR(G173="",H173=""),"",ROUND(P173*Settings!$C$10*U173,0))</f>
        <v/>
      </c>
      <c r="W173" s="28" t="str">
        <f aca="false">IF(OR(G173="",H173=""),"",IF(OR(P173=0,R173=""),0,IF(IF(S173="",Settings!$C$9,S173)&lt;=Q173,0,((YEAR(IF(S173="",Settings!$C$9,S173))-YEAR(R173))*12+MONTH(IF(S173="",Settings!$C$9,S173))-MONTH(R173)+1))))</f>
        <v/>
      </c>
      <c r="X173" s="29" t="str">
        <f aca="false">IF(OR(G173="",H173=""),"",ROUND(P173*Settings!$C$11*W173,0))</f>
        <v/>
      </c>
      <c r="Y173" s="29" t="str">
        <f aca="false">IF(OR(G173="",H173=""),"",V173+X173)</f>
        <v/>
      </c>
      <c r="Z173" s="7" t="str">
        <f aca="false">IF(OR(G173="",H173=""),"",IF(P173=0,"Below threshold",IF(R173="","Not yet deducted",IF(S173="",IF(Settings!$C$9&gt;Q173,"Overdue — pay now","Deducted, due "&amp;TEXT(Q173,"dd-mmm")),IF(S173&lt;=Q173,IF(N(U173)&gt;0,"Deducted late, paid on time","Paid on time"),"Paid late")))))</f>
        <v/>
      </c>
      <c r="AA173" s="35" t="str">
        <f aca="false">IF(OR(G173="",H173=""),"",IF(D173&lt;&gt;"",UPPER(TRIM(D173)),UPPER(TRIM(C173))))</f>
        <v/>
      </c>
    </row>
    <row r="174" customFormat="false" ht="15" hidden="false" customHeight="false" outlineLevel="0" collapsed="false">
      <c r="B174" s="17"/>
      <c r="C174" s="5"/>
      <c r="D174" s="5"/>
      <c r="E174" s="5"/>
      <c r="F174" s="5"/>
      <c r="G174" s="5"/>
      <c r="H174" s="16"/>
      <c r="I174" s="7" t="str">
        <f aca="false">IF(OR(G174="",H174=""),"",IFERROR(INDEX('TDS Rates'!$D$6:$D$40,MATCH(G174,'TDS Rates'!$B$6:$B$40,0)),"Check nature"))</f>
        <v/>
      </c>
      <c r="J174" s="7" t="str">
        <f aca="false">IF(OR(G174="",H174=""),"",IFERROR(INDEX('TDS Rates'!$C$6:$C$40,MATCH(G174,'TDS Rates'!$B$6:$B$40,0)),""))</f>
        <v/>
      </c>
      <c r="K174" s="7" t="str">
        <f aca="false">IF(OR(G174="",H174=""),"",IFERROR(INDEX('TDS Rates'!$E$6:$E$40,MATCH(G174,'TDS Rates'!$B$6:$B$40,0)),""))</f>
        <v/>
      </c>
      <c r="L174" s="29" t="str">
        <f aca="false">IF(OR(G174="",H174=""),"",SUMIFS(H$6:H173,AA$6:AA173,AA174,G$6:G173,G174))</f>
        <v/>
      </c>
      <c r="M174" s="29" t="str">
        <f aca="false">IF(OR(G174="",H174=""),"",SUMIFS(H$6:H173,AA$6:AA173,AA174,G$6:G173,G174,N$6:N173,0))</f>
        <v/>
      </c>
      <c r="N174" s="29" t="str">
        <f aca="false">IF(OR(G174="",H174=""),"",IFERROR(IF(INDEX('TDS Rates'!$F$6:$F$40,MATCH(G174,'TDS Rates'!$B$6:$B$40,0))="NONE",H174,IF(INDEX('TDS Rates'!$F$6:$F$40,MATCH(G174,'TDS Rates'!$B$6:$B$40,0))="PER",IF(H174&gt;INDEX('TDS Rates'!$G$6:$G$40,MATCH(G174,'TDS Rates'!$B$6:$B$40,0)),H174,0),IF(INDEX('TDS Rates'!$F$6:$F$40,MATCH(G174,'TDS Rates'!$B$6:$B$40,0))="EXCESS",MAX(0,L174+H174-INDEX('TDS Rates'!$H$6:$H$40,MATCH(G174,'TDS Rates'!$B$6:$B$40,0)))-MAX(0,L174-INDEX('TDS Rates'!$H$6:$H$40,MATCH(G174,'TDS Rates'!$B$6:$B$40,0))),IF(INDEX('TDS Rates'!$F$6:$F$40,MATCH(G174,'TDS Rates'!$B$6:$B$40,0))="SA",IF(L174+H174&gt;INDEX('TDS Rates'!$H$6:$H$40,MATCH(G174,'TDS Rates'!$B$6:$B$40,0)),H174+M174,IF(H174&gt;INDEX('TDS Rates'!$G$6:$G$40,MATCH(G174,'TDS Rates'!$B$6:$B$40,0)),H174,0)),IF(L174+H174&gt;INDEX('TDS Rates'!$H$6:$H$40,MATCH(G174,'TDS Rates'!$B$6:$B$40,0)),H174+M174,0))))),0))</f>
        <v/>
      </c>
      <c r="O174" s="33" t="str">
        <f aca="false">IF(OR(G174="",H174=""),"",IFERROR(IF(F174="No",IF(INDEX('TDS Rates'!$C$6:$C$40,MATCH(G174,'TDS Rates'!$B$6:$B$40,0))="194Q",Settings!$C$14,MAX(Settings!$C$13,IF(E174="Individual / HUF",INDEX('TDS Rates'!$I$6:$I$40,MATCH(G174,'TDS Rates'!$B$6:$B$40,0)),IF(E174="Company",INDEX('TDS Rates'!$J$6:$J$40,MATCH(G174,'TDS Rates'!$B$6:$B$40,0)),INDEX('TDS Rates'!$K$6:$K$40,MATCH(G174,'TDS Rates'!$B$6:$B$40,0)))))),IF(E174="Individual / HUF",INDEX('TDS Rates'!$I$6:$I$40,MATCH(G174,'TDS Rates'!$B$6:$B$40,0)),IF(E174="Company",INDEX('TDS Rates'!$J$6:$J$40,MATCH(G174,'TDS Rates'!$B$6:$B$40,0)),INDEX('TDS Rates'!$K$6:$K$40,MATCH(G174,'TDS Rates'!$B$6:$B$40,0))))),0))</f>
        <v/>
      </c>
      <c r="P174" s="34" t="str">
        <f aca="false">IF(OR(G174="",H174=""),"",ROUND(N174*O174,0))</f>
        <v/>
      </c>
      <c r="Q174" s="27" t="str">
        <f aca="false">IF(OR(G174="",H174=""),"",IFERROR(IF(INDEX('TDS Rates'!$E$6:$E$40,MATCH(G174,'TDS Rates'!$B$6:$B$40,0))="Form 141",EOMONTH(IF(R174="",B174,R174),0)+30,IF(MONTH(IF(R174="",B174,R174))=3,DATE(YEAR(IF(R174="",B174,R174)),4,30),DATE(YEAR(IF(R174="",B174,R174)),MONTH(IF(R174="",B174,R174))+1,7))),""))</f>
        <v/>
      </c>
      <c r="R174" s="17"/>
      <c r="S174" s="17"/>
      <c r="T174" s="5"/>
      <c r="U174" s="28" t="str">
        <f aca="false">IF(OR(G174="",H174=""),"",IF(P174=0,0,IF(IF(R174="",Settings!$C$9,R174)&lt;=B174,0,((YEAR(IF(R174="",Settings!$C$9,R174))-YEAR(B174))*12+MONTH(IF(R174="",Settings!$C$9,R174))-MONTH(B174)+1))))</f>
        <v/>
      </c>
      <c r="V174" s="29" t="str">
        <f aca="false">IF(OR(G174="",H174=""),"",ROUND(P174*Settings!$C$10*U174,0))</f>
        <v/>
      </c>
      <c r="W174" s="28" t="str">
        <f aca="false">IF(OR(G174="",H174=""),"",IF(OR(P174=0,R174=""),0,IF(IF(S174="",Settings!$C$9,S174)&lt;=Q174,0,((YEAR(IF(S174="",Settings!$C$9,S174))-YEAR(R174))*12+MONTH(IF(S174="",Settings!$C$9,S174))-MONTH(R174)+1))))</f>
        <v/>
      </c>
      <c r="X174" s="29" t="str">
        <f aca="false">IF(OR(G174="",H174=""),"",ROUND(P174*Settings!$C$11*W174,0))</f>
        <v/>
      </c>
      <c r="Y174" s="29" t="str">
        <f aca="false">IF(OR(G174="",H174=""),"",V174+X174)</f>
        <v/>
      </c>
      <c r="Z174" s="7" t="str">
        <f aca="false">IF(OR(G174="",H174=""),"",IF(P174=0,"Below threshold",IF(R174="","Not yet deducted",IF(S174="",IF(Settings!$C$9&gt;Q174,"Overdue — pay now","Deducted, due "&amp;TEXT(Q174,"dd-mmm")),IF(S174&lt;=Q174,IF(N(U174)&gt;0,"Deducted late, paid on time","Paid on time"),"Paid late")))))</f>
        <v/>
      </c>
      <c r="AA174" s="35" t="str">
        <f aca="false">IF(OR(G174="",H174=""),"",IF(D174&lt;&gt;"",UPPER(TRIM(D174)),UPPER(TRIM(C174))))</f>
        <v/>
      </c>
    </row>
    <row r="175" customFormat="false" ht="15" hidden="false" customHeight="false" outlineLevel="0" collapsed="false">
      <c r="B175" s="17"/>
      <c r="C175" s="5"/>
      <c r="D175" s="5"/>
      <c r="E175" s="5"/>
      <c r="F175" s="5"/>
      <c r="G175" s="5"/>
      <c r="H175" s="16"/>
      <c r="I175" s="7" t="str">
        <f aca="false">IF(OR(G175="",H175=""),"",IFERROR(INDEX('TDS Rates'!$D$6:$D$40,MATCH(G175,'TDS Rates'!$B$6:$B$40,0)),"Check nature"))</f>
        <v/>
      </c>
      <c r="J175" s="7" t="str">
        <f aca="false">IF(OR(G175="",H175=""),"",IFERROR(INDEX('TDS Rates'!$C$6:$C$40,MATCH(G175,'TDS Rates'!$B$6:$B$40,0)),""))</f>
        <v/>
      </c>
      <c r="K175" s="7" t="str">
        <f aca="false">IF(OR(G175="",H175=""),"",IFERROR(INDEX('TDS Rates'!$E$6:$E$40,MATCH(G175,'TDS Rates'!$B$6:$B$40,0)),""))</f>
        <v/>
      </c>
      <c r="L175" s="29" t="str">
        <f aca="false">IF(OR(G175="",H175=""),"",SUMIFS(H$6:H174,AA$6:AA174,AA175,G$6:G174,G175))</f>
        <v/>
      </c>
      <c r="M175" s="29" t="str">
        <f aca="false">IF(OR(G175="",H175=""),"",SUMIFS(H$6:H174,AA$6:AA174,AA175,G$6:G174,G175,N$6:N174,0))</f>
        <v/>
      </c>
      <c r="N175" s="29" t="str">
        <f aca="false">IF(OR(G175="",H175=""),"",IFERROR(IF(INDEX('TDS Rates'!$F$6:$F$40,MATCH(G175,'TDS Rates'!$B$6:$B$40,0))="NONE",H175,IF(INDEX('TDS Rates'!$F$6:$F$40,MATCH(G175,'TDS Rates'!$B$6:$B$40,0))="PER",IF(H175&gt;INDEX('TDS Rates'!$G$6:$G$40,MATCH(G175,'TDS Rates'!$B$6:$B$40,0)),H175,0),IF(INDEX('TDS Rates'!$F$6:$F$40,MATCH(G175,'TDS Rates'!$B$6:$B$40,0))="EXCESS",MAX(0,L175+H175-INDEX('TDS Rates'!$H$6:$H$40,MATCH(G175,'TDS Rates'!$B$6:$B$40,0)))-MAX(0,L175-INDEX('TDS Rates'!$H$6:$H$40,MATCH(G175,'TDS Rates'!$B$6:$B$40,0))),IF(INDEX('TDS Rates'!$F$6:$F$40,MATCH(G175,'TDS Rates'!$B$6:$B$40,0))="SA",IF(L175+H175&gt;INDEX('TDS Rates'!$H$6:$H$40,MATCH(G175,'TDS Rates'!$B$6:$B$40,0)),H175+M175,IF(H175&gt;INDEX('TDS Rates'!$G$6:$G$40,MATCH(G175,'TDS Rates'!$B$6:$B$40,0)),H175,0)),IF(L175+H175&gt;INDEX('TDS Rates'!$H$6:$H$40,MATCH(G175,'TDS Rates'!$B$6:$B$40,0)),H175+M175,0))))),0))</f>
        <v/>
      </c>
      <c r="O175" s="33" t="str">
        <f aca="false">IF(OR(G175="",H175=""),"",IFERROR(IF(F175="No",IF(INDEX('TDS Rates'!$C$6:$C$40,MATCH(G175,'TDS Rates'!$B$6:$B$40,0))="194Q",Settings!$C$14,MAX(Settings!$C$13,IF(E175="Individual / HUF",INDEX('TDS Rates'!$I$6:$I$40,MATCH(G175,'TDS Rates'!$B$6:$B$40,0)),IF(E175="Company",INDEX('TDS Rates'!$J$6:$J$40,MATCH(G175,'TDS Rates'!$B$6:$B$40,0)),INDEX('TDS Rates'!$K$6:$K$40,MATCH(G175,'TDS Rates'!$B$6:$B$40,0)))))),IF(E175="Individual / HUF",INDEX('TDS Rates'!$I$6:$I$40,MATCH(G175,'TDS Rates'!$B$6:$B$40,0)),IF(E175="Company",INDEX('TDS Rates'!$J$6:$J$40,MATCH(G175,'TDS Rates'!$B$6:$B$40,0)),INDEX('TDS Rates'!$K$6:$K$40,MATCH(G175,'TDS Rates'!$B$6:$B$40,0))))),0))</f>
        <v/>
      </c>
      <c r="P175" s="34" t="str">
        <f aca="false">IF(OR(G175="",H175=""),"",ROUND(N175*O175,0))</f>
        <v/>
      </c>
      <c r="Q175" s="27" t="str">
        <f aca="false">IF(OR(G175="",H175=""),"",IFERROR(IF(INDEX('TDS Rates'!$E$6:$E$40,MATCH(G175,'TDS Rates'!$B$6:$B$40,0))="Form 141",EOMONTH(IF(R175="",B175,R175),0)+30,IF(MONTH(IF(R175="",B175,R175))=3,DATE(YEAR(IF(R175="",B175,R175)),4,30),DATE(YEAR(IF(R175="",B175,R175)),MONTH(IF(R175="",B175,R175))+1,7))),""))</f>
        <v/>
      </c>
      <c r="R175" s="17"/>
      <c r="S175" s="17"/>
      <c r="T175" s="5"/>
      <c r="U175" s="28" t="str">
        <f aca="false">IF(OR(G175="",H175=""),"",IF(P175=0,0,IF(IF(R175="",Settings!$C$9,R175)&lt;=B175,0,((YEAR(IF(R175="",Settings!$C$9,R175))-YEAR(B175))*12+MONTH(IF(R175="",Settings!$C$9,R175))-MONTH(B175)+1))))</f>
        <v/>
      </c>
      <c r="V175" s="29" t="str">
        <f aca="false">IF(OR(G175="",H175=""),"",ROUND(P175*Settings!$C$10*U175,0))</f>
        <v/>
      </c>
      <c r="W175" s="28" t="str">
        <f aca="false">IF(OR(G175="",H175=""),"",IF(OR(P175=0,R175=""),0,IF(IF(S175="",Settings!$C$9,S175)&lt;=Q175,0,((YEAR(IF(S175="",Settings!$C$9,S175))-YEAR(R175))*12+MONTH(IF(S175="",Settings!$C$9,S175))-MONTH(R175)+1))))</f>
        <v/>
      </c>
      <c r="X175" s="29" t="str">
        <f aca="false">IF(OR(G175="",H175=""),"",ROUND(P175*Settings!$C$11*W175,0))</f>
        <v/>
      </c>
      <c r="Y175" s="29" t="str">
        <f aca="false">IF(OR(G175="",H175=""),"",V175+X175)</f>
        <v/>
      </c>
      <c r="Z175" s="7" t="str">
        <f aca="false">IF(OR(G175="",H175=""),"",IF(P175=0,"Below threshold",IF(R175="","Not yet deducted",IF(S175="",IF(Settings!$C$9&gt;Q175,"Overdue — pay now","Deducted, due "&amp;TEXT(Q175,"dd-mmm")),IF(S175&lt;=Q175,IF(N(U175)&gt;0,"Deducted late, paid on time","Paid on time"),"Paid late")))))</f>
        <v/>
      </c>
      <c r="AA175" s="35" t="str">
        <f aca="false">IF(OR(G175="",H175=""),"",IF(D175&lt;&gt;"",UPPER(TRIM(D175)),UPPER(TRIM(C175))))</f>
        <v/>
      </c>
    </row>
    <row r="176" customFormat="false" ht="15" hidden="false" customHeight="false" outlineLevel="0" collapsed="false">
      <c r="B176" s="17"/>
      <c r="C176" s="5"/>
      <c r="D176" s="5"/>
      <c r="E176" s="5"/>
      <c r="F176" s="5"/>
      <c r="G176" s="5"/>
      <c r="H176" s="16"/>
      <c r="I176" s="7" t="str">
        <f aca="false">IF(OR(G176="",H176=""),"",IFERROR(INDEX('TDS Rates'!$D$6:$D$40,MATCH(G176,'TDS Rates'!$B$6:$B$40,0)),"Check nature"))</f>
        <v/>
      </c>
      <c r="J176" s="7" t="str">
        <f aca="false">IF(OR(G176="",H176=""),"",IFERROR(INDEX('TDS Rates'!$C$6:$C$40,MATCH(G176,'TDS Rates'!$B$6:$B$40,0)),""))</f>
        <v/>
      </c>
      <c r="K176" s="7" t="str">
        <f aca="false">IF(OR(G176="",H176=""),"",IFERROR(INDEX('TDS Rates'!$E$6:$E$40,MATCH(G176,'TDS Rates'!$B$6:$B$40,0)),""))</f>
        <v/>
      </c>
      <c r="L176" s="29" t="str">
        <f aca="false">IF(OR(G176="",H176=""),"",SUMIFS(H$6:H175,AA$6:AA175,AA176,G$6:G175,G176))</f>
        <v/>
      </c>
      <c r="M176" s="29" t="str">
        <f aca="false">IF(OR(G176="",H176=""),"",SUMIFS(H$6:H175,AA$6:AA175,AA176,G$6:G175,G176,N$6:N175,0))</f>
        <v/>
      </c>
      <c r="N176" s="29" t="str">
        <f aca="false">IF(OR(G176="",H176=""),"",IFERROR(IF(INDEX('TDS Rates'!$F$6:$F$40,MATCH(G176,'TDS Rates'!$B$6:$B$40,0))="NONE",H176,IF(INDEX('TDS Rates'!$F$6:$F$40,MATCH(G176,'TDS Rates'!$B$6:$B$40,0))="PER",IF(H176&gt;INDEX('TDS Rates'!$G$6:$G$40,MATCH(G176,'TDS Rates'!$B$6:$B$40,0)),H176,0),IF(INDEX('TDS Rates'!$F$6:$F$40,MATCH(G176,'TDS Rates'!$B$6:$B$40,0))="EXCESS",MAX(0,L176+H176-INDEX('TDS Rates'!$H$6:$H$40,MATCH(G176,'TDS Rates'!$B$6:$B$40,0)))-MAX(0,L176-INDEX('TDS Rates'!$H$6:$H$40,MATCH(G176,'TDS Rates'!$B$6:$B$40,0))),IF(INDEX('TDS Rates'!$F$6:$F$40,MATCH(G176,'TDS Rates'!$B$6:$B$40,0))="SA",IF(L176+H176&gt;INDEX('TDS Rates'!$H$6:$H$40,MATCH(G176,'TDS Rates'!$B$6:$B$40,0)),H176+M176,IF(H176&gt;INDEX('TDS Rates'!$G$6:$G$40,MATCH(G176,'TDS Rates'!$B$6:$B$40,0)),H176,0)),IF(L176+H176&gt;INDEX('TDS Rates'!$H$6:$H$40,MATCH(G176,'TDS Rates'!$B$6:$B$40,0)),H176+M176,0))))),0))</f>
        <v/>
      </c>
      <c r="O176" s="33" t="str">
        <f aca="false">IF(OR(G176="",H176=""),"",IFERROR(IF(F176="No",IF(INDEX('TDS Rates'!$C$6:$C$40,MATCH(G176,'TDS Rates'!$B$6:$B$40,0))="194Q",Settings!$C$14,MAX(Settings!$C$13,IF(E176="Individual / HUF",INDEX('TDS Rates'!$I$6:$I$40,MATCH(G176,'TDS Rates'!$B$6:$B$40,0)),IF(E176="Company",INDEX('TDS Rates'!$J$6:$J$40,MATCH(G176,'TDS Rates'!$B$6:$B$40,0)),INDEX('TDS Rates'!$K$6:$K$40,MATCH(G176,'TDS Rates'!$B$6:$B$40,0)))))),IF(E176="Individual / HUF",INDEX('TDS Rates'!$I$6:$I$40,MATCH(G176,'TDS Rates'!$B$6:$B$40,0)),IF(E176="Company",INDEX('TDS Rates'!$J$6:$J$40,MATCH(G176,'TDS Rates'!$B$6:$B$40,0)),INDEX('TDS Rates'!$K$6:$K$40,MATCH(G176,'TDS Rates'!$B$6:$B$40,0))))),0))</f>
        <v/>
      </c>
      <c r="P176" s="34" t="str">
        <f aca="false">IF(OR(G176="",H176=""),"",ROUND(N176*O176,0))</f>
        <v/>
      </c>
      <c r="Q176" s="27" t="str">
        <f aca="false">IF(OR(G176="",H176=""),"",IFERROR(IF(INDEX('TDS Rates'!$E$6:$E$40,MATCH(G176,'TDS Rates'!$B$6:$B$40,0))="Form 141",EOMONTH(IF(R176="",B176,R176),0)+30,IF(MONTH(IF(R176="",B176,R176))=3,DATE(YEAR(IF(R176="",B176,R176)),4,30),DATE(YEAR(IF(R176="",B176,R176)),MONTH(IF(R176="",B176,R176))+1,7))),""))</f>
        <v/>
      </c>
      <c r="R176" s="17"/>
      <c r="S176" s="17"/>
      <c r="T176" s="5"/>
      <c r="U176" s="28" t="str">
        <f aca="false">IF(OR(G176="",H176=""),"",IF(P176=0,0,IF(IF(R176="",Settings!$C$9,R176)&lt;=B176,0,((YEAR(IF(R176="",Settings!$C$9,R176))-YEAR(B176))*12+MONTH(IF(R176="",Settings!$C$9,R176))-MONTH(B176)+1))))</f>
        <v/>
      </c>
      <c r="V176" s="29" t="str">
        <f aca="false">IF(OR(G176="",H176=""),"",ROUND(P176*Settings!$C$10*U176,0))</f>
        <v/>
      </c>
      <c r="W176" s="28" t="str">
        <f aca="false">IF(OR(G176="",H176=""),"",IF(OR(P176=0,R176=""),0,IF(IF(S176="",Settings!$C$9,S176)&lt;=Q176,0,((YEAR(IF(S176="",Settings!$C$9,S176))-YEAR(R176))*12+MONTH(IF(S176="",Settings!$C$9,S176))-MONTH(R176)+1))))</f>
        <v/>
      </c>
      <c r="X176" s="29" t="str">
        <f aca="false">IF(OR(G176="",H176=""),"",ROUND(P176*Settings!$C$11*W176,0))</f>
        <v/>
      </c>
      <c r="Y176" s="29" t="str">
        <f aca="false">IF(OR(G176="",H176=""),"",V176+X176)</f>
        <v/>
      </c>
      <c r="Z176" s="7" t="str">
        <f aca="false">IF(OR(G176="",H176=""),"",IF(P176=0,"Below threshold",IF(R176="","Not yet deducted",IF(S176="",IF(Settings!$C$9&gt;Q176,"Overdue — pay now","Deducted, due "&amp;TEXT(Q176,"dd-mmm")),IF(S176&lt;=Q176,IF(N(U176)&gt;0,"Deducted late, paid on time","Paid on time"),"Paid late")))))</f>
        <v/>
      </c>
      <c r="AA176" s="35" t="str">
        <f aca="false">IF(OR(G176="",H176=""),"",IF(D176&lt;&gt;"",UPPER(TRIM(D176)),UPPER(TRIM(C176))))</f>
        <v/>
      </c>
    </row>
    <row r="177" customFormat="false" ht="15" hidden="false" customHeight="false" outlineLevel="0" collapsed="false">
      <c r="B177" s="17"/>
      <c r="C177" s="5"/>
      <c r="D177" s="5"/>
      <c r="E177" s="5"/>
      <c r="F177" s="5"/>
      <c r="G177" s="5"/>
      <c r="H177" s="16"/>
      <c r="I177" s="7" t="str">
        <f aca="false">IF(OR(G177="",H177=""),"",IFERROR(INDEX('TDS Rates'!$D$6:$D$40,MATCH(G177,'TDS Rates'!$B$6:$B$40,0)),"Check nature"))</f>
        <v/>
      </c>
      <c r="J177" s="7" t="str">
        <f aca="false">IF(OR(G177="",H177=""),"",IFERROR(INDEX('TDS Rates'!$C$6:$C$40,MATCH(G177,'TDS Rates'!$B$6:$B$40,0)),""))</f>
        <v/>
      </c>
      <c r="K177" s="7" t="str">
        <f aca="false">IF(OR(G177="",H177=""),"",IFERROR(INDEX('TDS Rates'!$E$6:$E$40,MATCH(G177,'TDS Rates'!$B$6:$B$40,0)),""))</f>
        <v/>
      </c>
      <c r="L177" s="29" t="str">
        <f aca="false">IF(OR(G177="",H177=""),"",SUMIFS(H$6:H176,AA$6:AA176,AA177,G$6:G176,G177))</f>
        <v/>
      </c>
      <c r="M177" s="29" t="str">
        <f aca="false">IF(OR(G177="",H177=""),"",SUMIFS(H$6:H176,AA$6:AA176,AA177,G$6:G176,G177,N$6:N176,0))</f>
        <v/>
      </c>
      <c r="N177" s="29" t="str">
        <f aca="false">IF(OR(G177="",H177=""),"",IFERROR(IF(INDEX('TDS Rates'!$F$6:$F$40,MATCH(G177,'TDS Rates'!$B$6:$B$40,0))="NONE",H177,IF(INDEX('TDS Rates'!$F$6:$F$40,MATCH(G177,'TDS Rates'!$B$6:$B$40,0))="PER",IF(H177&gt;INDEX('TDS Rates'!$G$6:$G$40,MATCH(G177,'TDS Rates'!$B$6:$B$40,0)),H177,0),IF(INDEX('TDS Rates'!$F$6:$F$40,MATCH(G177,'TDS Rates'!$B$6:$B$40,0))="EXCESS",MAX(0,L177+H177-INDEX('TDS Rates'!$H$6:$H$40,MATCH(G177,'TDS Rates'!$B$6:$B$40,0)))-MAX(0,L177-INDEX('TDS Rates'!$H$6:$H$40,MATCH(G177,'TDS Rates'!$B$6:$B$40,0))),IF(INDEX('TDS Rates'!$F$6:$F$40,MATCH(G177,'TDS Rates'!$B$6:$B$40,0))="SA",IF(L177+H177&gt;INDEX('TDS Rates'!$H$6:$H$40,MATCH(G177,'TDS Rates'!$B$6:$B$40,0)),H177+M177,IF(H177&gt;INDEX('TDS Rates'!$G$6:$G$40,MATCH(G177,'TDS Rates'!$B$6:$B$40,0)),H177,0)),IF(L177+H177&gt;INDEX('TDS Rates'!$H$6:$H$40,MATCH(G177,'TDS Rates'!$B$6:$B$40,0)),H177+M177,0))))),0))</f>
        <v/>
      </c>
      <c r="O177" s="33" t="str">
        <f aca="false">IF(OR(G177="",H177=""),"",IFERROR(IF(F177="No",IF(INDEX('TDS Rates'!$C$6:$C$40,MATCH(G177,'TDS Rates'!$B$6:$B$40,0))="194Q",Settings!$C$14,MAX(Settings!$C$13,IF(E177="Individual / HUF",INDEX('TDS Rates'!$I$6:$I$40,MATCH(G177,'TDS Rates'!$B$6:$B$40,0)),IF(E177="Company",INDEX('TDS Rates'!$J$6:$J$40,MATCH(G177,'TDS Rates'!$B$6:$B$40,0)),INDEX('TDS Rates'!$K$6:$K$40,MATCH(G177,'TDS Rates'!$B$6:$B$40,0)))))),IF(E177="Individual / HUF",INDEX('TDS Rates'!$I$6:$I$40,MATCH(G177,'TDS Rates'!$B$6:$B$40,0)),IF(E177="Company",INDEX('TDS Rates'!$J$6:$J$40,MATCH(G177,'TDS Rates'!$B$6:$B$40,0)),INDEX('TDS Rates'!$K$6:$K$40,MATCH(G177,'TDS Rates'!$B$6:$B$40,0))))),0))</f>
        <v/>
      </c>
      <c r="P177" s="34" t="str">
        <f aca="false">IF(OR(G177="",H177=""),"",ROUND(N177*O177,0))</f>
        <v/>
      </c>
      <c r="Q177" s="27" t="str">
        <f aca="false">IF(OR(G177="",H177=""),"",IFERROR(IF(INDEX('TDS Rates'!$E$6:$E$40,MATCH(G177,'TDS Rates'!$B$6:$B$40,0))="Form 141",EOMONTH(IF(R177="",B177,R177),0)+30,IF(MONTH(IF(R177="",B177,R177))=3,DATE(YEAR(IF(R177="",B177,R177)),4,30),DATE(YEAR(IF(R177="",B177,R177)),MONTH(IF(R177="",B177,R177))+1,7))),""))</f>
        <v/>
      </c>
      <c r="R177" s="17"/>
      <c r="S177" s="17"/>
      <c r="T177" s="5"/>
      <c r="U177" s="28" t="str">
        <f aca="false">IF(OR(G177="",H177=""),"",IF(P177=0,0,IF(IF(R177="",Settings!$C$9,R177)&lt;=B177,0,((YEAR(IF(R177="",Settings!$C$9,R177))-YEAR(B177))*12+MONTH(IF(R177="",Settings!$C$9,R177))-MONTH(B177)+1))))</f>
        <v/>
      </c>
      <c r="V177" s="29" t="str">
        <f aca="false">IF(OR(G177="",H177=""),"",ROUND(P177*Settings!$C$10*U177,0))</f>
        <v/>
      </c>
      <c r="W177" s="28" t="str">
        <f aca="false">IF(OR(G177="",H177=""),"",IF(OR(P177=0,R177=""),0,IF(IF(S177="",Settings!$C$9,S177)&lt;=Q177,0,((YEAR(IF(S177="",Settings!$C$9,S177))-YEAR(R177))*12+MONTH(IF(S177="",Settings!$C$9,S177))-MONTH(R177)+1))))</f>
        <v/>
      </c>
      <c r="X177" s="29" t="str">
        <f aca="false">IF(OR(G177="",H177=""),"",ROUND(P177*Settings!$C$11*W177,0))</f>
        <v/>
      </c>
      <c r="Y177" s="29" t="str">
        <f aca="false">IF(OR(G177="",H177=""),"",V177+X177)</f>
        <v/>
      </c>
      <c r="Z177" s="7" t="str">
        <f aca="false">IF(OR(G177="",H177=""),"",IF(P177=0,"Below threshold",IF(R177="","Not yet deducted",IF(S177="",IF(Settings!$C$9&gt;Q177,"Overdue — pay now","Deducted, due "&amp;TEXT(Q177,"dd-mmm")),IF(S177&lt;=Q177,IF(N(U177)&gt;0,"Deducted late, paid on time","Paid on time"),"Paid late")))))</f>
        <v/>
      </c>
      <c r="AA177" s="35" t="str">
        <f aca="false">IF(OR(G177="",H177=""),"",IF(D177&lt;&gt;"",UPPER(TRIM(D177)),UPPER(TRIM(C177))))</f>
        <v/>
      </c>
    </row>
    <row r="178" customFormat="false" ht="15" hidden="false" customHeight="false" outlineLevel="0" collapsed="false">
      <c r="B178" s="17"/>
      <c r="C178" s="5"/>
      <c r="D178" s="5"/>
      <c r="E178" s="5"/>
      <c r="F178" s="5"/>
      <c r="G178" s="5"/>
      <c r="H178" s="16"/>
      <c r="I178" s="7" t="str">
        <f aca="false">IF(OR(G178="",H178=""),"",IFERROR(INDEX('TDS Rates'!$D$6:$D$40,MATCH(G178,'TDS Rates'!$B$6:$B$40,0)),"Check nature"))</f>
        <v/>
      </c>
      <c r="J178" s="7" t="str">
        <f aca="false">IF(OR(G178="",H178=""),"",IFERROR(INDEX('TDS Rates'!$C$6:$C$40,MATCH(G178,'TDS Rates'!$B$6:$B$40,0)),""))</f>
        <v/>
      </c>
      <c r="K178" s="7" t="str">
        <f aca="false">IF(OR(G178="",H178=""),"",IFERROR(INDEX('TDS Rates'!$E$6:$E$40,MATCH(G178,'TDS Rates'!$B$6:$B$40,0)),""))</f>
        <v/>
      </c>
      <c r="L178" s="29" t="str">
        <f aca="false">IF(OR(G178="",H178=""),"",SUMIFS(H$6:H177,AA$6:AA177,AA178,G$6:G177,G178))</f>
        <v/>
      </c>
      <c r="M178" s="29" t="str">
        <f aca="false">IF(OR(G178="",H178=""),"",SUMIFS(H$6:H177,AA$6:AA177,AA178,G$6:G177,G178,N$6:N177,0))</f>
        <v/>
      </c>
      <c r="N178" s="29" t="str">
        <f aca="false">IF(OR(G178="",H178=""),"",IFERROR(IF(INDEX('TDS Rates'!$F$6:$F$40,MATCH(G178,'TDS Rates'!$B$6:$B$40,0))="NONE",H178,IF(INDEX('TDS Rates'!$F$6:$F$40,MATCH(G178,'TDS Rates'!$B$6:$B$40,0))="PER",IF(H178&gt;INDEX('TDS Rates'!$G$6:$G$40,MATCH(G178,'TDS Rates'!$B$6:$B$40,0)),H178,0),IF(INDEX('TDS Rates'!$F$6:$F$40,MATCH(G178,'TDS Rates'!$B$6:$B$40,0))="EXCESS",MAX(0,L178+H178-INDEX('TDS Rates'!$H$6:$H$40,MATCH(G178,'TDS Rates'!$B$6:$B$40,0)))-MAX(0,L178-INDEX('TDS Rates'!$H$6:$H$40,MATCH(G178,'TDS Rates'!$B$6:$B$40,0))),IF(INDEX('TDS Rates'!$F$6:$F$40,MATCH(G178,'TDS Rates'!$B$6:$B$40,0))="SA",IF(L178+H178&gt;INDEX('TDS Rates'!$H$6:$H$40,MATCH(G178,'TDS Rates'!$B$6:$B$40,0)),H178+M178,IF(H178&gt;INDEX('TDS Rates'!$G$6:$G$40,MATCH(G178,'TDS Rates'!$B$6:$B$40,0)),H178,0)),IF(L178+H178&gt;INDEX('TDS Rates'!$H$6:$H$40,MATCH(G178,'TDS Rates'!$B$6:$B$40,0)),H178+M178,0))))),0))</f>
        <v/>
      </c>
      <c r="O178" s="33" t="str">
        <f aca="false">IF(OR(G178="",H178=""),"",IFERROR(IF(F178="No",IF(INDEX('TDS Rates'!$C$6:$C$40,MATCH(G178,'TDS Rates'!$B$6:$B$40,0))="194Q",Settings!$C$14,MAX(Settings!$C$13,IF(E178="Individual / HUF",INDEX('TDS Rates'!$I$6:$I$40,MATCH(G178,'TDS Rates'!$B$6:$B$40,0)),IF(E178="Company",INDEX('TDS Rates'!$J$6:$J$40,MATCH(G178,'TDS Rates'!$B$6:$B$40,0)),INDEX('TDS Rates'!$K$6:$K$40,MATCH(G178,'TDS Rates'!$B$6:$B$40,0)))))),IF(E178="Individual / HUF",INDEX('TDS Rates'!$I$6:$I$40,MATCH(G178,'TDS Rates'!$B$6:$B$40,0)),IF(E178="Company",INDEX('TDS Rates'!$J$6:$J$40,MATCH(G178,'TDS Rates'!$B$6:$B$40,0)),INDEX('TDS Rates'!$K$6:$K$40,MATCH(G178,'TDS Rates'!$B$6:$B$40,0))))),0))</f>
        <v/>
      </c>
      <c r="P178" s="34" t="str">
        <f aca="false">IF(OR(G178="",H178=""),"",ROUND(N178*O178,0))</f>
        <v/>
      </c>
      <c r="Q178" s="27" t="str">
        <f aca="false">IF(OR(G178="",H178=""),"",IFERROR(IF(INDEX('TDS Rates'!$E$6:$E$40,MATCH(G178,'TDS Rates'!$B$6:$B$40,0))="Form 141",EOMONTH(IF(R178="",B178,R178),0)+30,IF(MONTH(IF(R178="",B178,R178))=3,DATE(YEAR(IF(R178="",B178,R178)),4,30),DATE(YEAR(IF(R178="",B178,R178)),MONTH(IF(R178="",B178,R178))+1,7))),""))</f>
        <v/>
      </c>
      <c r="R178" s="17"/>
      <c r="S178" s="17"/>
      <c r="T178" s="5"/>
      <c r="U178" s="28" t="str">
        <f aca="false">IF(OR(G178="",H178=""),"",IF(P178=0,0,IF(IF(R178="",Settings!$C$9,R178)&lt;=B178,0,((YEAR(IF(R178="",Settings!$C$9,R178))-YEAR(B178))*12+MONTH(IF(R178="",Settings!$C$9,R178))-MONTH(B178)+1))))</f>
        <v/>
      </c>
      <c r="V178" s="29" t="str">
        <f aca="false">IF(OR(G178="",H178=""),"",ROUND(P178*Settings!$C$10*U178,0))</f>
        <v/>
      </c>
      <c r="W178" s="28" t="str">
        <f aca="false">IF(OR(G178="",H178=""),"",IF(OR(P178=0,R178=""),0,IF(IF(S178="",Settings!$C$9,S178)&lt;=Q178,0,((YEAR(IF(S178="",Settings!$C$9,S178))-YEAR(R178))*12+MONTH(IF(S178="",Settings!$C$9,S178))-MONTH(R178)+1))))</f>
        <v/>
      </c>
      <c r="X178" s="29" t="str">
        <f aca="false">IF(OR(G178="",H178=""),"",ROUND(P178*Settings!$C$11*W178,0))</f>
        <v/>
      </c>
      <c r="Y178" s="29" t="str">
        <f aca="false">IF(OR(G178="",H178=""),"",V178+X178)</f>
        <v/>
      </c>
      <c r="Z178" s="7" t="str">
        <f aca="false">IF(OR(G178="",H178=""),"",IF(P178=0,"Below threshold",IF(R178="","Not yet deducted",IF(S178="",IF(Settings!$C$9&gt;Q178,"Overdue — pay now","Deducted, due "&amp;TEXT(Q178,"dd-mmm")),IF(S178&lt;=Q178,IF(N(U178)&gt;0,"Deducted late, paid on time","Paid on time"),"Paid late")))))</f>
        <v/>
      </c>
      <c r="AA178" s="35" t="str">
        <f aca="false">IF(OR(G178="",H178=""),"",IF(D178&lt;&gt;"",UPPER(TRIM(D178)),UPPER(TRIM(C178))))</f>
        <v/>
      </c>
    </row>
    <row r="179" customFormat="false" ht="15" hidden="false" customHeight="false" outlineLevel="0" collapsed="false">
      <c r="B179" s="17"/>
      <c r="C179" s="5"/>
      <c r="D179" s="5"/>
      <c r="E179" s="5"/>
      <c r="F179" s="5"/>
      <c r="G179" s="5"/>
      <c r="H179" s="16"/>
      <c r="I179" s="7" t="str">
        <f aca="false">IF(OR(G179="",H179=""),"",IFERROR(INDEX('TDS Rates'!$D$6:$D$40,MATCH(G179,'TDS Rates'!$B$6:$B$40,0)),"Check nature"))</f>
        <v/>
      </c>
      <c r="J179" s="7" t="str">
        <f aca="false">IF(OR(G179="",H179=""),"",IFERROR(INDEX('TDS Rates'!$C$6:$C$40,MATCH(G179,'TDS Rates'!$B$6:$B$40,0)),""))</f>
        <v/>
      </c>
      <c r="K179" s="7" t="str">
        <f aca="false">IF(OR(G179="",H179=""),"",IFERROR(INDEX('TDS Rates'!$E$6:$E$40,MATCH(G179,'TDS Rates'!$B$6:$B$40,0)),""))</f>
        <v/>
      </c>
      <c r="L179" s="29" t="str">
        <f aca="false">IF(OR(G179="",H179=""),"",SUMIFS(H$6:H178,AA$6:AA178,AA179,G$6:G178,G179))</f>
        <v/>
      </c>
      <c r="M179" s="29" t="str">
        <f aca="false">IF(OR(G179="",H179=""),"",SUMIFS(H$6:H178,AA$6:AA178,AA179,G$6:G178,G179,N$6:N178,0))</f>
        <v/>
      </c>
      <c r="N179" s="29" t="str">
        <f aca="false">IF(OR(G179="",H179=""),"",IFERROR(IF(INDEX('TDS Rates'!$F$6:$F$40,MATCH(G179,'TDS Rates'!$B$6:$B$40,0))="NONE",H179,IF(INDEX('TDS Rates'!$F$6:$F$40,MATCH(G179,'TDS Rates'!$B$6:$B$40,0))="PER",IF(H179&gt;INDEX('TDS Rates'!$G$6:$G$40,MATCH(G179,'TDS Rates'!$B$6:$B$40,0)),H179,0),IF(INDEX('TDS Rates'!$F$6:$F$40,MATCH(G179,'TDS Rates'!$B$6:$B$40,0))="EXCESS",MAX(0,L179+H179-INDEX('TDS Rates'!$H$6:$H$40,MATCH(G179,'TDS Rates'!$B$6:$B$40,0)))-MAX(0,L179-INDEX('TDS Rates'!$H$6:$H$40,MATCH(G179,'TDS Rates'!$B$6:$B$40,0))),IF(INDEX('TDS Rates'!$F$6:$F$40,MATCH(G179,'TDS Rates'!$B$6:$B$40,0))="SA",IF(L179+H179&gt;INDEX('TDS Rates'!$H$6:$H$40,MATCH(G179,'TDS Rates'!$B$6:$B$40,0)),H179+M179,IF(H179&gt;INDEX('TDS Rates'!$G$6:$G$40,MATCH(G179,'TDS Rates'!$B$6:$B$40,0)),H179,0)),IF(L179+H179&gt;INDEX('TDS Rates'!$H$6:$H$40,MATCH(G179,'TDS Rates'!$B$6:$B$40,0)),H179+M179,0))))),0))</f>
        <v/>
      </c>
      <c r="O179" s="33" t="str">
        <f aca="false">IF(OR(G179="",H179=""),"",IFERROR(IF(F179="No",IF(INDEX('TDS Rates'!$C$6:$C$40,MATCH(G179,'TDS Rates'!$B$6:$B$40,0))="194Q",Settings!$C$14,MAX(Settings!$C$13,IF(E179="Individual / HUF",INDEX('TDS Rates'!$I$6:$I$40,MATCH(G179,'TDS Rates'!$B$6:$B$40,0)),IF(E179="Company",INDEX('TDS Rates'!$J$6:$J$40,MATCH(G179,'TDS Rates'!$B$6:$B$40,0)),INDEX('TDS Rates'!$K$6:$K$40,MATCH(G179,'TDS Rates'!$B$6:$B$40,0)))))),IF(E179="Individual / HUF",INDEX('TDS Rates'!$I$6:$I$40,MATCH(G179,'TDS Rates'!$B$6:$B$40,0)),IF(E179="Company",INDEX('TDS Rates'!$J$6:$J$40,MATCH(G179,'TDS Rates'!$B$6:$B$40,0)),INDEX('TDS Rates'!$K$6:$K$40,MATCH(G179,'TDS Rates'!$B$6:$B$40,0))))),0))</f>
        <v/>
      </c>
      <c r="P179" s="34" t="str">
        <f aca="false">IF(OR(G179="",H179=""),"",ROUND(N179*O179,0))</f>
        <v/>
      </c>
      <c r="Q179" s="27" t="str">
        <f aca="false">IF(OR(G179="",H179=""),"",IFERROR(IF(INDEX('TDS Rates'!$E$6:$E$40,MATCH(G179,'TDS Rates'!$B$6:$B$40,0))="Form 141",EOMONTH(IF(R179="",B179,R179),0)+30,IF(MONTH(IF(R179="",B179,R179))=3,DATE(YEAR(IF(R179="",B179,R179)),4,30),DATE(YEAR(IF(R179="",B179,R179)),MONTH(IF(R179="",B179,R179))+1,7))),""))</f>
        <v/>
      </c>
      <c r="R179" s="17"/>
      <c r="S179" s="17"/>
      <c r="T179" s="5"/>
      <c r="U179" s="28" t="str">
        <f aca="false">IF(OR(G179="",H179=""),"",IF(P179=0,0,IF(IF(R179="",Settings!$C$9,R179)&lt;=B179,0,((YEAR(IF(R179="",Settings!$C$9,R179))-YEAR(B179))*12+MONTH(IF(R179="",Settings!$C$9,R179))-MONTH(B179)+1))))</f>
        <v/>
      </c>
      <c r="V179" s="29" t="str">
        <f aca="false">IF(OR(G179="",H179=""),"",ROUND(P179*Settings!$C$10*U179,0))</f>
        <v/>
      </c>
      <c r="W179" s="28" t="str">
        <f aca="false">IF(OR(G179="",H179=""),"",IF(OR(P179=0,R179=""),0,IF(IF(S179="",Settings!$C$9,S179)&lt;=Q179,0,((YEAR(IF(S179="",Settings!$C$9,S179))-YEAR(R179))*12+MONTH(IF(S179="",Settings!$C$9,S179))-MONTH(R179)+1))))</f>
        <v/>
      </c>
      <c r="X179" s="29" t="str">
        <f aca="false">IF(OR(G179="",H179=""),"",ROUND(P179*Settings!$C$11*W179,0))</f>
        <v/>
      </c>
      <c r="Y179" s="29" t="str">
        <f aca="false">IF(OR(G179="",H179=""),"",V179+X179)</f>
        <v/>
      </c>
      <c r="Z179" s="7" t="str">
        <f aca="false">IF(OR(G179="",H179=""),"",IF(P179=0,"Below threshold",IF(R179="","Not yet deducted",IF(S179="",IF(Settings!$C$9&gt;Q179,"Overdue — pay now","Deducted, due "&amp;TEXT(Q179,"dd-mmm")),IF(S179&lt;=Q179,IF(N(U179)&gt;0,"Deducted late, paid on time","Paid on time"),"Paid late")))))</f>
        <v/>
      </c>
      <c r="AA179" s="35" t="str">
        <f aca="false">IF(OR(G179="",H179=""),"",IF(D179&lt;&gt;"",UPPER(TRIM(D179)),UPPER(TRIM(C179))))</f>
        <v/>
      </c>
    </row>
    <row r="180" customFormat="false" ht="15" hidden="false" customHeight="false" outlineLevel="0" collapsed="false">
      <c r="B180" s="17"/>
      <c r="C180" s="5"/>
      <c r="D180" s="5"/>
      <c r="E180" s="5"/>
      <c r="F180" s="5"/>
      <c r="G180" s="5"/>
      <c r="H180" s="16"/>
      <c r="I180" s="7" t="str">
        <f aca="false">IF(OR(G180="",H180=""),"",IFERROR(INDEX('TDS Rates'!$D$6:$D$40,MATCH(G180,'TDS Rates'!$B$6:$B$40,0)),"Check nature"))</f>
        <v/>
      </c>
      <c r="J180" s="7" t="str">
        <f aca="false">IF(OR(G180="",H180=""),"",IFERROR(INDEX('TDS Rates'!$C$6:$C$40,MATCH(G180,'TDS Rates'!$B$6:$B$40,0)),""))</f>
        <v/>
      </c>
      <c r="K180" s="7" t="str">
        <f aca="false">IF(OR(G180="",H180=""),"",IFERROR(INDEX('TDS Rates'!$E$6:$E$40,MATCH(G180,'TDS Rates'!$B$6:$B$40,0)),""))</f>
        <v/>
      </c>
      <c r="L180" s="29" t="str">
        <f aca="false">IF(OR(G180="",H180=""),"",SUMIFS(H$6:H179,AA$6:AA179,AA180,G$6:G179,G180))</f>
        <v/>
      </c>
      <c r="M180" s="29" t="str">
        <f aca="false">IF(OR(G180="",H180=""),"",SUMIFS(H$6:H179,AA$6:AA179,AA180,G$6:G179,G180,N$6:N179,0))</f>
        <v/>
      </c>
      <c r="N180" s="29" t="str">
        <f aca="false">IF(OR(G180="",H180=""),"",IFERROR(IF(INDEX('TDS Rates'!$F$6:$F$40,MATCH(G180,'TDS Rates'!$B$6:$B$40,0))="NONE",H180,IF(INDEX('TDS Rates'!$F$6:$F$40,MATCH(G180,'TDS Rates'!$B$6:$B$40,0))="PER",IF(H180&gt;INDEX('TDS Rates'!$G$6:$G$40,MATCH(G180,'TDS Rates'!$B$6:$B$40,0)),H180,0),IF(INDEX('TDS Rates'!$F$6:$F$40,MATCH(G180,'TDS Rates'!$B$6:$B$40,0))="EXCESS",MAX(0,L180+H180-INDEX('TDS Rates'!$H$6:$H$40,MATCH(G180,'TDS Rates'!$B$6:$B$40,0)))-MAX(0,L180-INDEX('TDS Rates'!$H$6:$H$40,MATCH(G180,'TDS Rates'!$B$6:$B$40,0))),IF(INDEX('TDS Rates'!$F$6:$F$40,MATCH(G180,'TDS Rates'!$B$6:$B$40,0))="SA",IF(L180+H180&gt;INDEX('TDS Rates'!$H$6:$H$40,MATCH(G180,'TDS Rates'!$B$6:$B$40,0)),H180+M180,IF(H180&gt;INDEX('TDS Rates'!$G$6:$G$40,MATCH(G180,'TDS Rates'!$B$6:$B$40,0)),H180,0)),IF(L180+H180&gt;INDEX('TDS Rates'!$H$6:$H$40,MATCH(G180,'TDS Rates'!$B$6:$B$40,0)),H180+M180,0))))),0))</f>
        <v/>
      </c>
      <c r="O180" s="33" t="str">
        <f aca="false">IF(OR(G180="",H180=""),"",IFERROR(IF(F180="No",IF(INDEX('TDS Rates'!$C$6:$C$40,MATCH(G180,'TDS Rates'!$B$6:$B$40,0))="194Q",Settings!$C$14,MAX(Settings!$C$13,IF(E180="Individual / HUF",INDEX('TDS Rates'!$I$6:$I$40,MATCH(G180,'TDS Rates'!$B$6:$B$40,0)),IF(E180="Company",INDEX('TDS Rates'!$J$6:$J$40,MATCH(G180,'TDS Rates'!$B$6:$B$40,0)),INDEX('TDS Rates'!$K$6:$K$40,MATCH(G180,'TDS Rates'!$B$6:$B$40,0)))))),IF(E180="Individual / HUF",INDEX('TDS Rates'!$I$6:$I$40,MATCH(G180,'TDS Rates'!$B$6:$B$40,0)),IF(E180="Company",INDEX('TDS Rates'!$J$6:$J$40,MATCH(G180,'TDS Rates'!$B$6:$B$40,0)),INDEX('TDS Rates'!$K$6:$K$40,MATCH(G180,'TDS Rates'!$B$6:$B$40,0))))),0))</f>
        <v/>
      </c>
      <c r="P180" s="34" t="str">
        <f aca="false">IF(OR(G180="",H180=""),"",ROUND(N180*O180,0))</f>
        <v/>
      </c>
      <c r="Q180" s="27" t="str">
        <f aca="false">IF(OR(G180="",H180=""),"",IFERROR(IF(INDEX('TDS Rates'!$E$6:$E$40,MATCH(G180,'TDS Rates'!$B$6:$B$40,0))="Form 141",EOMONTH(IF(R180="",B180,R180),0)+30,IF(MONTH(IF(R180="",B180,R180))=3,DATE(YEAR(IF(R180="",B180,R180)),4,30),DATE(YEAR(IF(R180="",B180,R180)),MONTH(IF(R180="",B180,R180))+1,7))),""))</f>
        <v/>
      </c>
      <c r="R180" s="17"/>
      <c r="S180" s="17"/>
      <c r="T180" s="5"/>
      <c r="U180" s="28" t="str">
        <f aca="false">IF(OR(G180="",H180=""),"",IF(P180=0,0,IF(IF(R180="",Settings!$C$9,R180)&lt;=B180,0,((YEAR(IF(R180="",Settings!$C$9,R180))-YEAR(B180))*12+MONTH(IF(R180="",Settings!$C$9,R180))-MONTH(B180)+1))))</f>
        <v/>
      </c>
      <c r="V180" s="29" t="str">
        <f aca="false">IF(OR(G180="",H180=""),"",ROUND(P180*Settings!$C$10*U180,0))</f>
        <v/>
      </c>
      <c r="W180" s="28" t="str">
        <f aca="false">IF(OR(G180="",H180=""),"",IF(OR(P180=0,R180=""),0,IF(IF(S180="",Settings!$C$9,S180)&lt;=Q180,0,((YEAR(IF(S180="",Settings!$C$9,S180))-YEAR(R180))*12+MONTH(IF(S180="",Settings!$C$9,S180))-MONTH(R180)+1))))</f>
        <v/>
      </c>
      <c r="X180" s="29" t="str">
        <f aca="false">IF(OR(G180="",H180=""),"",ROUND(P180*Settings!$C$11*W180,0))</f>
        <v/>
      </c>
      <c r="Y180" s="29" t="str">
        <f aca="false">IF(OR(G180="",H180=""),"",V180+X180)</f>
        <v/>
      </c>
      <c r="Z180" s="7" t="str">
        <f aca="false">IF(OR(G180="",H180=""),"",IF(P180=0,"Below threshold",IF(R180="","Not yet deducted",IF(S180="",IF(Settings!$C$9&gt;Q180,"Overdue — pay now","Deducted, due "&amp;TEXT(Q180,"dd-mmm")),IF(S180&lt;=Q180,IF(N(U180)&gt;0,"Deducted late, paid on time","Paid on time"),"Paid late")))))</f>
        <v/>
      </c>
      <c r="AA180" s="35" t="str">
        <f aca="false">IF(OR(G180="",H180=""),"",IF(D180&lt;&gt;"",UPPER(TRIM(D180)),UPPER(TRIM(C180))))</f>
        <v/>
      </c>
    </row>
    <row r="181" customFormat="false" ht="15" hidden="false" customHeight="false" outlineLevel="0" collapsed="false">
      <c r="B181" s="17"/>
      <c r="C181" s="5"/>
      <c r="D181" s="5"/>
      <c r="E181" s="5"/>
      <c r="F181" s="5"/>
      <c r="G181" s="5"/>
      <c r="H181" s="16"/>
      <c r="I181" s="7" t="str">
        <f aca="false">IF(OR(G181="",H181=""),"",IFERROR(INDEX('TDS Rates'!$D$6:$D$40,MATCH(G181,'TDS Rates'!$B$6:$B$40,0)),"Check nature"))</f>
        <v/>
      </c>
      <c r="J181" s="7" t="str">
        <f aca="false">IF(OR(G181="",H181=""),"",IFERROR(INDEX('TDS Rates'!$C$6:$C$40,MATCH(G181,'TDS Rates'!$B$6:$B$40,0)),""))</f>
        <v/>
      </c>
      <c r="K181" s="7" t="str">
        <f aca="false">IF(OR(G181="",H181=""),"",IFERROR(INDEX('TDS Rates'!$E$6:$E$40,MATCH(G181,'TDS Rates'!$B$6:$B$40,0)),""))</f>
        <v/>
      </c>
      <c r="L181" s="29" t="str">
        <f aca="false">IF(OR(G181="",H181=""),"",SUMIFS(H$6:H180,AA$6:AA180,AA181,G$6:G180,G181))</f>
        <v/>
      </c>
      <c r="M181" s="29" t="str">
        <f aca="false">IF(OR(G181="",H181=""),"",SUMIFS(H$6:H180,AA$6:AA180,AA181,G$6:G180,G181,N$6:N180,0))</f>
        <v/>
      </c>
      <c r="N181" s="29" t="str">
        <f aca="false">IF(OR(G181="",H181=""),"",IFERROR(IF(INDEX('TDS Rates'!$F$6:$F$40,MATCH(G181,'TDS Rates'!$B$6:$B$40,0))="NONE",H181,IF(INDEX('TDS Rates'!$F$6:$F$40,MATCH(G181,'TDS Rates'!$B$6:$B$40,0))="PER",IF(H181&gt;INDEX('TDS Rates'!$G$6:$G$40,MATCH(G181,'TDS Rates'!$B$6:$B$40,0)),H181,0),IF(INDEX('TDS Rates'!$F$6:$F$40,MATCH(G181,'TDS Rates'!$B$6:$B$40,0))="EXCESS",MAX(0,L181+H181-INDEX('TDS Rates'!$H$6:$H$40,MATCH(G181,'TDS Rates'!$B$6:$B$40,0)))-MAX(0,L181-INDEX('TDS Rates'!$H$6:$H$40,MATCH(G181,'TDS Rates'!$B$6:$B$40,0))),IF(INDEX('TDS Rates'!$F$6:$F$40,MATCH(G181,'TDS Rates'!$B$6:$B$40,0))="SA",IF(L181+H181&gt;INDEX('TDS Rates'!$H$6:$H$40,MATCH(G181,'TDS Rates'!$B$6:$B$40,0)),H181+M181,IF(H181&gt;INDEX('TDS Rates'!$G$6:$G$40,MATCH(G181,'TDS Rates'!$B$6:$B$40,0)),H181,0)),IF(L181+H181&gt;INDEX('TDS Rates'!$H$6:$H$40,MATCH(G181,'TDS Rates'!$B$6:$B$40,0)),H181+M181,0))))),0))</f>
        <v/>
      </c>
      <c r="O181" s="33" t="str">
        <f aca="false">IF(OR(G181="",H181=""),"",IFERROR(IF(F181="No",IF(INDEX('TDS Rates'!$C$6:$C$40,MATCH(G181,'TDS Rates'!$B$6:$B$40,0))="194Q",Settings!$C$14,MAX(Settings!$C$13,IF(E181="Individual / HUF",INDEX('TDS Rates'!$I$6:$I$40,MATCH(G181,'TDS Rates'!$B$6:$B$40,0)),IF(E181="Company",INDEX('TDS Rates'!$J$6:$J$40,MATCH(G181,'TDS Rates'!$B$6:$B$40,0)),INDEX('TDS Rates'!$K$6:$K$40,MATCH(G181,'TDS Rates'!$B$6:$B$40,0)))))),IF(E181="Individual / HUF",INDEX('TDS Rates'!$I$6:$I$40,MATCH(G181,'TDS Rates'!$B$6:$B$40,0)),IF(E181="Company",INDEX('TDS Rates'!$J$6:$J$40,MATCH(G181,'TDS Rates'!$B$6:$B$40,0)),INDEX('TDS Rates'!$K$6:$K$40,MATCH(G181,'TDS Rates'!$B$6:$B$40,0))))),0))</f>
        <v/>
      </c>
      <c r="P181" s="34" t="str">
        <f aca="false">IF(OR(G181="",H181=""),"",ROUND(N181*O181,0))</f>
        <v/>
      </c>
      <c r="Q181" s="27" t="str">
        <f aca="false">IF(OR(G181="",H181=""),"",IFERROR(IF(INDEX('TDS Rates'!$E$6:$E$40,MATCH(G181,'TDS Rates'!$B$6:$B$40,0))="Form 141",EOMONTH(IF(R181="",B181,R181),0)+30,IF(MONTH(IF(R181="",B181,R181))=3,DATE(YEAR(IF(R181="",B181,R181)),4,30),DATE(YEAR(IF(R181="",B181,R181)),MONTH(IF(R181="",B181,R181))+1,7))),""))</f>
        <v/>
      </c>
      <c r="R181" s="17"/>
      <c r="S181" s="17"/>
      <c r="T181" s="5"/>
      <c r="U181" s="28" t="str">
        <f aca="false">IF(OR(G181="",H181=""),"",IF(P181=0,0,IF(IF(R181="",Settings!$C$9,R181)&lt;=B181,0,((YEAR(IF(R181="",Settings!$C$9,R181))-YEAR(B181))*12+MONTH(IF(R181="",Settings!$C$9,R181))-MONTH(B181)+1))))</f>
        <v/>
      </c>
      <c r="V181" s="29" t="str">
        <f aca="false">IF(OR(G181="",H181=""),"",ROUND(P181*Settings!$C$10*U181,0))</f>
        <v/>
      </c>
      <c r="W181" s="28" t="str">
        <f aca="false">IF(OR(G181="",H181=""),"",IF(OR(P181=0,R181=""),0,IF(IF(S181="",Settings!$C$9,S181)&lt;=Q181,0,((YEAR(IF(S181="",Settings!$C$9,S181))-YEAR(R181))*12+MONTH(IF(S181="",Settings!$C$9,S181))-MONTH(R181)+1))))</f>
        <v/>
      </c>
      <c r="X181" s="29" t="str">
        <f aca="false">IF(OR(G181="",H181=""),"",ROUND(P181*Settings!$C$11*W181,0))</f>
        <v/>
      </c>
      <c r="Y181" s="29" t="str">
        <f aca="false">IF(OR(G181="",H181=""),"",V181+X181)</f>
        <v/>
      </c>
      <c r="Z181" s="7" t="str">
        <f aca="false">IF(OR(G181="",H181=""),"",IF(P181=0,"Below threshold",IF(R181="","Not yet deducted",IF(S181="",IF(Settings!$C$9&gt;Q181,"Overdue — pay now","Deducted, due "&amp;TEXT(Q181,"dd-mmm")),IF(S181&lt;=Q181,IF(N(U181)&gt;0,"Deducted late, paid on time","Paid on time"),"Paid late")))))</f>
        <v/>
      </c>
      <c r="AA181" s="35" t="str">
        <f aca="false">IF(OR(G181="",H181=""),"",IF(D181&lt;&gt;"",UPPER(TRIM(D181)),UPPER(TRIM(C181))))</f>
        <v/>
      </c>
    </row>
    <row r="182" customFormat="false" ht="15" hidden="false" customHeight="false" outlineLevel="0" collapsed="false">
      <c r="B182" s="17"/>
      <c r="C182" s="5"/>
      <c r="D182" s="5"/>
      <c r="E182" s="5"/>
      <c r="F182" s="5"/>
      <c r="G182" s="5"/>
      <c r="H182" s="16"/>
      <c r="I182" s="7" t="str">
        <f aca="false">IF(OR(G182="",H182=""),"",IFERROR(INDEX('TDS Rates'!$D$6:$D$40,MATCH(G182,'TDS Rates'!$B$6:$B$40,0)),"Check nature"))</f>
        <v/>
      </c>
      <c r="J182" s="7" t="str">
        <f aca="false">IF(OR(G182="",H182=""),"",IFERROR(INDEX('TDS Rates'!$C$6:$C$40,MATCH(G182,'TDS Rates'!$B$6:$B$40,0)),""))</f>
        <v/>
      </c>
      <c r="K182" s="7" t="str">
        <f aca="false">IF(OR(G182="",H182=""),"",IFERROR(INDEX('TDS Rates'!$E$6:$E$40,MATCH(G182,'TDS Rates'!$B$6:$B$40,0)),""))</f>
        <v/>
      </c>
      <c r="L182" s="29" t="str">
        <f aca="false">IF(OR(G182="",H182=""),"",SUMIFS(H$6:H181,AA$6:AA181,AA182,G$6:G181,G182))</f>
        <v/>
      </c>
      <c r="M182" s="29" t="str">
        <f aca="false">IF(OR(G182="",H182=""),"",SUMIFS(H$6:H181,AA$6:AA181,AA182,G$6:G181,G182,N$6:N181,0))</f>
        <v/>
      </c>
      <c r="N182" s="29" t="str">
        <f aca="false">IF(OR(G182="",H182=""),"",IFERROR(IF(INDEX('TDS Rates'!$F$6:$F$40,MATCH(G182,'TDS Rates'!$B$6:$B$40,0))="NONE",H182,IF(INDEX('TDS Rates'!$F$6:$F$40,MATCH(G182,'TDS Rates'!$B$6:$B$40,0))="PER",IF(H182&gt;INDEX('TDS Rates'!$G$6:$G$40,MATCH(G182,'TDS Rates'!$B$6:$B$40,0)),H182,0),IF(INDEX('TDS Rates'!$F$6:$F$40,MATCH(G182,'TDS Rates'!$B$6:$B$40,0))="EXCESS",MAX(0,L182+H182-INDEX('TDS Rates'!$H$6:$H$40,MATCH(G182,'TDS Rates'!$B$6:$B$40,0)))-MAX(0,L182-INDEX('TDS Rates'!$H$6:$H$40,MATCH(G182,'TDS Rates'!$B$6:$B$40,0))),IF(INDEX('TDS Rates'!$F$6:$F$40,MATCH(G182,'TDS Rates'!$B$6:$B$40,0))="SA",IF(L182+H182&gt;INDEX('TDS Rates'!$H$6:$H$40,MATCH(G182,'TDS Rates'!$B$6:$B$40,0)),H182+M182,IF(H182&gt;INDEX('TDS Rates'!$G$6:$G$40,MATCH(G182,'TDS Rates'!$B$6:$B$40,0)),H182,0)),IF(L182+H182&gt;INDEX('TDS Rates'!$H$6:$H$40,MATCH(G182,'TDS Rates'!$B$6:$B$40,0)),H182+M182,0))))),0))</f>
        <v/>
      </c>
      <c r="O182" s="33" t="str">
        <f aca="false">IF(OR(G182="",H182=""),"",IFERROR(IF(F182="No",IF(INDEX('TDS Rates'!$C$6:$C$40,MATCH(G182,'TDS Rates'!$B$6:$B$40,0))="194Q",Settings!$C$14,MAX(Settings!$C$13,IF(E182="Individual / HUF",INDEX('TDS Rates'!$I$6:$I$40,MATCH(G182,'TDS Rates'!$B$6:$B$40,0)),IF(E182="Company",INDEX('TDS Rates'!$J$6:$J$40,MATCH(G182,'TDS Rates'!$B$6:$B$40,0)),INDEX('TDS Rates'!$K$6:$K$40,MATCH(G182,'TDS Rates'!$B$6:$B$40,0)))))),IF(E182="Individual / HUF",INDEX('TDS Rates'!$I$6:$I$40,MATCH(G182,'TDS Rates'!$B$6:$B$40,0)),IF(E182="Company",INDEX('TDS Rates'!$J$6:$J$40,MATCH(G182,'TDS Rates'!$B$6:$B$40,0)),INDEX('TDS Rates'!$K$6:$K$40,MATCH(G182,'TDS Rates'!$B$6:$B$40,0))))),0))</f>
        <v/>
      </c>
      <c r="P182" s="34" t="str">
        <f aca="false">IF(OR(G182="",H182=""),"",ROUND(N182*O182,0))</f>
        <v/>
      </c>
      <c r="Q182" s="27" t="str">
        <f aca="false">IF(OR(G182="",H182=""),"",IFERROR(IF(INDEX('TDS Rates'!$E$6:$E$40,MATCH(G182,'TDS Rates'!$B$6:$B$40,0))="Form 141",EOMONTH(IF(R182="",B182,R182),0)+30,IF(MONTH(IF(R182="",B182,R182))=3,DATE(YEAR(IF(R182="",B182,R182)),4,30),DATE(YEAR(IF(R182="",B182,R182)),MONTH(IF(R182="",B182,R182))+1,7))),""))</f>
        <v/>
      </c>
      <c r="R182" s="17"/>
      <c r="S182" s="17"/>
      <c r="T182" s="5"/>
      <c r="U182" s="28" t="str">
        <f aca="false">IF(OR(G182="",H182=""),"",IF(P182=0,0,IF(IF(R182="",Settings!$C$9,R182)&lt;=B182,0,((YEAR(IF(R182="",Settings!$C$9,R182))-YEAR(B182))*12+MONTH(IF(R182="",Settings!$C$9,R182))-MONTH(B182)+1))))</f>
        <v/>
      </c>
      <c r="V182" s="29" t="str">
        <f aca="false">IF(OR(G182="",H182=""),"",ROUND(P182*Settings!$C$10*U182,0))</f>
        <v/>
      </c>
      <c r="W182" s="28" t="str">
        <f aca="false">IF(OR(G182="",H182=""),"",IF(OR(P182=0,R182=""),0,IF(IF(S182="",Settings!$C$9,S182)&lt;=Q182,0,((YEAR(IF(S182="",Settings!$C$9,S182))-YEAR(R182))*12+MONTH(IF(S182="",Settings!$C$9,S182))-MONTH(R182)+1))))</f>
        <v/>
      </c>
      <c r="X182" s="29" t="str">
        <f aca="false">IF(OR(G182="",H182=""),"",ROUND(P182*Settings!$C$11*W182,0))</f>
        <v/>
      </c>
      <c r="Y182" s="29" t="str">
        <f aca="false">IF(OR(G182="",H182=""),"",V182+X182)</f>
        <v/>
      </c>
      <c r="Z182" s="7" t="str">
        <f aca="false">IF(OR(G182="",H182=""),"",IF(P182=0,"Below threshold",IF(R182="","Not yet deducted",IF(S182="",IF(Settings!$C$9&gt;Q182,"Overdue — pay now","Deducted, due "&amp;TEXT(Q182,"dd-mmm")),IF(S182&lt;=Q182,IF(N(U182)&gt;0,"Deducted late, paid on time","Paid on time"),"Paid late")))))</f>
        <v/>
      </c>
      <c r="AA182" s="35" t="str">
        <f aca="false">IF(OR(G182="",H182=""),"",IF(D182&lt;&gt;"",UPPER(TRIM(D182)),UPPER(TRIM(C182))))</f>
        <v/>
      </c>
    </row>
    <row r="183" customFormat="false" ht="15" hidden="false" customHeight="false" outlineLevel="0" collapsed="false">
      <c r="B183" s="17"/>
      <c r="C183" s="5"/>
      <c r="D183" s="5"/>
      <c r="E183" s="5"/>
      <c r="F183" s="5"/>
      <c r="G183" s="5"/>
      <c r="H183" s="16"/>
      <c r="I183" s="7" t="str">
        <f aca="false">IF(OR(G183="",H183=""),"",IFERROR(INDEX('TDS Rates'!$D$6:$D$40,MATCH(G183,'TDS Rates'!$B$6:$B$40,0)),"Check nature"))</f>
        <v/>
      </c>
      <c r="J183" s="7" t="str">
        <f aca="false">IF(OR(G183="",H183=""),"",IFERROR(INDEX('TDS Rates'!$C$6:$C$40,MATCH(G183,'TDS Rates'!$B$6:$B$40,0)),""))</f>
        <v/>
      </c>
      <c r="K183" s="7" t="str">
        <f aca="false">IF(OR(G183="",H183=""),"",IFERROR(INDEX('TDS Rates'!$E$6:$E$40,MATCH(G183,'TDS Rates'!$B$6:$B$40,0)),""))</f>
        <v/>
      </c>
      <c r="L183" s="29" t="str">
        <f aca="false">IF(OR(G183="",H183=""),"",SUMIFS(H$6:H182,AA$6:AA182,AA183,G$6:G182,G183))</f>
        <v/>
      </c>
      <c r="M183" s="29" t="str">
        <f aca="false">IF(OR(G183="",H183=""),"",SUMIFS(H$6:H182,AA$6:AA182,AA183,G$6:G182,G183,N$6:N182,0))</f>
        <v/>
      </c>
      <c r="N183" s="29" t="str">
        <f aca="false">IF(OR(G183="",H183=""),"",IFERROR(IF(INDEX('TDS Rates'!$F$6:$F$40,MATCH(G183,'TDS Rates'!$B$6:$B$40,0))="NONE",H183,IF(INDEX('TDS Rates'!$F$6:$F$40,MATCH(G183,'TDS Rates'!$B$6:$B$40,0))="PER",IF(H183&gt;INDEX('TDS Rates'!$G$6:$G$40,MATCH(G183,'TDS Rates'!$B$6:$B$40,0)),H183,0),IF(INDEX('TDS Rates'!$F$6:$F$40,MATCH(G183,'TDS Rates'!$B$6:$B$40,0))="EXCESS",MAX(0,L183+H183-INDEX('TDS Rates'!$H$6:$H$40,MATCH(G183,'TDS Rates'!$B$6:$B$40,0)))-MAX(0,L183-INDEX('TDS Rates'!$H$6:$H$40,MATCH(G183,'TDS Rates'!$B$6:$B$40,0))),IF(INDEX('TDS Rates'!$F$6:$F$40,MATCH(G183,'TDS Rates'!$B$6:$B$40,0))="SA",IF(L183+H183&gt;INDEX('TDS Rates'!$H$6:$H$40,MATCH(G183,'TDS Rates'!$B$6:$B$40,0)),H183+M183,IF(H183&gt;INDEX('TDS Rates'!$G$6:$G$40,MATCH(G183,'TDS Rates'!$B$6:$B$40,0)),H183,0)),IF(L183+H183&gt;INDEX('TDS Rates'!$H$6:$H$40,MATCH(G183,'TDS Rates'!$B$6:$B$40,0)),H183+M183,0))))),0))</f>
        <v/>
      </c>
      <c r="O183" s="33" t="str">
        <f aca="false">IF(OR(G183="",H183=""),"",IFERROR(IF(F183="No",IF(INDEX('TDS Rates'!$C$6:$C$40,MATCH(G183,'TDS Rates'!$B$6:$B$40,0))="194Q",Settings!$C$14,MAX(Settings!$C$13,IF(E183="Individual / HUF",INDEX('TDS Rates'!$I$6:$I$40,MATCH(G183,'TDS Rates'!$B$6:$B$40,0)),IF(E183="Company",INDEX('TDS Rates'!$J$6:$J$40,MATCH(G183,'TDS Rates'!$B$6:$B$40,0)),INDEX('TDS Rates'!$K$6:$K$40,MATCH(G183,'TDS Rates'!$B$6:$B$40,0)))))),IF(E183="Individual / HUF",INDEX('TDS Rates'!$I$6:$I$40,MATCH(G183,'TDS Rates'!$B$6:$B$40,0)),IF(E183="Company",INDEX('TDS Rates'!$J$6:$J$40,MATCH(G183,'TDS Rates'!$B$6:$B$40,0)),INDEX('TDS Rates'!$K$6:$K$40,MATCH(G183,'TDS Rates'!$B$6:$B$40,0))))),0))</f>
        <v/>
      </c>
      <c r="P183" s="34" t="str">
        <f aca="false">IF(OR(G183="",H183=""),"",ROUND(N183*O183,0))</f>
        <v/>
      </c>
      <c r="Q183" s="27" t="str">
        <f aca="false">IF(OR(G183="",H183=""),"",IFERROR(IF(INDEX('TDS Rates'!$E$6:$E$40,MATCH(G183,'TDS Rates'!$B$6:$B$40,0))="Form 141",EOMONTH(IF(R183="",B183,R183),0)+30,IF(MONTH(IF(R183="",B183,R183))=3,DATE(YEAR(IF(R183="",B183,R183)),4,30),DATE(YEAR(IF(R183="",B183,R183)),MONTH(IF(R183="",B183,R183))+1,7))),""))</f>
        <v/>
      </c>
      <c r="R183" s="17"/>
      <c r="S183" s="17"/>
      <c r="T183" s="5"/>
      <c r="U183" s="28" t="str">
        <f aca="false">IF(OR(G183="",H183=""),"",IF(P183=0,0,IF(IF(R183="",Settings!$C$9,R183)&lt;=B183,0,((YEAR(IF(R183="",Settings!$C$9,R183))-YEAR(B183))*12+MONTH(IF(R183="",Settings!$C$9,R183))-MONTH(B183)+1))))</f>
        <v/>
      </c>
      <c r="V183" s="29" t="str">
        <f aca="false">IF(OR(G183="",H183=""),"",ROUND(P183*Settings!$C$10*U183,0))</f>
        <v/>
      </c>
      <c r="W183" s="28" t="str">
        <f aca="false">IF(OR(G183="",H183=""),"",IF(OR(P183=0,R183=""),0,IF(IF(S183="",Settings!$C$9,S183)&lt;=Q183,0,((YEAR(IF(S183="",Settings!$C$9,S183))-YEAR(R183))*12+MONTH(IF(S183="",Settings!$C$9,S183))-MONTH(R183)+1))))</f>
        <v/>
      </c>
      <c r="X183" s="29" t="str">
        <f aca="false">IF(OR(G183="",H183=""),"",ROUND(P183*Settings!$C$11*W183,0))</f>
        <v/>
      </c>
      <c r="Y183" s="29" t="str">
        <f aca="false">IF(OR(G183="",H183=""),"",V183+X183)</f>
        <v/>
      </c>
      <c r="Z183" s="7" t="str">
        <f aca="false">IF(OR(G183="",H183=""),"",IF(P183=0,"Below threshold",IF(R183="","Not yet deducted",IF(S183="",IF(Settings!$C$9&gt;Q183,"Overdue — pay now","Deducted, due "&amp;TEXT(Q183,"dd-mmm")),IF(S183&lt;=Q183,IF(N(U183)&gt;0,"Deducted late, paid on time","Paid on time"),"Paid late")))))</f>
        <v/>
      </c>
      <c r="AA183" s="35" t="str">
        <f aca="false">IF(OR(G183="",H183=""),"",IF(D183&lt;&gt;"",UPPER(TRIM(D183)),UPPER(TRIM(C183))))</f>
        <v/>
      </c>
    </row>
    <row r="184" customFormat="false" ht="15" hidden="false" customHeight="false" outlineLevel="0" collapsed="false">
      <c r="B184" s="17"/>
      <c r="C184" s="5"/>
      <c r="D184" s="5"/>
      <c r="E184" s="5"/>
      <c r="F184" s="5"/>
      <c r="G184" s="5"/>
      <c r="H184" s="16"/>
      <c r="I184" s="7" t="str">
        <f aca="false">IF(OR(G184="",H184=""),"",IFERROR(INDEX('TDS Rates'!$D$6:$D$40,MATCH(G184,'TDS Rates'!$B$6:$B$40,0)),"Check nature"))</f>
        <v/>
      </c>
      <c r="J184" s="7" t="str">
        <f aca="false">IF(OR(G184="",H184=""),"",IFERROR(INDEX('TDS Rates'!$C$6:$C$40,MATCH(G184,'TDS Rates'!$B$6:$B$40,0)),""))</f>
        <v/>
      </c>
      <c r="K184" s="7" t="str">
        <f aca="false">IF(OR(G184="",H184=""),"",IFERROR(INDEX('TDS Rates'!$E$6:$E$40,MATCH(G184,'TDS Rates'!$B$6:$B$40,0)),""))</f>
        <v/>
      </c>
      <c r="L184" s="29" t="str">
        <f aca="false">IF(OR(G184="",H184=""),"",SUMIFS(H$6:H183,AA$6:AA183,AA184,G$6:G183,G184))</f>
        <v/>
      </c>
      <c r="M184" s="29" t="str">
        <f aca="false">IF(OR(G184="",H184=""),"",SUMIFS(H$6:H183,AA$6:AA183,AA184,G$6:G183,G184,N$6:N183,0))</f>
        <v/>
      </c>
      <c r="N184" s="29" t="str">
        <f aca="false">IF(OR(G184="",H184=""),"",IFERROR(IF(INDEX('TDS Rates'!$F$6:$F$40,MATCH(G184,'TDS Rates'!$B$6:$B$40,0))="NONE",H184,IF(INDEX('TDS Rates'!$F$6:$F$40,MATCH(G184,'TDS Rates'!$B$6:$B$40,0))="PER",IF(H184&gt;INDEX('TDS Rates'!$G$6:$G$40,MATCH(G184,'TDS Rates'!$B$6:$B$40,0)),H184,0),IF(INDEX('TDS Rates'!$F$6:$F$40,MATCH(G184,'TDS Rates'!$B$6:$B$40,0))="EXCESS",MAX(0,L184+H184-INDEX('TDS Rates'!$H$6:$H$40,MATCH(G184,'TDS Rates'!$B$6:$B$40,0)))-MAX(0,L184-INDEX('TDS Rates'!$H$6:$H$40,MATCH(G184,'TDS Rates'!$B$6:$B$40,0))),IF(INDEX('TDS Rates'!$F$6:$F$40,MATCH(G184,'TDS Rates'!$B$6:$B$40,0))="SA",IF(L184+H184&gt;INDEX('TDS Rates'!$H$6:$H$40,MATCH(G184,'TDS Rates'!$B$6:$B$40,0)),H184+M184,IF(H184&gt;INDEX('TDS Rates'!$G$6:$G$40,MATCH(G184,'TDS Rates'!$B$6:$B$40,0)),H184,0)),IF(L184+H184&gt;INDEX('TDS Rates'!$H$6:$H$40,MATCH(G184,'TDS Rates'!$B$6:$B$40,0)),H184+M184,0))))),0))</f>
        <v/>
      </c>
      <c r="O184" s="33" t="str">
        <f aca="false">IF(OR(G184="",H184=""),"",IFERROR(IF(F184="No",IF(INDEX('TDS Rates'!$C$6:$C$40,MATCH(G184,'TDS Rates'!$B$6:$B$40,0))="194Q",Settings!$C$14,MAX(Settings!$C$13,IF(E184="Individual / HUF",INDEX('TDS Rates'!$I$6:$I$40,MATCH(G184,'TDS Rates'!$B$6:$B$40,0)),IF(E184="Company",INDEX('TDS Rates'!$J$6:$J$40,MATCH(G184,'TDS Rates'!$B$6:$B$40,0)),INDEX('TDS Rates'!$K$6:$K$40,MATCH(G184,'TDS Rates'!$B$6:$B$40,0)))))),IF(E184="Individual / HUF",INDEX('TDS Rates'!$I$6:$I$40,MATCH(G184,'TDS Rates'!$B$6:$B$40,0)),IF(E184="Company",INDEX('TDS Rates'!$J$6:$J$40,MATCH(G184,'TDS Rates'!$B$6:$B$40,0)),INDEX('TDS Rates'!$K$6:$K$40,MATCH(G184,'TDS Rates'!$B$6:$B$40,0))))),0))</f>
        <v/>
      </c>
      <c r="P184" s="34" t="str">
        <f aca="false">IF(OR(G184="",H184=""),"",ROUND(N184*O184,0))</f>
        <v/>
      </c>
      <c r="Q184" s="27" t="str">
        <f aca="false">IF(OR(G184="",H184=""),"",IFERROR(IF(INDEX('TDS Rates'!$E$6:$E$40,MATCH(G184,'TDS Rates'!$B$6:$B$40,0))="Form 141",EOMONTH(IF(R184="",B184,R184),0)+30,IF(MONTH(IF(R184="",B184,R184))=3,DATE(YEAR(IF(R184="",B184,R184)),4,30),DATE(YEAR(IF(R184="",B184,R184)),MONTH(IF(R184="",B184,R184))+1,7))),""))</f>
        <v/>
      </c>
      <c r="R184" s="17"/>
      <c r="S184" s="17"/>
      <c r="T184" s="5"/>
      <c r="U184" s="28" t="str">
        <f aca="false">IF(OR(G184="",H184=""),"",IF(P184=0,0,IF(IF(R184="",Settings!$C$9,R184)&lt;=B184,0,((YEAR(IF(R184="",Settings!$C$9,R184))-YEAR(B184))*12+MONTH(IF(R184="",Settings!$C$9,R184))-MONTH(B184)+1))))</f>
        <v/>
      </c>
      <c r="V184" s="29" t="str">
        <f aca="false">IF(OR(G184="",H184=""),"",ROUND(P184*Settings!$C$10*U184,0))</f>
        <v/>
      </c>
      <c r="W184" s="28" t="str">
        <f aca="false">IF(OR(G184="",H184=""),"",IF(OR(P184=0,R184=""),0,IF(IF(S184="",Settings!$C$9,S184)&lt;=Q184,0,((YEAR(IF(S184="",Settings!$C$9,S184))-YEAR(R184))*12+MONTH(IF(S184="",Settings!$C$9,S184))-MONTH(R184)+1))))</f>
        <v/>
      </c>
      <c r="X184" s="29" t="str">
        <f aca="false">IF(OR(G184="",H184=""),"",ROUND(P184*Settings!$C$11*W184,0))</f>
        <v/>
      </c>
      <c r="Y184" s="29" t="str">
        <f aca="false">IF(OR(G184="",H184=""),"",V184+X184)</f>
        <v/>
      </c>
      <c r="Z184" s="7" t="str">
        <f aca="false">IF(OR(G184="",H184=""),"",IF(P184=0,"Below threshold",IF(R184="","Not yet deducted",IF(S184="",IF(Settings!$C$9&gt;Q184,"Overdue — pay now","Deducted, due "&amp;TEXT(Q184,"dd-mmm")),IF(S184&lt;=Q184,IF(N(U184)&gt;0,"Deducted late, paid on time","Paid on time"),"Paid late")))))</f>
        <v/>
      </c>
      <c r="AA184" s="35" t="str">
        <f aca="false">IF(OR(G184="",H184=""),"",IF(D184&lt;&gt;"",UPPER(TRIM(D184)),UPPER(TRIM(C184))))</f>
        <v/>
      </c>
    </row>
    <row r="185" customFormat="false" ht="15" hidden="false" customHeight="false" outlineLevel="0" collapsed="false">
      <c r="B185" s="17"/>
      <c r="C185" s="5"/>
      <c r="D185" s="5"/>
      <c r="E185" s="5"/>
      <c r="F185" s="5"/>
      <c r="G185" s="5"/>
      <c r="H185" s="16"/>
      <c r="I185" s="7" t="str">
        <f aca="false">IF(OR(G185="",H185=""),"",IFERROR(INDEX('TDS Rates'!$D$6:$D$40,MATCH(G185,'TDS Rates'!$B$6:$B$40,0)),"Check nature"))</f>
        <v/>
      </c>
      <c r="J185" s="7" t="str">
        <f aca="false">IF(OR(G185="",H185=""),"",IFERROR(INDEX('TDS Rates'!$C$6:$C$40,MATCH(G185,'TDS Rates'!$B$6:$B$40,0)),""))</f>
        <v/>
      </c>
      <c r="K185" s="7" t="str">
        <f aca="false">IF(OR(G185="",H185=""),"",IFERROR(INDEX('TDS Rates'!$E$6:$E$40,MATCH(G185,'TDS Rates'!$B$6:$B$40,0)),""))</f>
        <v/>
      </c>
      <c r="L185" s="29" t="str">
        <f aca="false">IF(OR(G185="",H185=""),"",SUMIFS(H$6:H184,AA$6:AA184,AA185,G$6:G184,G185))</f>
        <v/>
      </c>
      <c r="M185" s="29" t="str">
        <f aca="false">IF(OR(G185="",H185=""),"",SUMIFS(H$6:H184,AA$6:AA184,AA185,G$6:G184,G185,N$6:N184,0))</f>
        <v/>
      </c>
      <c r="N185" s="29" t="str">
        <f aca="false">IF(OR(G185="",H185=""),"",IFERROR(IF(INDEX('TDS Rates'!$F$6:$F$40,MATCH(G185,'TDS Rates'!$B$6:$B$40,0))="NONE",H185,IF(INDEX('TDS Rates'!$F$6:$F$40,MATCH(G185,'TDS Rates'!$B$6:$B$40,0))="PER",IF(H185&gt;INDEX('TDS Rates'!$G$6:$G$40,MATCH(G185,'TDS Rates'!$B$6:$B$40,0)),H185,0),IF(INDEX('TDS Rates'!$F$6:$F$40,MATCH(G185,'TDS Rates'!$B$6:$B$40,0))="EXCESS",MAX(0,L185+H185-INDEX('TDS Rates'!$H$6:$H$40,MATCH(G185,'TDS Rates'!$B$6:$B$40,0)))-MAX(0,L185-INDEX('TDS Rates'!$H$6:$H$40,MATCH(G185,'TDS Rates'!$B$6:$B$40,0))),IF(INDEX('TDS Rates'!$F$6:$F$40,MATCH(G185,'TDS Rates'!$B$6:$B$40,0))="SA",IF(L185+H185&gt;INDEX('TDS Rates'!$H$6:$H$40,MATCH(G185,'TDS Rates'!$B$6:$B$40,0)),H185+M185,IF(H185&gt;INDEX('TDS Rates'!$G$6:$G$40,MATCH(G185,'TDS Rates'!$B$6:$B$40,0)),H185,0)),IF(L185+H185&gt;INDEX('TDS Rates'!$H$6:$H$40,MATCH(G185,'TDS Rates'!$B$6:$B$40,0)),H185+M185,0))))),0))</f>
        <v/>
      </c>
      <c r="O185" s="33" t="str">
        <f aca="false">IF(OR(G185="",H185=""),"",IFERROR(IF(F185="No",IF(INDEX('TDS Rates'!$C$6:$C$40,MATCH(G185,'TDS Rates'!$B$6:$B$40,0))="194Q",Settings!$C$14,MAX(Settings!$C$13,IF(E185="Individual / HUF",INDEX('TDS Rates'!$I$6:$I$40,MATCH(G185,'TDS Rates'!$B$6:$B$40,0)),IF(E185="Company",INDEX('TDS Rates'!$J$6:$J$40,MATCH(G185,'TDS Rates'!$B$6:$B$40,0)),INDEX('TDS Rates'!$K$6:$K$40,MATCH(G185,'TDS Rates'!$B$6:$B$40,0)))))),IF(E185="Individual / HUF",INDEX('TDS Rates'!$I$6:$I$40,MATCH(G185,'TDS Rates'!$B$6:$B$40,0)),IF(E185="Company",INDEX('TDS Rates'!$J$6:$J$40,MATCH(G185,'TDS Rates'!$B$6:$B$40,0)),INDEX('TDS Rates'!$K$6:$K$40,MATCH(G185,'TDS Rates'!$B$6:$B$40,0))))),0))</f>
        <v/>
      </c>
      <c r="P185" s="34" t="str">
        <f aca="false">IF(OR(G185="",H185=""),"",ROUND(N185*O185,0))</f>
        <v/>
      </c>
      <c r="Q185" s="27" t="str">
        <f aca="false">IF(OR(G185="",H185=""),"",IFERROR(IF(INDEX('TDS Rates'!$E$6:$E$40,MATCH(G185,'TDS Rates'!$B$6:$B$40,0))="Form 141",EOMONTH(IF(R185="",B185,R185),0)+30,IF(MONTH(IF(R185="",B185,R185))=3,DATE(YEAR(IF(R185="",B185,R185)),4,30),DATE(YEAR(IF(R185="",B185,R185)),MONTH(IF(R185="",B185,R185))+1,7))),""))</f>
        <v/>
      </c>
      <c r="R185" s="17"/>
      <c r="S185" s="17"/>
      <c r="T185" s="5"/>
      <c r="U185" s="28" t="str">
        <f aca="false">IF(OR(G185="",H185=""),"",IF(P185=0,0,IF(IF(R185="",Settings!$C$9,R185)&lt;=B185,0,((YEAR(IF(R185="",Settings!$C$9,R185))-YEAR(B185))*12+MONTH(IF(R185="",Settings!$C$9,R185))-MONTH(B185)+1))))</f>
        <v/>
      </c>
      <c r="V185" s="29" t="str">
        <f aca="false">IF(OR(G185="",H185=""),"",ROUND(P185*Settings!$C$10*U185,0))</f>
        <v/>
      </c>
      <c r="W185" s="28" t="str">
        <f aca="false">IF(OR(G185="",H185=""),"",IF(OR(P185=0,R185=""),0,IF(IF(S185="",Settings!$C$9,S185)&lt;=Q185,0,((YEAR(IF(S185="",Settings!$C$9,S185))-YEAR(R185))*12+MONTH(IF(S185="",Settings!$C$9,S185))-MONTH(R185)+1))))</f>
        <v/>
      </c>
      <c r="X185" s="29" t="str">
        <f aca="false">IF(OR(G185="",H185=""),"",ROUND(P185*Settings!$C$11*W185,0))</f>
        <v/>
      </c>
      <c r="Y185" s="29" t="str">
        <f aca="false">IF(OR(G185="",H185=""),"",V185+X185)</f>
        <v/>
      </c>
      <c r="Z185" s="7" t="str">
        <f aca="false">IF(OR(G185="",H185=""),"",IF(P185=0,"Below threshold",IF(R185="","Not yet deducted",IF(S185="",IF(Settings!$C$9&gt;Q185,"Overdue — pay now","Deducted, due "&amp;TEXT(Q185,"dd-mmm")),IF(S185&lt;=Q185,IF(N(U185)&gt;0,"Deducted late, paid on time","Paid on time"),"Paid late")))))</f>
        <v/>
      </c>
      <c r="AA185" s="35" t="str">
        <f aca="false">IF(OR(G185="",H185=""),"",IF(D185&lt;&gt;"",UPPER(TRIM(D185)),UPPER(TRIM(C185))))</f>
        <v/>
      </c>
    </row>
    <row r="186" customFormat="false" ht="15" hidden="false" customHeight="false" outlineLevel="0" collapsed="false">
      <c r="B186" s="17"/>
      <c r="C186" s="5"/>
      <c r="D186" s="5"/>
      <c r="E186" s="5"/>
      <c r="F186" s="5"/>
      <c r="G186" s="5"/>
      <c r="H186" s="16"/>
      <c r="I186" s="7" t="str">
        <f aca="false">IF(OR(G186="",H186=""),"",IFERROR(INDEX('TDS Rates'!$D$6:$D$40,MATCH(G186,'TDS Rates'!$B$6:$B$40,0)),"Check nature"))</f>
        <v/>
      </c>
      <c r="J186" s="7" t="str">
        <f aca="false">IF(OR(G186="",H186=""),"",IFERROR(INDEX('TDS Rates'!$C$6:$C$40,MATCH(G186,'TDS Rates'!$B$6:$B$40,0)),""))</f>
        <v/>
      </c>
      <c r="K186" s="7" t="str">
        <f aca="false">IF(OR(G186="",H186=""),"",IFERROR(INDEX('TDS Rates'!$E$6:$E$40,MATCH(G186,'TDS Rates'!$B$6:$B$40,0)),""))</f>
        <v/>
      </c>
      <c r="L186" s="29" t="str">
        <f aca="false">IF(OR(G186="",H186=""),"",SUMIFS(H$6:H185,AA$6:AA185,AA186,G$6:G185,G186))</f>
        <v/>
      </c>
      <c r="M186" s="29" t="str">
        <f aca="false">IF(OR(G186="",H186=""),"",SUMIFS(H$6:H185,AA$6:AA185,AA186,G$6:G185,G186,N$6:N185,0))</f>
        <v/>
      </c>
      <c r="N186" s="29" t="str">
        <f aca="false">IF(OR(G186="",H186=""),"",IFERROR(IF(INDEX('TDS Rates'!$F$6:$F$40,MATCH(G186,'TDS Rates'!$B$6:$B$40,0))="NONE",H186,IF(INDEX('TDS Rates'!$F$6:$F$40,MATCH(G186,'TDS Rates'!$B$6:$B$40,0))="PER",IF(H186&gt;INDEX('TDS Rates'!$G$6:$G$40,MATCH(G186,'TDS Rates'!$B$6:$B$40,0)),H186,0),IF(INDEX('TDS Rates'!$F$6:$F$40,MATCH(G186,'TDS Rates'!$B$6:$B$40,0))="EXCESS",MAX(0,L186+H186-INDEX('TDS Rates'!$H$6:$H$40,MATCH(G186,'TDS Rates'!$B$6:$B$40,0)))-MAX(0,L186-INDEX('TDS Rates'!$H$6:$H$40,MATCH(G186,'TDS Rates'!$B$6:$B$40,0))),IF(INDEX('TDS Rates'!$F$6:$F$40,MATCH(G186,'TDS Rates'!$B$6:$B$40,0))="SA",IF(L186+H186&gt;INDEX('TDS Rates'!$H$6:$H$40,MATCH(G186,'TDS Rates'!$B$6:$B$40,0)),H186+M186,IF(H186&gt;INDEX('TDS Rates'!$G$6:$G$40,MATCH(G186,'TDS Rates'!$B$6:$B$40,0)),H186,0)),IF(L186+H186&gt;INDEX('TDS Rates'!$H$6:$H$40,MATCH(G186,'TDS Rates'!$B$6:$B$40,0)),H186+M186,0))))),0))</f>
        <v/>
      </c>
      <c r="O186" s="33" t="str">
        <f aca="false">IF(OR(G186="",H186=""),"",IFERROR(IF(F186="No",IF(INDEX('TDS Rates'!$C$6:$C$40,MATCH(G186,'TDS Rates'!$B$6:$B$40,0))="194Q",Settings!$C$14,MAX(Settings!$C$13,IF(E186="Individual / HUF",INDEX('TDS Rates'!$I$6:$I$40,MATCH(G186,'TDS Rates'!$B$6:$B$40,0)),IF(E186="Company",INDEX('TDS Rates'!$J$6:$J$40,MATCH(G186,'TDS Rates'!$B$6:$B$40,0)),INDEX('TDS Rates'!$K$6:$K$40,MATCH(G186,'TDS Rates'!$B$6:$B$40,0)))))),IF(E186="Individual / HUF",INDEX('TDS Rates'!$I$6:$I$40,MATCH(G186,'TDS Rates'!$B$6:$B$40,0)),IF(E186="Company",INDEX('TDS Rates'!$J$6:$J$40,MATCH(G186,'TDS Rates'!$B$6:$B$40,0)),INDEX('TDS Rates'!$K$6:$K$40,MATCH(G186,'TDS Rates'!$B$6:$B$40,0))))),0))</f>
        <v/>
      </c>
      <c r="P186" s="34" t="str">
        <f aca="false">IF(OR(G186="",H186=""),"",ROUND(N186*O186,0))</f>
        <v/>
      </c>
      <c r="Q186" s="27" t="str">
        <f aca="false">IF(OR(G186="",H186=""),"",IFERROR(IF(INDEX('TDS Rates'!$E$6:$E$40,MATCH(G186,'TDS Rates'!$B$6:$B$40,0))="Form 141",EOMONTH(IF(R186="",B186,R186),0)+30,IF(MONTH(IF(R186="",B186,R186))=3,DATE(YEAR(IF(R186="",B186,R186)),4,30),DATE(YEAR(IF(R186="",B186,R186)),MONTH(IF(R186="",B186,R186))+1,7))),""))</f>
        <v/>
      </c>
      <c r="R186" s="17"/>
      <c r="S186" s="17"/>
      <c r="T186" s="5"/>
      <c r="U186" s="28" t="str">
        <f aca="false">IF(OR(G186="",H186=""),"",IF(P186=0,0,IF(IF(R186="",Settings!$C$9,R186)&lt;=B186,0,((YEAR(IF(R186="",Settings!$C$9,R186))-YEAR(B186))*12+MONTH(IF(R186="",Settings!$C$9,R186))-MONTH(B186)+1))))</f>
        <v/>
      </c>
      <c r="V186" s="29" t="str">
        <f aca="false">IF(OR(G186="",H186=""),"",ROUND(P186*Settings!$C$10*U186,0))</f>
        <v/>
      </c>
      <c r="W186" s="28" t="str">
        <f aca="false">IF(OR(G186="",H186=""),"",IF(OR(P186=0,R186=""),0,IF(IF(S186="",Settings!$C$9,S186)&lt;=Q186,0,((YEAR(IF(S186="",Settings!$C$9,S186))-YEAR(R186))*12+MONTH(IF(S186="",Settings!$C$9,S186))-MONTH(R186)+1))))</f>
        <v/>
      </c>
      <c r="X186" s="29" t="str">
        <f aca="false">IF(OR(G186="",H186=""),"",ROUND(P186*Settings!$C$11*W186,0))</f>
        <v/>
      </c>
      <c r="Y186" s="29" t="str">
        <f aca="false">IF(OR(G186="",H186=""),"",V186+X186)</f>
        <v/>
      </c>
      <c r="Z186" s="7" t="str">
        <f aca="false">IF(OR(G186="",H186=""),"",IF(P186=0,"Below threshold",IF(R186="","Not yet deducted",IF(S186="",IF(Settings!$C$9&gt;Q186,"Overdue — pay now","Deducted, due "&amp;TEXT(Q186,"dd-mmm")),IF(S186&lt;=Q186,IF(N(U186)&gt;0,"Deducted late, paid on time","Paid on time"),"Paid late")))))</f>
        <v/>
      </c>
      <c r="AA186" s="35" t="str">
        <f aca="false">IF(OR(G186="",H186=""),"",IF(D186&lt;&gt;"",UPPER(TRIM(D186)),UPPER(TRIM(C186))))</f>
        <v/>
      </c>
    </row>
    <row r="187" customFormat="false" ht="15" hidden="false" customHeight="false" outlineLevel="0" collapsed="false">
      <c r="B187" s="17"/>
      <c r="C187" s="5"/>
      <c r="D187" s="5"/>
      <c r="E187" s="5"/>
      <c r="F187" s="5"/>
      <c r="G187" s="5"/>
      <c r="H187" s="16"/>
      <c r="I187" s="7" t="str">
        <f aca="false">IF(OR(G187="",H187=""),"",IFERROR(INDEX('TDS Rates'!$D$6:$D$40,MATCH(G187,'TDS Rates'!$B$6:$B$40,0)),"Check nature"))</f>
        <v/>
      </c>
      <c r="J187" s="7" t="str">
        <f aca="false">IF(OR(G187="",H187=""),"",IFERROR(INDEX('TDS Rates'!$C$6:$C$40,MATCH(G187,'TDS Rates'!$B$6:$B$40,0)),""))</f>
        <v/>
      </c>
      <c r="K187" s="7" t="str">
        <f aca="false">IF(OR(G187="",H187=""),"",IFERROR(INDEX('TDS Rates'!$E$6:$E$40,MATCH(G187,'TDS Rates'!$B$6:$B$40,0)),""))</f>
        <v/>
      </c>
      <c r="L187" s="29" t="str">
        <f aca="false">IF(OR(G187="",H187=""),"",SUMIFS(H$6:H186,AA$6:AA186,AA187,G$6:G186,G187))</f>
        <v/>
      </c>
      <c r="M187" s="29" t="str">
        <f aca="false">IF(OR(G187="",H187=""),"",SUMIFS(H$6:H186,AA$6:AA186,AA187,G$6:G186,G187,N$6:N186,0))</f>
        <v/>
      </c>
      <c r="N187" s="29" t="str">
        <f aca="false">IF(OR(G187="",H187=""),"",IFERROR(IF(INDEX('TDS Rates'!$F$6:$F$40,MATCH(G187,'TDS Rates'!$B$6:$B$40,0))="NONE",H187,IF(INDEX('TDS Rates'!$F$6:$F$40,MATCH(G187,'TDS Rates'!$B$6:$B$40,0))="PER",IF(H187&gt;INDEX('TDS Rates'!$G$6:$G$40,MATCH(G187,'TDS Rates'!$B$6:$B$40,0)),H187,0),IF(INDEX('TDS Rates'!$F$6:$F$40,MATCH(G187,'TDS Rates'!$B$6:$B$40,0))="EXCESS",MAX(0,L187+H187-INDEX('TDS Rates'!$H$6:$H$40,MATCH(G187,'TDS Rates'!$B$6:$B$40,0)))-MAX(0,L187-INDEX('TDS Rates'!$H$6:$H$40,MATCH(G187,'TDS Rates'!$B$6:$B$40,0))),IF(INDEX('TDS Rates'!$F$6:$F$40,MATCH(G187,'TDS Rates'!$B$6:$B$40,0))="SA",IF(L187+H187&gt;INDEX('TDS Rates'!$H$6:$H$40,MATCH(G187,'TDS Rates'!$B$6:$B$40,0)),H187+M187,IF(H187&gt;INDEX('TDS Rates'!$G$6:$G$40,MATCH(G187,'TDS Rates'!$B$6:$B$40,0)),H187,0)),IF(L187+H187&gt;INDEX('TDS Rates'!$H$6:$H$40,MATCH(G187,'TDS Rates'!$B$6:$B$40,0)),H187+M187,0))))),0))</f>
        <v/>
      </c>
      <c r="O187" s="33" t="str">
        <f aca="false">IF(OR(G187="",H187=""),"",IFERROR(IF(F187="No",IF(INDEX('TDS Rates'!$C$6:$C$40,MATCH(G187,'TDS Rates'!$B$6:$B$40,0))="194Q",Settings!$C$14,MAX(Settings!$C$13,IF(E187="Individual / HUF",INDEX('TDS Rates'!$I$6:$I$40,MATCH(G187,'TDS Rates'!$B$6:$B$40,0)),IF(E187="Company",INDEX('TDS Rates'!$J$6:$J$40,MATCH(G187,'TDS Rates'!$B$6:$B$40,0)),INDEX('TDS Rates'!$K$6:$K$40,MATCH(G187,'TDS Rates'!$B$6:$B$40,0)))))),IF(E187="Individual / HUF",INDEX('TDS Rates'!$I$6:$I$40,MATCH(G187,'TDS Rates'!$B$6:$B$40,0)),IF(E187="Company",INDEX('TDS Rates'!$J$6:$J$40,MATCH(G187,'TDS Rates'!$B$6:$B$40,0)),INDEX('TDS Rates'!$K$6:$K$40,MATCH(G187,'TDS Rates'!$B$6:$B$40,0))))),0))</f>
        <v/>
      </c>
      <c r="P187" s="34" t="str">
        <f aca="false">IF(OR(G187="",H187=""),"",ROUND(N187*O187,0))</f>
        <v/>
      </c>
      <c r="Q187" s="27" t="str">
        <f aca="false">IF(OR(G187="",H187=""),"",IFERROR(IF(INDEX('TDS Rates'!$E$6:$E$40,MATCH(G187,'TDS Rates'!$B$6:$B$40,0))="Form 141",EOMONTH(IF(R187="",B187,R187),0)+30,IF(MONTH(IF(R187="",B187,R187))=3,DATE(YEAR(IF(R187="",B187,R187)),4,30),DATE(YEAR(IF(R187="",B187,R187)),MONTH(IF(R187="",B187,R187))+1,7))),""))</f>
        <v/>
      </c>
      <c r="R187" s="17"/>
      <c r="S187" s="17"/>
      <c r="T187" s="5"/>
      <c r="U187" s="28" t="str">
        <f aca="false">IF(OR(G187="",H187=""),"",IF(P187=0,0,IF(IF(R187="",Settings!$C$9,R187)&lt;=B187,0,((YEAR(IF(R187="",Settings!$C$9,R187))-YEAR(B187))*12+MONTH(IF(R187="",Settings!$C$9,R187))-MONTH(B187)+1))))</f>
        <v/>
      </c>
      <c r="V187" s="29" t="str">
        <f aca="false">IF(OR(G187="",H187=""),"",ROUND(P187*Settings!$C$10*U187,0))</f>
        <v/>
      </c>
      <c r="W187" s="28" t="str">
        <f aca="false">IF(OR(G187="",H187=""),"",IF(OR(P187=0,R187=""),0,IF(IF(S187="",Settings!$C$9,S187)&lt;=Q187,0,((YEAR(IF(S187="",Settings!$C$9,S187))-YEAR(R187))*12+MONTH(IF(S187="",Settings!$C$9,S187))-MONTH(R187)+1))))</f>
        <v/>
      </c>
      <c r="X187" s="29" t="str">
        <f aca="false">IF(OR(G187="",H187=""),"",ROUND(P187*Settings!$C$11*W187,0))</f>
        <v/>
      </c>
      <c r="Y187" s="29" t="str">
        <f aca="false">IF(OR(G187="",H187=""),"",V187+X187)</f>
        <v/>
      </c>
      <c r="Z187" s="7" t="str">
        <f aca="false">IF(OR(G187="",H187=""),"",IF(P187=0,"Below threshold",IF(R187="","Not yet deducted",IF(S187="",IF(Settings!$C$9&gt;Q187,"Overdue — pay now","Deducted, due "&amp;TEXT(Q187,"dd-mmm")),IF(S187&lt;=Q187,IF(N(U187)&gt;0,"Deducted late, paid on time","Paid on time"),"Paid late")))))</f>
        <v/>
      </c>
      <c r="AA187" s="35" t="str">
        <f aca="false">IF(OR(G187="",H187=""),"",IF(D187&lt;&gt;"",UPPER(TRIM(D187)),UPPER(TRIM(C187))))</f>
        <v/>
      </c>
    </row>
    <row r="188" customFormat="false" ht="15" hidden="false" customHeight="false" outlineLevel="0" collapsed="false">
      <c r="B188" s="17"/>
      <c r="C188" s="5"/>
      <c r="D188" s="5"/>
      <c r="E188" s="5"/>
      <c r="F188" s="5"/>
      <c r="G188" s="5"/>
      <c r="H188" s="16"/>
      <c r="I188" s="7" t="str">
        <f aca="false">IF(OR(G188="",H188=""),"",IFERROR(INDEX('TDS Rates'!$D$6:$D$40,MATCH(G188,'TDS Rates'!$B$6:$B$40,0)),"Check nature"))</f>
        <v/>
      </c>
      <c r="J188" s="7" t="str">
        <f aca="false">IF(OR(G188="",H188=""),"",IFERROR(INDEX('TDS Rates'!$C$6:$C$40,MATCH(G188,'TDS Rates'!$B$6:$B$40,0)),""))</f>
        <v/>
      </c>
      <c r="K188" s="7" t="str">
        <f aca="false">IF(OR(G188="",H188=""),"",IFERROR(INDEX('TDS Rates'!$E$6:$E$40,MATCH(G188,'TDS Rates'!$B$6:$B$40,0)),""))</f>
        <v/>
      </c>
      <c r="L188" s="29" t="str">
        <f aca="false">IF(OR(G188="",H188=""),"",SUMIFS(H$6:H187,AA$6:AA187,AA188,G$6:G187,G188))</f>
        <v/>
      </c>
      <c r="M188" s="29" t="str">
        <f aca="false">IF(OR(G188="",H188=""),"",SUMIFS(H$6:H187,AA$6:AA187,AA188,G$6:G187,G188,N$6:N187,0))</f>
        <v/>
      </c>
      <c r="N188" s="29" t="str">
        <f aca="false">IF(OR(G188="",H188=""),"",IFERROR(IF(INDEX('TDS Rates'!$F$6:$F$40,MATCH(G188,'TDS Rates'!$B$6:$B$40,0))="NONE",H188,IF(INDEX('TDS Rates'!$F$6:$F$40,MATCH(G188,'TDS Rates'!$B$6:$B$40,0))="PER",IF(H188&gt;INDEX('TDS Rates'!$G$6:$G$40,MATCH(G188,'TDS Rates'!$B$6:$B$40,0)),H188,0),IF(INDEX('TDS Rates'!$F$6:$F$40,MATCH(G188,'TDS Rates'!$B$6:$B$40,0))="EXCESS",MAX(0,L188+H188-INDEX('TDS Rates'!$H$6:$H$40,MATCH(G188,'TDS Rates'!$B$6:$B$40,0)))-MAX(0,L188-INDEX('TDS Rates'!$H$6:$H$40,MATCH(G188,'TDS Rates'!$B$6:$B$40,0))),IF(INDEX('TDS Rates'!$F$6:$F$40,MATCH(G188,'TDS Rates'!$B$6:$B$40,0))="SA",IF(L188+H188&gt;INDEX('TDS Rates'!$H$6:$H$40,MATCH(G188,'TDS Rates'!$B$6:$B$40,0)),H188+M188,IF(H188&gt;INDEX('TDS Rates'!$G$6:$G$40,MATCH(G188,'TDS Rates'!$B$6:$B$40,0)),H188,0)),IF(L188+H188&gt;INDEX('TDS Rates'!$H$6:$H$40,MATCH(G188,'TDS Rates'!$B$6:$B$40,0)),H188+M188,0))))),0))</f>
        <v/>
      </c>
      <c r="O188" s="33" t="str">
        <f aca="false">IF(OR(G188="",H188=""),"",IFERROR(IF(F188="No",IF(INDEX('TDS Rates'!$C$6:$C$40,MATCH(G188,'TDS Rates'!$B$6:$B$40,0))="194Q",Settings!$C$14,MAX(Settings!$C$13,IF(E188="Individual / HUF",INDEX('TDS Rates'!$I$6:$I$40,MATCH(G188,'TDS Rates'!$B$6:$B$40,0)),IF(E188="Company",INDEX('TDS Rates'!$J$6:$J$40,MATCH(G188,'TDS Rates'!$B$6:$B$40,0)),INDEX('TDS Rates'!$K$6:$K$40,MATCH(G188,'TDS Rates'!$B$6:$B$40,0)))))),IF(E188="Individual / HUF",INDEX('TDS Rates'!$I$6:$I$40,MATCH(G188,'TDS Rates'!$B$6:$B$40,0)),IF(E188="Company",INDEX('TDS Rates'!$J$6:$J$40,MATCH(G188,'TDS Rates'!$B$6:$B$40,0)),INDEX('TDS Rates'!$K$6:$K$40,MATCH(G188,'TDS Rates'!$B$6:$B$40,0))))),0))</f>
        <v/>
      </c>
      <c r="P188" s="34" t="str">
        <f aca="false">IF(OR(G188="",H188=""),"",ROUND(N188*O188,0))</f>
        <v/>
      </c>
      <c r="Q188" s="27" t="str">
        <f aca="false">IF(OR(G188="",H188=""),"",IFERROR(IF(INDEX('TDS Rates'!$E$6:$E$40,MATCH(G188,'TDS Rates'!$B$6:$B$40,0))="Form 141",EOMONTH(IF(R188="",B188,R188),0)+30,IF(MONTH(IF(R188="",B188,R188))=3,DATE(YEAR(IF(R188="",B188,R188)),4,30),DATE(YEAR(IF(R188="",B188,R188)),MONTH(IF(R188="",B188,R188))+1,7))),""))</f>
        <v/>
      </c>
      <c r="R188" s="17"/>
      <c r="S188" s="17"/>
      <c r="T188" s="5"/>
      <c r="U188" s="28" t="str">
        <f aca="false">IF(OR(G188="",H188=""),"",IF(P188=0,0,IF(IF(R188="",Settings!$C$9,R188)&lt;=B188,0,((YEAR(IF(R188="",Settings!$C$9,R188))-YEAR(B188))*12+MONTH(IF(R188="",Settings!$C$9,R188))-MONTH(B188)+1))))</f>
        <v/>
      </c>
      <c r="V188" s="29" t="str">
        <f aca="false">IF(OR(G188="",H188=""),"",ROUND(P188*Settings!$C$10*U188,0))</f>
        <v/>
      </c>
      <c r="W188" s="28" t="str">
        <f aca="false">IF(OR(G188="",H188=""),"",IF(OR(P188=0,R188=""),0,IF(IF(S188="",Settings!$C$9,S188)&lt;=Q188,0,((YEAR(IF(S188="",Settings!$C$9,S188))-YEAR(R188))*12+MONTH(IF(S188="",Settings!$C$9,S188))-MONTH(R188)+1))))</f>
        <v/>
      </c>
      <c r="X188" s="29" t="str">
        <f aca="false">IF(OR(G188="",H188=""),"",ROUND(P188*Settings!$C$11*W188,0))</f>
        <v/>
      </c>
      <c r="Y188" s="29" t="str">
        <f aca="false">IF(OR(G188="",H188=""),"",V188+X188)</f>
        <v/>
      </c>
      <c r="Z188" s="7" t="str">
        <f aca="false">IF(OR(G188="",H188=""),"",IF(P188=0,"Below threshold",IF(R188="","Not yet deducted",IF(S188="",IF(Settings!$C$9&gt;Q188,"Overdue — pay now","Deducted, due "&amp;TEXT(Q188,"dd-mmm")),IF(S188&lt;=Q188,IF(N(U188)&gt;0,"Deducted late, paid on time","Paid on time"),"Paid late")))))</f>
        <v/>
      </c>
      <c r="AA188" s="35" t="str">
        <f aca="false">IF(OR(G188="",H188=""),"",IF(D188&lt;&gt;"",UPPER(TRIM(D188)),UPPER(TRIM(C188))))</f>
        <v/>
      </c>
    </row>
    <row r="189" customFormat="false" ht="15" hidden="false" customHeight="false" outlineLevel="0" collapsed="false">
      <c r="B189" s="17"/>
      <c r="C189" s="5"/>
      <c r="D189" s="5"/>
      <c r="E189" s="5"/>
      <c r="F189" s="5"/>
      <c r="G189" s="5"/>
      <c r="H189" s="16"/>
      <c r="I189" s="7" t="str">
        <f aca="false">IF(OR(G189="",H189=""),"",IFERROR(INDEX('TDS Rates'!$D$6:$D$40,MATCH(G189,'TDS Rates'!$B$6:$B$40,0)),"Check nature"))</f>
        <v/>
      </c>
      <c r="J189" s="7" t="str">
        <f aca="false">IF(OR(G189="",H189=""),"",IFERROR(INDEX('TDS Rates'!$C$6:$C$40,MATCH(G189,'TDS Rates'!$B$6:$B$40,0)),""))</f>
        <v/>
      </c>
      <c r="K189" s="7" t="str">
        <f aca="false">IF(OR(G189="",H189=""),"",IFERROR(INDEX('TDS Rates'!$E$6:$E$40,MATCH(G189,'TDS Rates'!$B$6:$B$40,0)),""))</f>
        <v/>
      </c>
      <c r="L189" s="29" t="str">
        <f aca="false">IF(OR(G189="",H189=""),"",SUMIFS(H$6:H188,AA$6:AA188,AA189,G$6:G188,G189))</f>
        <v/>
      </c>
      <c r="M189" s="29" t="str">
        <f aca="false">IF(OR(G189="",H189=""),"",SUMIFS(H$6:H188,AA$6:AA188,AA189,G$6:G188,G189,N$6:N188,0))</f>
        <v/>
      </c>
      <c r="N189" s="29" t="str">
        <f aca="false">IF(OR(G189="",H189=""),"",IFERROR(IF(INDEX('TDS Rates'!$F$6:$F$40,MATCH(G189,'TDS Rates'!$B$6:$B$40,0))="NONE",H189,IF(INDEX('TDS Rates'!$F$6:$F$40,MATCH(G189,'TDS Rates'!$B$6:$B$40,0))="PER",IF(H189&gt;INDEX('TDS Rates'!$G$6:$G$40,MATCH(G189,'TDS Rates'!$B$6:$B$40,0)),H189,0),IF(INDEX('TDS Rates'!$F$6:$F$40,MATCH(G189,'TDS Rates'!$B$6:$B$40,0))="EXCESS",MAX(0,L189+H189-INDEX('TDS Rates'!$H$6:$H$40,MATCH(G189,'TDS Rates'!$B$6:$B$40,0)))-MAX(0,L189-INDEX('TDS Rates'!$H$6:$H$40,MATCH(G189,'TDS Rates'!$B$6:$B$40,0))),IF(INDEX('TDS Rates'!$F$6:$F$40,MATCH(G189,'TDS Rates'!$B$6:$B$40,0))="SA",IF(L189+H189&gt;INDEX('TDS Rates'!$H$6:$H$40,MATCH(G189,'TDS Rates'!$B$6:$B$40,0)),H189+M189,IF(H189&gt;INDEX('TDS Rates'!$G$6:$G$40,MATCH(G189,'TDS Rates'!$B$6:$B$40,0)),H189,0)),IF(L189+H189&gt;INDEX('TDS Rates'!$H$6:$H$40,MATCH(G189,'TDS Rates'!$B$6:$B$40,0)),H189+M189,0))))),0))</f>
        <v/>
      </c>
      <c r="O189" s="33" t="str">
        <f aca="false">IF(OR(G189="",H189=""),"",IFERROR(IF(F189="No",IF(INDEX('TDS Rates'!$C$6:$C$40,MATCH(G189,'TDS Rates'!$B$6:$B$40,0))="194Q",Settings!$C$14,MAX(Settings!$C$13,IF(E189="Individual / HUF",INDEX('TDS Rates'!$I$6:$I$40,MATCH(G189,'TDS Rates'!$B$6:$B$40,0)),IF(E189="Company",INDEX('TDS Rates'!$J$6:$J$40,MATCH(G189,'TDS Rates'!$B$6:$B$40,0)),INDEX('TDS Rates'!$K$6:$K$40,MATCH(G189,'TDS Rates'!$B$6:$B$40,0)))))),IF(E189="Individual / HUF",INDEX('TDS Rates'!$I$6:$I$40,MATCH(G189,'TDS Rates'!$B$6:$B$40,0)),IF(E189="Company",INDEX('TDS Rates'!$J$6:$J$40,MATCH(G189,'TDS Rates'!$B$6:$B$40,0)),INDEX('TDS Rates'!$K$6:$K$40,MATCH(G189,'TDS Rates'!$B$6:$B$40,0))))),0))</f>
        <v/>
      </c>
      <c r="P189" s="34" t="str">
        <f aca="false">IF(OR(G189="",H189=""),"",ROUND(N189*O189,0))</f>
        <v/>
      </c>
      <c r="Q189" s="27" t="str">
        <f aca="false">IF(OR(G189="",H189=""),"",IFERROR(IF(INDEX('TDS Rates'!$E$6:$E$40,MATCH(G189,'TDS Rates'!$B$6:$B$40,0))="Form 141",EOMONTH(IF(R189="",B189,R189),0)+30,IF(MONTH(IF(R189="",B189,R189))=3,DATE(YEAR(IF(R189="",B189,R189)),4,30),DATE(YEAR(IF(R189="",B189,R189)),MONTH(IF(R189="",B189,R189))+1,7))),""))</f>
        <v/>
      </c>
      <c r="R189" s="17"/>
      <c r="S189" s="17"/>
      <c r="T189" s="5"/>
      <c r="U189" s="28" t="str">
        <f aca="false">IF(OR(G189="",H189=""),"",IF(P189=0,0,IF(IF(R189="",Settings!$C$9,R189)&lt;=B189,0,((YEAR(IF(R189="",Settings!$C$9,R189))-YEAR(B189))*12+MONTH(IF(R189="",Settings!$C$9,R189))-MONTH(B189)+1))))</f>
        <v/>
      </c>
      <c r="V189" s="29" t="str">
        <f aca="false">IF(OR(G189="",H189=""),"",ROUND(P189*Settings!$C$10*U189,0))</f>
        <v/>
      </c>
      <c r="W189" s="28" t="str">
        <f aca="false">IF(OR(G189="",H189=""),"",IF(OR(P189=0,R189=""),0,IF(IF(S189="",Settings!$C$9,S189)&lt;=Q189,0,((YEAR(IF(S189="",Settings!$C$9,S189))-YEAR(R189))*12+MONTH(IF(S189="",Settings!$C$9,S189))-MONTH(R189)+1))))</f>
        <v/>
      </c>
      <c r="X189" s="29" t="str">
        <f aca="false">IF(OR(G189="",H189=""),"",ROUND(P189*Settings!$C$11*W189,0))</f>
        <v/>
      </c>
      <c r="Y189" s="29" t="str">
        <f aca="false">IF(OR(G189="",H189=""),"",V189+X189)</f>
        <v/>
      </c>
      <c r="Z189" s="7" t="str">
        <f aca="false">IF(OR(G189="",H189=""),"",IF(P189=0,"Below threshold",IF(R189="","Not yet deducted",IF(S189="",IF(Settings!$C$9&gt;Q189,"Overdue — pay now","Deducted, due "&amp;TEXT(Q189,"dd-mmm")),IF(S189&lt;=Q189,IF(N(U189)&gt;0,"Deducted late, paid on time","Paid on time"),"Paid late")))))</f>
        <v/>
      </c>
      <c r="AA189" s="35" t="str">
        <f aca="false">IF(OR(G189="",H189=""),"",IF(D189&lt;&gt;"",UPPER(TRIM(D189)),UPPER(TRIM(C189))))</f>
        <v/>
      </c>
    </row>
    <row r="190" customFormat="false" ht="15" hidden="false" customHeight="false" outlineLevel="0" collapsed="false">
      <c r="B190" s="17"/>
      <c r="C190" s="5"/>
      <c r="D190" s="5"/>
      <c r="E190" s="5"/>
      <c r="F190" s="5"/>
      <c r="G190" s="5"/>
      <c r="H190" s="16"/>
      <c r="I190" s="7" t="str">
        <f aca="false">IF(OR(G190="",H190=""),"",IFERROR(INDEX('TDS Rates'!$D$6:$D$40,MATCH(G190,'TDS Rates'!$B$6:$B$40,0)),"Check nature"))</f>
        <v/>
      </c>
      <c r="J190" s="7" t="str">
        <f aca="false">IF(OR(G190="",H190=""),"",IFERROR(INDEX('TDS Rates'!$C$6:$C$40,MATCH(G190,'TDS Rates'!$B$6:$B$40,0)),""))</f>
        <v/>
      </c>
      <c r="K190" s="7" t="str">
        <f aca="false">IF(OR(G190="",H190=""),"",IFERROR(INDEX('TDS Rates'!$E$6:$E$40,MATCH(G190,'TDS Rates'!$B$6:$B$40,0)),""))</f>
        <v/>
      </c>
      <c r="L190" s="29" t="str">
        <f aca="false">IF(OR(G190="",H190=""),"",SUMIFS(H$6:H189,AA$6:AA189,AA190,G$6:G189,G190))</f>
        <v/>
      </c>
      <c r="M190" s="29" t="str">
        <f aca="false">IF(OR(G190="",H190=""),"",SUMIFS(H$6:H189,AA$6:AA189,AA190,G$6:G189,G190,N$6:N189,0))</f>
        <v/>
      </c>
      <c r="N190" s="29" t="str">
        <f aca="false">IF(OR(G190="",H190=""),"",IFERROR(IF(INDEX('TDS Rates'!$F$6:$F$40,MATCH(G190,'TDS Rates'!$B$6:$B$40,0))="NONE",H190,IF(INDEX('TDS Rates'!$F$6:$F$40,MATCH(G190,'TDS Rates'!$B$6:$B$40,0))="PER",IF(H190&gt;INDEX('TDS Rates'!$G$6:$G$40,MATCH(G190,'TDS Rates'!$B$6:$B$40,0)),H190,0),IF(INDEX('TDS Rates'!$F$6:$F$40,MATCH(G190,'TDS Rates'!$B$6:$B$40,0))="EXCESS",MAX(0,L190+H190-INDEX('TDS Rates'!$H$6:$H$40,MATCH(G190,'TDS Rates'!$B$6:$B$40,0)))-MAX(0,L190-INDEX('TDS Rates'!$H$6:$H$40,MATCH(G190,'TDS Rates'!$B$6:$B$40,0))),IF(INDEX('TDS Rates'!$F$6:$F$40,MATCH(G190,'TDS Rates'!$B$6:$B$40,0))="SA",IF(L190+H190&gt;INDEX('TDS Rates'!$H$6:$H$40,MATCH(G190,'TDS Rates'!$B$6:$B$40,0)),H190+M190,IF(H190&gt;INDEX('TDS Rates'!$G$6:$G$40,MATCH(G190,'TDS Rates'!$B$6:$B$40,0)),H190,0)),IF(L190+H190&gt;INDEX('TDS Rates'!$H$6:$H$40,MATCH(G190,'TDS Rates'!$B$6:$B$40,0)),H190+M190,0))))),0))</f>
        <v/>
      </c>
      <c r="O190" s="33" t="str">
        <f aca="false">IF(OR(G190="",H190=""),"",IFERROR(IF(F190="No",IF(INDEX('TDS Rates'!$C$6:$C$40,MATCH(G190,'TDS Rates'!$B$6:$B$40,0))="194Q",Settings!$C$14,MAX(Settings!$C$13,IF(E190="Individual / HUF",INDEX('TDS Rates'!$I$6:$I$40,MATCH(G190,'TDS Rates'!$B$6:$B$40,0)),IF(E190="Company",INDEX('TDS Rates'!$J$6:$J$40,MATCH(G190,'TDS Rates'!$B$6:$B$40,0)),INDEX('TDS Rates'!$K$6:$K$40,MATCH(G190,'TDS Rates'!$B$6:$B$40,0)))))),IF(E190="Individual / HUF",INDEX('TDS Rates'!$I$6:$I$40,MATCH(G190,'TDS Rates'!$B$6:$B$40,0)),IF(E190="Company",INDEX('TDS Rates'!$J$6:$J$40,MATCH(G190,'TDS Rates'!$B$6:$B$40,0)),INDEX('TDS Rates'!$K$6:$K$40,MATCH(G190,'TDS Rates'!$B$6:$B$40,0))))),0))</f>
        <v/>
      </c>
      <c r="P190" s="34" t="str">
        <f aca="false">IF(OR(G190="",H190=""),"",ROUND(N190*O190,0))</f>
        <v/>
      </c>
      <c r="Q190" s="27" t="str">
        <f aca="false">IF(OR(G190="",H190=""),"",IFERROR(IF(INDEX('TDS Rates'!$E$6:$E$40,MATCH(G190,'TDS Rates'!$B$6:$B$40,0))="Form 141",EOMONTH(IF(R190="",B190,R190),0)+30,IF(MONTH(IF(R190="",B190,R190))=3,DATE(YEAR(IF(R190="",B190,R190)),4,30),DATE(YEAR(IF(R190="",B190,R190)),MONTH(IF(R190="",B190,R190))+1,7))),""))</f>
        <v/>
      </c>
      <c r="R190" s="17"/>
      <c r="S190" s="17"/>
      <c r="T190" s="5"/>
      <c r="U190" s="28" t="str">
        <f aca="false">IF(OR(G190="",H190=""),"",IF(P190=0,0,IF(IF(R190="",Settings!$C$9,R190)&lt;=B190,0,((YEAR(IF(R190="",Settings!$C$9,R190))-YEAR(B190))*12+MONTH(IF(R190="",Settings!$C$9,R190))-MONTH(B190)+1))))</f>
        <v/>
      </c>
      <c r="V190" s="29" t="str">
        <f aca="false">IF(OR(G190="",H190=""),"",ROUND(P190*Settings!$C$10*U190,0))</f>
        <v/>
      </c>
      <c r="W190" s="28" t="str">
        <f aca="false">IF(OR(G190="",H190=""),"",IF(OR(P190=0,R190=""),0,IF(IF(S190="",Settings!$C$9,S190)&lt;=Q190,0,((YEAR(IF(S190="",Settings!$C$9,S190))-YEAR(R190))*12+MONTH(IF(S190="",Settings!$C$9,S190))-MONTH(R190)+1))))</f>
        <v/>
      </c>
      <c r="X190" s="29" t="str">
        <f aca="false">IF(OR(G190="",H190=""),"",ROUND(P190*Settings!$C$11*W190,0))</f>
        <v/>
      </c>
      <c r="Y190" s="29" t="str">
        <f aca="false">IF(OR(G190="",H190=""),"",V190+X190)</f>
        <v/>
      </c>
      <c r="Z190" s="7" t="str">
        <f aca="false">IF(OR(G190="",H190=""),"",IF(P190=0,"Below threshold",IF(R190="","Not yet deducted",IF(S190="",IF(Settings!$C$9&gt;Q190,"Overdue — pay now","Deducted, due "&amp;TEXT(Q190,"dd-mmm")),IF(S190&lt;=Q190,IF(N(U190)&gt;0,"Deducted late, paid on time","Paid on time"),"Paid late")))))</f>
        <v/>
      </c>
      <c r="AA190" s="35" t="str">
        <f aca="false">IF(OR(G190="",H190=""),"",IF(D190&lt;&gt;"",UPPER(TRIM(D190)),UPPER(TRIM(C190))))</f>
        <v/>
      </c>
    </row>
    <row r="191" customFormat="false" ht="15" hidden="false" customHeight="false" outlineLevel="0" collapsed="false">
      <c r="B191" s="17"/>
      <c r="C191" s="5"/>
      <c r="D191" s="5"/>
      <c r="E191" s="5"/>
      <c r="F191" s="5"/>
      <c r="G191" s="5"/>
      <c r="H191" s="16"/>
      <c r="I191" s="7" t="str">
        <f aca="false">IF(OR(G191="",H191=""),"",IFERROR(INDEX('TDS Rates'!$D$6:$D$40,MATCH(G191,'TDS Rates'!$B$6:$B$40,0)),"Check nature"))</f>
        <v/>
      </c>
      <c r="J191" s="7" t="str">
        <f aca="false">IF(OR(G191="",H191=""),"",IFERROR(INDEX('TDS Rates'!$C$6:$C$40,MATCH(G191,'TDS Rates'!$B$6:$B$40,0)),""))</f>
        <v/>
      </c>
      <c r="K191" s="7" t="str">
        <f aca="false">IF(OR(G191="",H191=""),"",IFERROR(INDEX('TDS Rates'!$E$6:$E$40,MATCH(G191,'TDS Rates'!$B$6:$B$40,0)),""))</f>
        <v/>
      </c>
      <c r="L191" s="29" t="str">
        <f aca="false">IF(OR(G191="",H191=""),"",SUMIFS(H$6:H190,AA$6:AA190,AA191,G$6:G190,G191))</f>
        <v/>
      </c>
      <c r="M191" s="29" t="str">
        <f aca="false">IF(OR(G191="",H191=""),"",SUMIFS(H$6:H190,AA$6:AA190,AA191,G$6:G190,G191,N$6:N190,0))</f>
        <v/>
      </c>
      <c r="N191" s="29" t="str">
        <f aca="false">IF(OR(G191="",H191=""),"",IFERROR(IF(INDEX('TDS Rates'!$F$6:$F$40,MATCH(G191,'TDS Rates'!$B$6:$B$40,0))="NONE",H191,IF(INDEX('TDS Rates'!$F$6:$F$40,MATCH(G191,'TDS Rates'!$B$6:$B$40,0))="PER",IF(H191&gt;INDEX('TDS Rates'!$G$6:$G$40,MATCH(G191,'TDS Rates'!$B$6:$B$40,0)),H191,0),IF(INDEX('TDS Rates'!$F$6:$F$40,MATCH(G191,'TDS Rates'!$B$6:$B$40,0))="EXCESS",MAX(0,L191+H191-INDEX('TDS Rates'!$H$6:$H$40,MATCH(G191,'TDS Rates'!$B$6:$B$40,0)))-MAX(0,L191-INDEX('TDS Rates'!$H$6:$H$40,MATCH(G191,'TDS Rates'!$B$6:$B$40,0))),IF(INDEX('TDS Rates'!$F$6:$F$40,MATCH(G191,'TDS Rates'!$B$6:$B$40,0))="SA",IF(L191+H191&gt;INDEX('TDS Rates'!$H$6:$H$40,MATCH(G191,'TDS Rates'!$B$6:$B$40,0)),H191+M191,IF(H191&gt;INDEX('TDS Rates'!$G$6:$G$40,MATCH(G191,'TDS Rates'!$B$6:$B$40,0)),H191,0)),IF(L191+H191&gt;INDEX('TDS Rates'!$H$6:$H$40,MATCH(G191,'TDS Rates'!$B$6:$B$40,0)),H191+M191,0))))),0))</f>
        <v/>
      </c>
      <c r="O191" s="33" t="str">
        <f aca="false">IF(OR(G191="",H191=""),"",IFERROR(IF(F191="No",IF(INDEX('TDS Rates'!$C$6:$C$40,MATCH(G191,'TDS Rates'!$B$6:$B$40,0))="194Q",Settings!$C$14,MAX(Settings!$C$13,IF(E191="Individual / HUF",INDEX('TDS Rates'!$I$6:$I$40,MATCH(G191,'TDS Rates'!$B$6:$B$40,0)),IF(E191="Company",INDEX('TDS Rates'!$J$6:$J$40,MATCH(G191,'TDS Rates'!$B$6:$B$40,0)),INDEX('TDS Rates'!$K$6:$K$40,MATCH(G191,'TDS Rates'!$B$6:$B$40,0)))))),IF(E191="Individual / HUF",INDEX('TDS Rates'!$I$6:$I$40,MATCH(G191,'TDS Rates'!$B$6:$B$40,0)),IF(E191="Company",INDEX('TDS Rates'!$J$6:$J$40,MATCH(G191,'TDS Rates'!$B$6:$B$40,0)),INDEX('TDS Rates'!$K$6:$K$40,MATCH(G191,'TDS Rates'!$B$6:$B$40,0))))),0))</f>
        <v/>
      </c>
      <c r="P191" s="34" t="str">
        <f aca="false">IF(OR(G191="",H191=""),"",ROUND(N191*O191,0))</f>
        <v/>
      </c>
      <c r="Q191" s="27" t="str">
        <f aca="false">IF(OR(G191="",H191=""),"",IFERROR(IF(INDEX('TDS Rates'!$E$6:$E$40,MATCH(G191,'TDS Rates'!$B$6:$B$40,0))="Form 141",EOMONTH(IF(R191="",B191,R191),0)+30,IF(MONTH(IF(R191="",B191,R191))=3,DATE(YEAR(IF(R191="",B191,R191)),4,30),DATE(YEAR(IF(R191="",B191,R191)),MONTH(IF(R191="",B191,R191))+1,7))),""))</f>
        <v/>
      </c>
      <c r="R191" s="17"/>
      <c r="S191" s="17"/>
      <c r="T191" s="5"/>
      <c r="U191" s="28" t="str">
        <f aca="false">IF(OR(G191="",H191=""),"",IF(P191=0,0,IF(IF(R191="",Settings!$C$9,R191)&lt;=B191,0,((YEAR(IF(R191="",Settings!$C$9,R191))-YEAR(B191))*12+MONTH(IF(R191="",Settings!$C$9,R191))-MONTH(B191)+1))))</f>
        <v/>
      </c>
      <c r="V191" s="29" t="str">
        <f aca="false">IF(OR(G191="",H191=""),"",ROUND(P191*Settings!$C$10*U191,0))</f>
        <v/>
      </c>
      <c r="W191" s="28" t="str">
        <f aca="false">IF(OR(G191="",H191=""),"",IF(OR(P191=0,R191=""),0,IF(IF(S191="",Settings!$C$9,S191)&lt;=Q191,0,((YEAR(IF(S191="",Settings!$C$9,S191))-YEAR(R191))*12+MONTH(IF(S191="",Settings!$C$9,S191))-MONTH(R191)+1))))</f>
        <v/>
      </c>
      <c r="X191" s="29" t="str">
        <f aca="false">IF(OR(G191="",H191=""),"",ROUND(P191*Settings!$C$11*W191,0))</f>
        <v/>
      </c>
      <c r="Y191" s="29" t="str">
        <f aca="false">IF(OR(G191="",H191=""),"",V191+X191)</f>
        <v/>
      </c>
      <c r="Z191" s="7" t="str">
        <f aca="false">IF(OR(G191="",H191=""),"",IF(P191=0,"Below threshold",IF(R191="","Not yet deducted",IF(S191="",IF(Settings!$C$9&gt;Q191,"Overdue — pay now","Deducted, due "&amp;TEXT(Q191,"dd-mmm")),IF(S191&lt;=Q191,IF(N(U191)&gt;0,"Deducted late, paid on time","Paid on time"),"Paid late")))))</f>
        <v/>
      </c>
      <c r="AA191" s="35" t="str">
        <f aca="false">IF(OR(G191="",H191=""),"",IF(D191&lt;&gt;"",UPPER(TRIM(D191)),UPPER(TRIM(C191))))</f>
        <v/>
      </c>
    </row>
    <row r="192" customFormat="false" ht="15" hidden="false" customHeight="false" outlineLevel="0" collapsed="false">
      <c r="B192" s="17"/>
      <c r="C192" s="5"/>
      <c r="D192" s="5"/>
      <c r="E192" s="5"/>
      <c r="F192" s="5"/>
      <c r="G192" s="5"/>
      <c r="H192" s="16"/>
      <c r="I192" s="7" t="str">
        <f aca="false">IF(OR(G192="",H192=""),"",IFERROR(INDEX('TDS Rates'!$D$6:$D$40,MATCH(G192,'TDS Rates'!$B$6:$B$40,0)),"Check nature"))</f>
        <v/>
      </c>
      <c r="J192" s="7" t="str">
        <f aca="false">IF(OR(G192="",H192=""),"",IFERROR(INDEX('TDS Rates'!$C$6:$C$40,MATCH(G192,'TDS Rates'!$B$6:$B$40,0)),""))</f>
        <v/>
      </c>
      <c r="K192" s="7" t="str">
        <f aca="false">IF(OR(G192="",H192=""),"",IFERROR(INDEX('TDS Rates'!$E$6:$E$40,MATCH(G192,'TDS Rates'!$B$6:$B$40,0)),""))</f>
        <v/>
      </c>
      <c r="L192" s="29" t="str">
        <f aca="false">IF(OR(G192="",H192=""),"",SUMIFS(H$6:H191,AA$6:AA191,AA192,G$6:G191,G192))</f>
        <v/>
      </c>
      <c r="M192" s="29" t="str">
        <f aca="false">IF(OR(G192="",H192=""),"",SUMIFS(H$6:H191,AA$6:AA191,AA192,G$6:G191,G192,N$6:N191,0))</f>
        <v/>
      </c>
      <c r="N192" s="29" t="str">
        <f aca="false">IF(OR(G192="",H192=""),"",IFERROR(IF(INDEX('TDS Rates'!$F$6:$F$40,MATCH(G192,'TDS Rates'!$B$6:$B$40,0))="NONE",H192,IF(INDEX('TDS Rates'!$F$6:$F$40,MATCH(G192,'TDS Rates'!$B$6:$B$40,0))="PER",IF(H192&gt;INDEX('TDS Rates'!$G$6:$G$40,MATCH(G192,'TDS Rates'!$B$6:$B$40,0)),H192,0),IF(INDEX('TDS Rates'!$F$6:$F$40,MATCH(G192,'TDS Rates'!$B$6:$B$40,0))="EXCESS",MAX(0,L192+H192-INDEX('TDS Rates'!$H$6:$H$40,MATCH(G192,'TDS Rates'!$B$6:$B$40,0)))-MAX(0,L192-INDEX('TDS Rates'!$H$6:$H$40,MATCH(G192,'TDS Rates'!$B$6:$B$40,0))),IF(INDEX('TDS Rates'!$F$6:$F$40,MATCH(G192,'TDS Rates'!$B$6:$B$40,0))="SA",IF(L192+H192&gt;INDEX('TDS Rates'!$H$6:$H$40,MATCH(G192,'TDS Rates'!$B$6:$B$40,0)),H192+M192,IF(H192&gt;INDEX('TDS Rates'!$G$6:$G$40,MATCH(G192,'TDS Rates'!$B$6:$B$40,0)),H192,0)),IF(L192+H192&gt;INDEX('TDS Rates'!$H$6:$H$40,MATCH(G192,'TDS Rates'!$B$6:$B$40,0)),H192+M192,0))))),0))</f>
        <v/>
      </c>
      <c r="O192" s="33" t="str">
        <f aca="false">IF(OR(G192="",H192=""),"",IFERROR(IF(F192="No",IF(INDEX('TDS Rates'!$C$6:$C$40,MATCH(G192,'TDS Rates'!$B$6:$B$40,0))="194Q",Settings!$C$14,MAX(Settings!$C$13,IF(E192="Individual / HUF",INDEX('TDS Rates'!$I$6:$I$40,MATCH(G192,'TDS Rates'!$B$6:$B$40,0)),IF(E192="Company",INDEX('TDS Rates'!$J$6:$J$40,MATCH(G192,'TDS Rates'!$B$6:$B$40,0)),INDEX('TDS Rates'!$K$6:$K$40,MATCH(G192,'TDS Rates'!$B$6:$B$40,0)))))),IF(E192="Individual / HUF",INDEX('TDS Rates'!$I$6:$I$40,MATCH(G192,'TDS Rates'!$B$6:$B$40,0)),IF(E192="Company",INDEX('TDS Rates'!$J$6:$J$40,MATCH(G192,'TDS Rates'!$B$6:$B$40,0)),INDEX('TDS Rates'!$K$6:$K$40,MATCH(G192,'TDS Rates'!$B$6:$B$40,0))))),0))</f>
        <v/>
      </c>
      <c r="P192" s="34" t="str">
        <f aca="false">IF(OR(G192="",H192=""),"",ROUND(N192*O192,0))</f>
        <v/>
      </c>
      <c r="Q192" s="27" t="str">
        <f aca="false">IF(OR(G192="",H192=""),"",IFERROR(IF(INDEX('TDS Rates'!$E$6:$E$40,MATCH(G192,'TDS Rates'!$B$6:$B$40,0))="Form 141",EOMONTH(IF(R192="",B192,R192),0)+30,IF(MONTH(IF(R192="",B192,R192))=3,DATE(YEAR(IF(R192="",B192,R192)),4,30),DATE(YEAR(IF(R192="",B192,R192)),MONTH(IF(R192="",B192,R192))+1,7))),""))</f>
        <v/>
      </c>
      <c r="R192" s="17"/>
      <c r="S192" s="17"/>
      <c r="T192" s="5"/>
      <c r="U192" s="28" t="str">
        <f aca="false">IF(OR(G192="",H192=""),"",IF(P192=0,0,IF(IF(R192="",Settings!$C$9,R192)&lt;=B192,0,((YEAR(IF(R192="",Settings!$C$9,R192))-YEAR(B192))*12+MONTH(IF(R192="",Settings!$C$9,R192))-MONTH(B192)+1))))</f>
        <v/>
      </c>
      <c r="V192" s="29" t="str">
        <f aca="false">IF(OR(G192="",H192=""),"",ROUND(P192*Settings!$C$10*U192,0))</f>
        <v/>
      </c>
      <c r="W192" s="28" t="str">
        <f aca="false">IF(OR(G192="",H192=""),"",IF(OR(P192=0,R192=""),0,IF(IF(S192="",Settings!$C$9,S192)&lt;=Q192,0,((YEAR(IF(S192="",Settings!$C$9,S192))-YEAR(R192))*12+MONTH(IF(S192="",Settings!$C$9,S192))-MONTH(R192)+1))))</f>
        <v/>
      </c>
      <c r="X192" s="29" t="str">
        <f aca="false">IF(OR(G192="",H192=""),"",ROUND(P192*Settings!$C$11*W192,0))</f>
        <v/>
      </c>
      <c r="Y192" s="29" t="str">
        <f aca="false">IF(OR(G192="",H192=""),"",V192+X192)</f>
        <v/>
      </c>
      <c r="Z192" s="7" t="str">
        <f aca="false">IF(OR(G192="",H192=""),"",IF(P192=0,"Below threshold",IF(R192="","Not yet deducted",IF(S192="",IF(Settings!$C$9&gt;Q192,"Overdue — pay now","Deducted, due "&amp;TEXT(Q192,"dd-mmm")),IF(S192&lt;=Q192,IF(N(U192)&gt;0,"Deducted late, paid on time","Paid on time"),"Paid late")))))</f>
        <v/>
      </c>
      <c r="AA192" s="35" t="str">
        <f aca="false">IF(OR(G192="",H192=""),"",IF(D192&lt;&gt;"",UPPER(TRIM(D192)),UPPER(TRIM(C192))))</f>
        <v/>
      </c>
    </row>
    <row r="193" customFormat="false" ht="15" hidden="false" customHeight="false" outlineLevel="0" collapsed="false">
      <c r="B193" s="17"/>
      <c r="C193" s="5"/>
      <c r="D193" s="5"/>
      <c r="E193" s="5"/>
      <c r="F193" s="5"/>
      <c r="G193" s="5"/>
      <c r="H193" s="16"/>
      <c r="I193" s="7" t="str">
        <f aca="false">IF(OR(G193="",H193=""),"",IFERROR(INDEX('TDS Rates'!$D$6:$D$40,MATCH(G193,'TDS Rates'!$B$6:$B$40,0)),"Check nature"))</f>
        <v/>
      </c>
      <c r="J193" s="7" t="str">
        <f aca="false">IF(OR(G193="",H193=""),"",IFERROR(INDEX('TDS Rates'!$C$6:$C$40,MATCH(G193,'TDS Rates'!$B$6:$B$40,0)),""))</f>
        <v/>
      </c>
      <c r="K193" s="7" t="str">
        <f aca="false">IF(OR(G193="",H193=""),"",IFERROR(INDEX('TDS Rates'!$E$6:$E$40,MATCH(G193,'TDS Rates'!$B$6:$B$40,0)),""))</f>
        <v/>
      </c>
      <c r="L193" s="29" t="str">
        <f aca="false">IF(OR(G193="",H193=""),"",SUMIFS(H$6:H192,AA$6:AA192,AA193,G$6:G192,G193))</f>
        <v/>
      </c>
      <c r="M193" s="29" t="str">
        <f aca="false">IF(OR(G193="",H193=""),"",SUMIFS(H$6:H192,AA$6:AA192,AA193,G$6:G192,G193,N$6:N192,0))</f>
        <v/>
      </c>
      <c r="N193" s="29" t="str">
        <f aca="false">IF(OR(G193="",H193=""),"",IFERROR(IF(INDEX('TDS Rates'!$F$6:$F$40,MATCH(G193,'TDS Rates'!$B$6:$B$40,0))="NONE",H193,IF(INDEX('TDS Rates'!$F$6:$F$40,MATCH(G193,'TDS Rates'!$B$6:$B$40,0))="PER",IF(H193&gt;INDEX('TDS Rates'!$G$6:$G$40,MATCH(G193,'TDS Rates'!$B$6:$B$40,0)),H193,0),IF(INDEX('TDS Rates'!$F$6:$F$40,MATCH(G193,'TDS Rates'!$B$6:$B$40,0))="EXCESS",MAX(0,L193+H193-INDEX('TDS Rates'!$H$6:$H$40,MATCH(G193,'TDS Rates'!$B$6:$B$40,0)))-MAX(0,L193-INDEX('TDS Rates'!$H$6:$H$40,MATCH(G193,'TDS Rates'!$B$6:$B$40,0))),IF(INDEX('TDS Rates'!$F$6:$F$40,MATCH(G193,'TDS Rates'!$B$6:$B$40,0))="SA",IF(L193+H193&gt;INDEX('TDS Rates'!$H$6:$H$40,MATCH(G193,'TDS Rates'!$B$6:$B$40,0)),H193+M193,IF(H193&gt;INDEX('TDS Rates'!$G$6:$G$40,MATCH(G193,'TDS Rates'!$B$6:$B$40,0)),H193,0)),IF(L193+H193&gt;INDEX('TDS Rates'!$H$6:$H$40,MATCH(G193,'TDS Rates'!$B$6:$B$40,0)),H193+M193,0))))),0))</f>
        <v/>
      </c>
      <c r="O193" s="33" t="str">
        <f aca="false">IF(OR(G193="",H193=""),"",IFERROR(IF(F193="No",IF(INDEX('TDS Rates'!$C$6:$C$40,MATCH(G193,'TDS Rates'!$B$6:$B$40,0))="194Q",Settings!$C$14,MAX(Settings!$C$13,IF(E193="Individual / HUF",INDEX('TDS Rates'!$I$6:$I$40,MATCH(G193,'TDS Rates'!$B$6:$B$40,0)),IF(E193="Company",INDEX('TDS Rates'!$J$6:$J$40,MATCH(G193,'TDS Rates'!$B$6:$B$40,0)),INDEX('TDS Rates'!$K$6:$K$40,MATCH(G193,'TDS Rates'!$B$6:$B$40,0)))))),IF(E193="Individual / HUF",INDEX('TDS Rates'!$I$6:$I$40,MATCH(G193,'TDS Rates'!$B$6:$B$40,0)),IF(E193="Company",INDEX('TDS Rates'!$J$6:$J$40,MATCH(G193,'TDS Rates'!$B$6:$B$40,0)),INDEX('TDS Rates'!$K$6:$K$40,MATCH(G193,'TDS Rates'!$B$6:$B$40,0))))),0))</f>
        <v/>
      </c>
      <c r="P193" s="34" t="str">
        <f aca="false">IF(OR(G193="",H193=""),"",ROUND(N193*O193,0))</f>
        <v/>
      </c>
      <c r="Q193" s="27" t="str">
        <f aca="false">IF(OR(G193="",H193=""),"",IFERROR(IF(INDEX('TDS Rates'!$E$6:$E$40,MATCH(G193,'TDS Rates'!$B$6:$B$40,0))="Form 141",EOMONTH(IF(R193="",B193,R193),0)+30,IF(MONTH(IF(R193="",B193,R193))=3,DATE(YEAR(IF(R193="",B193,R193)),4,30),DATE(YEAR(IF(R193="",B193,R193)),MONTH(IF(R193="",B193,R193))+1,7))),""))</f>
        <v/>
      </c>
      <c r="R193" s="17"/>
      <c r="S193" s="17"/>
      <c r="T193" s="5"/>
      <c r="U193" s="28" t="str">
        <f aca="false">IF(OR(G193="",H193=""),"",IF(P193=0,0,IF(IF(R193="",Settings!$C$9,R193)&lt;=B193,0,((YEAR(IF(R193="",Settings!$C$9,R193))-YEAR(B193))*12+MONTH(IF(R193="",Settings!$C$9,R193))-MONTH(B193)+1))))</f>
        <v/>
      </c>
      <c r="V193" s="29" t="str">
        <f aca="false">IF(OR(G193="",H193=""),"",ROUND(P193*Settings!$C$10*U193,0))</f>
        <v/>
      </c>
      <c r="W193" s="28" t="str">
        <f aca="false">IF(OR(G193="",H193=""),"",IF(OR(P193=0,R193=""),0,IF(IF(S193="",Settings!$C$9,S193)&lt;=Q193,0,((YEAR(IF(S193="",Settings!$C$9,S193))-YEAR(R193))*12+MONTH(IF(S193="",Settings!$C$9,S193))-MONTH(R193)+1))))</f>
        <v/>
      </c>
      <c r="X193" s="29" t="str">
        <f aca="false">IF(OR(G193="",H193=""),"",ROUND(P193*Settings!$C$11*W193,0))</f>
        <v/>
      </c>
      <c r="Y193" s="29" t="str">
        <f aca="false">IF(OR(G193="",H193=""),"",V193+X193)</f>
        <v/>
      </c>
      <c r="Z193" s="7" t="str">
        <f aca="false">IF(OR(G193="",H193=""),"",IF(P193=0,"Below threshold",IF(R193="","Not yet deducted",IF(S193="",IF(Settings!$C$9&gt;Q193,"Overdue — pay now","Deducted, due "&amp;TEXT(Q193,"dd-mmm")),IF(S193&lt;=Q193,IF(N(U193)&gt;0,"Deducted late, paid on time","Paid on time"),"Paid late")))))</f>
        <v/>
      </c>
      <c r="AA193" s="35" t="str">
        <f aca="false">IF(OR(G193="",H193=""),"",IF(D193&lt;&gt;"",UPPER(TRIM(D193)),UPPER(TRIM(C193))))</f>
        <v/>
      </c>
    </row>
    <row r="194" customFormat="false" ht="15" hidden="false" customHeight="false" outlineLevel="0" collapsed="false">
      <c r="B194" s="17"/>
      <c r="C194" s="5"/>
      <c r="D194" s="5"/>
      <c r="E194" s="5"/>
      <c r="F194" s="5"/>
      <c r="G194" s="5"/>
      <c r="H194" s="16"/>
      <c r="I194" s="7" t="str">
        <f aca="false">IF(OR(G194="",H194=""),"",IFERROR(INDEX('TDS Rates'!$D$6:$D$40,MATCH(G194,'TDS Rates'!$B$6:$B$40,0)),"Check nature"))</f>
        <v/>
      </c>
      <c r="J194" s="7" t="str">
        <f aca="false">IF(OR(G194="",H194=""),"",IFERROR(INDEX('TDS Rates'!$C$6:$C$40,MATCH(G194,'TDS Rates'!$B$6:$B$40,0)),""))</f>
        <v/>
      </c>
      <c r="K194" s="7" t="str">
        <f aca="false">IF(OR(G194="",H194=""),"",IFERROR(INDEX('TDS Rates'!$E$6:$E$40,MATCH(G194,'TDS Rates'!$B$6:$B$40,0)),""))</f>
        <v/>
      </c>
      <c r="L194" s="29" t="str">
        <f aca="false">IF(OR(G194="",H194=""),"",SUMIFS(H$6:H193,AA$6:AA193,AA194,G$6:G193,G194))</f>
        <v/>
      </c>
      <c r="M194" s="29" t="str">
        <f aca="false">IF(OR(G194="",H194=""),"",SUMIFS(H$6:H193,AA$6:AA193,AA194,G$6:G193,G194,N$6:N193,0))</f>
        <v/>
      </c>
      <c r="N194" s="29" t="str">
        <f aca="false">IF(OR(G194="",H194=""),"",IFERROR(IF(INDEX('TDS Rates'!$F$6:$F$40,MATCH(G194,'TDS Rates'!$B$6:$B$40,0))="NONE",H194,IF(INDEX('TDS Rates'!$F$6:$F$40,MATCH(G194,'TDS Rates'!$B$6:$B$40,0))="PER",IF(H194&gt;INDEX('TDS Rates'!$G$6:$G$40,MATCH(G194,'TDS Rates'!$B$6:$B$40,0)),H194,0),IF(INDEX('TDS Rates'!$F$6:$F$40,MATCH(G194,'TDS Rates'!$B$6:$B$40,0))="EXCESS",MAX(0,L194+H194-INDEX('TDS Rates'!$H$6:$H$40,MATCH(G194,'TDS Rates'!$B$6:$B$40,0)))-MAX(0,L194-INDEX('TDS Rates'!$H$6:$H$40,MATCH(G194,'TDS Rates'!$B$6:$B$40,0))),IF(INDEX('TDS Rates'!$F$6:$F$40,MATCH(G194,'TDS Rates'!$B$6:$B$40,0))="SA",IF(L194+H194&gt;INDEX('TDS Rates'!$H$6:$H$40,MATCH(G194,'TDS Rates'!$B$6:$B$40,0)),H194+M194,IF(H194&gt;INDEX('TDS Rates'!$G$6:$G$40,MATCH(G194,'TDS Rates'!$B$6:$B$40,0)),H194,0)),IF(L194+H194&gt;INDEX('TDS Rates'!$H$6:$H$40,MATCH(G194,'TDS Rates'!$B$6:$B$40,0)),H194+M194,0))))),0))</f>
        <v/>
      </c>
      <c r="O194" s="33" t="str">
        <f aca="false">IF(OR(G194="",H194=""),"",IFERROR(IF(F194="No",IF(INDEX('TDS Rates'!$C$6:$C$40,MATCH(G194,'TDS Rates'!$B$6:$B$40,0))="194Q",Settings!$C$14,MAX(Settings!$C$13,IF(E194="Individual / HUF",INDEX('TDS Rates'!$I$6:$I$40,MATCH(G194,'TDS Rates'!$B$6:$B$40,0)),IF(E194="Company",INDEX('TDS Rates'!$J$6:$J$40,MATCH(G194,'TDS Rates'!$B$6:$B$40,0)),INDEX('TDS Rates'!$K$6:$K$40,MATCH(G194,'TDS Rates'!$B$6:$B$40,0)))))),IF(E194="Individual / HUF",INDEX('TDS Rates'!$I$6:$I$40,MATCH(G194,'TDS Rates'!$B$6:$B$40,0)),IF(E194="Company",INDEX('TDS Rates'!$J$6:$J$40,MATCH(G194,'TDS Rates'!$B$6:$B$40,0)),INDEX('TDS Rates'!$K$6:$K$40,MATCH(G194,'TDS Rates'!$B$6:$B$40,0))))),0))</f>
        <v/>
      </c>
      <c r="P194" s="34" t="str">
        <f aca="false">IF(OR(G194="",H194=""),"",ROUND(N194*O194,0))</f>
        <v/>
      </c>
      <c r="Q194" s="27" t="str">
        <f aca="false">IF(OR(G194="",H194=""),"",IFERROR(IF(INDEX('TDS Rates'!$E$6:$E$40,MATCH(G194,'TDS Rates'!$B$6:$B$40,0))="Form 141",EOMONTH(IF(R194="",B194,R194),0)+30,IF(MONTH(IF(R194="",B194,R194))=3,DATE(YEAR(IF(R194="",B194,R194)),4,30),DATE(YEAR(IF(R194="",B194,R194)),MONTH(IF(R194="",B194,R194))+1,7))),""))</f>
        <v/>
      </c>
      <c r="R194" s="17"/>
      <c r="S194" s="17"/>
      <c r="T194" s="5"/>
      <c r="U194" s="28" t="str">
        <f aca="false">IF(OR(G194="",H194=""),"",IF(P194=0,0,IF(IF(R194="",Settings!$C$9,R194)&lt;=B194,0,((YEAR(IF(R194="",Settings!$C$9,R194))-YEAR(B194))*12+MONTH(IF(R194="",Settings!$C$9,R194))-MONTH(B194)+1))))</f>
        <v/>
      </c>
      <c r="V194" s="29" t="str">
        <f aca="false">IF(OR(G194="",H194=""),"",ROUND(P194*Settings!$C$10*U194,0))</f>
        <v/>
      </c>
      <c r="W194" s="28" t="str">
        <f aca="false">IF(OR(G194="",H194=""),"",IF(OR(P194=0,R194=""),0,IF(IF(S194="",Settings!$C$9,S194)&lt;=Q194,0,((YEAR(IF(S194="",Settings!$C$9,S194))-YEAR(R194))*12+MONTH(IF(S194="",Settings!$C$9,S194))-MONTH(R194)+1))))</f>
        <v/>
      </c>
      <c r="X194" s="29" t="str">
        <f aca="false">IF(OR(G194="",H194=""),"",ROUND(P194*Settings!$C$11*W194,0))</f>
        <v/>
      </c>
      <c r="Y194" s="29" t="str">
        <f aca="false">IF(OR(G194="",H194=""),"",V194+X194)</f>
        <v/>
      </c>
      <c r="Z194" s="7" t="str">
        <f aca="false">IF(OR(G194="",H194=""),"",IF(P194=0,"Below threshold",IF(R194="","Not yet deducted",IF(S194="",IF(Settings!$C$9&gt;Q194,"Overdue — pay now","Deducted, due "&amp;TEXT(Q194,"dd-mmm")),IF(S194&lt;=Q194,IF(N(U194)&gt;0,"Deducted late, paid on time","Paid on time"),"Paid late")))))</f>
        <v/>
      </c>
      <c r="AA194" s="35" t="str">
        <f aca="false">IF(OR(G194="",H194=""),"",IF(D194&lt;&gt;"",UPPER(TRIM(D194)),UPPER(TRIM(C194))))</f>
        <v/>
      </c>
    </row>
    <row r="195" customFormat="false" ht="15" hidden="false" customHeight="false" outlineLevel="0" collapsed="false">
      <c r="B195" s="17"/>
      <c r="C195" s="5"/>
      <c r="D195" s="5"/>
      <c r="E195" s="5"/>
      <c r="F195" s="5"/>
      <c r="G195" s="5"/>
      <c r="H195" s="16"/>
      <c r="I195" s="7" t="str">
        <f aca="false">IF(OR(G195="",H195=""),"",IFERROR(INDEX('TDS Rates'!$D$6:$D$40,MATCH(G195,'TDS Rates'!$B$6:$B$40,0)),"Check nature"))</f>
        <v/>
      </c>
      <c r="J195" s="7" t="str">
        <f aca="false">IF(OR(G195="",H195=""),"",IFERROR(INDEX('TDS Rates'!$C$6:$C$40,MATCH(G195,'TDS Rates'!$B$6:$B$40,0)),""))</f>
        <v/>
      </c>
      <c r="K195" s="7" t="str">
        <f aca="false">IF(OR(G195="",H195=""),"",IFERROR(INDEX('TDS Rates'!$E$6:$E$40,MATCH(G195,'TDS Rates'!$B$6:$B$40,0)),""))</f>
        <v/>
      </c>
      <c r="L195" s="29" t="str">
        <f aca="false">IF(OR(G195="",H195=""),"",SUMIFS(H$6:H194,AA$6:AA194,AA195,G$6:G194,G195))</f>
        <v/>
      </c>
      <c r="M195" s="29" t="str">
        <f aca="false">IF(OR(G195="",H195=""),"",SUMIFS(H$6:H194,AA$6:AA194,AA195,G$6:G194,G195,N$6:N194,0))</f>
        <v/>
      </c>
      <c r="N195" s="29" t="str">
        <f aca="false">IF(OR(G195="",H195=""),"",IFERROR(IF(INDEX('TDS Rates'!$F$6:$F$40,MATCH(G195,'TDS Rates'!$B$6:$B$40,0))="NONE",H195,IF(INDEX('TDS Rates'!$F$6:$F$40,MATCH(G195,'TDS Rates'!$B$6:$B$40,0))="PER",IF(H195&gt;INDEX('TDS Rates'!$G$6:$G$40,MATCH(G195,'TDS Rates'!$B$6:$B$40,0)),H195,0),IF(INDEX('TDS Rates'!$F$6:$F$40,MATCH(G195,'TDS Rates'!$B$6:$B$40,0))="EXCESS",MAX(0,L195+H195-INDEX('TDS Rates'!$H$6:$H$40,MATCH(G195,'TDS Rates'!$B$6:$B$40,0)))-MAX(0,L195-INDEX('TDS Rates'!$H$6:$H$40,MATCH(G195,'TDS Rates'!$B$6:$B$40,0))),IF(INDEX('TDS Rates'!$F$6:$F$40,MATCH(G195,'TDS Rates'!$B$6:$B$40,0))="SA",IF(L195+H195&gt;INDEX('TDS Rates'!$H$6:$H$40,MATCH(G195,'TDS Rates'!$B$6:$B$40,0)),H195+M195,IF(H195&gt;INDEX('TDS Rates'!$G$6:$G$40,MATCH(G195,'TDS Rates'!$B$6:$B$40,0)),H195,0)),IF(L195+H195&gt;INDEX('TDS Rates'!$H$6:$H$40,MATCH(G195,'TDS Rates'!$B$6:$B$40,0)),H195+M195,0))))),0))</f>
        <v/>
      </c>
      <c r="O195" s="33" t="str">
        <f aca="false">IF(OR(G195="",H195=""),"",IFERROR(IF(F195="No",IF(INDEX('TDS Rates'!$C$6:$C$40,MATCH(G195,'TDS Rates'!$B$6:$B$40,0))="194Q",Settings!$C$14,MAX(Settings!$C$13,IF(E195="Individual / HUF",INDEX('TDS Rates'!$I$6:$I$40,MATCH(G195,'TDS Rates'!$B$6:$B$40,0)),IF(E195="Company",INDEX('TDS Rates'!$J$6:$J$40,MATCH(G195,'TDS Rates'!$B$6:$B$40,0)),INDEX('TDS Rates'!$K$6:$K$40,MATCH(G195,'TDS Rates'!$B$6:$B$40,0)))))),IF(E195="Individual / HUF",INDEX('TDS Rates'!$I$6:$I$40,MATCH(G195,'TDS Rates'!$B$6:$B$40,0)),IF(E195="Company",INDEX('TDS Rates'!$J$6:$J$40,MATCH(G195,'TDS Rates'!$B$6:$B$40,0)),INDEX('TDS Rates'!$K$6:$K$40,MATCH(G195,'TDS Rates'!$B$6:$B$40,0))))),0))</f>
        <v/>
      </c>
      <c r="P195" s="34" t="str">
        <f aca="false">IF(OR(G195="",H195=""),"",ROUND(N195*O195,0))</f>
        <v/>
      </c>
      <c r="Q195" s="27" t="str">
        <f aca="false">IF(OR(G195="",H195=""),"",IFERROR(IF(INDEX('TDS Rates'!$E$6:$E$40,MATCH(G195,'TDS Rates'!$B$6:$B$40,0))="Form 141",EOMONTH(IF(R195="",B195,R195),0)+30,IF(MONTH(IF(R195="",B195,R195))=3,DATE(YEAR(IF(R195="",B195,R195)),4,30),DATE(YEAR(IF(R195="",B195,R195)),MONTH(IF(R195="",B195,R195))+1,7))),""))</f>
        <v/>
      </c>
      <c r="R195" s="17"/>
      <c r="S195" s="17"/>
      <c r="T195" s="5"/>
      <c r="U195" s="28" t="str">
        <f aca="false">IF(OR(G195="",H195=""),"",IF(P195=0,0,IF(IF(R195="",Settings!$C$9,R195)&lt;=B195,0,((YEAR(IF(R195="",Settings!$C$9,R195))-YEAR(B195))*12+MONTH(IF(R195="",Settings!$C$9,R195))-MONTH(B195)+1))))</f>
        <v/>
      </c>
      <c r="V195" s="29" t="str">
        <f aca="false">IF(OR(G195="",H195=""),"",ROUND(P195*Settings!$C$10*U195,0))</f>
        <v/>
      </c>
      <c r="W195" s="28" t="str">
        <f aca="false">IF(OR(G195="",H195=""),"",IF(OR(P195=0,R195=""),0,IF(IF(S195="",Settings!$C$9,S195)&lt;=Q195,0,((YEAR(IF(S195="",Settings!$C$9,S195))-YEAR(R195))*12+MONTH(IF(S195="",Settings!$C$9,S195))-MONTH(R195)+1))))</f>
        <v/>
      </c>
      <c r="X195" s="29" t="str">
        <f aca="false">IF(OR(G195="",H195=""),"",ROUND(P195*Settings!$C$11*W195,0))</f>
        <v/>
      </c>
      <c r="Y195" s="29" t="str">
        <f aca="false">IF(OR(G195="",H195=""),"",V195+X195)</f>
        <v/>
      </c>
      <c r="Z195" s="7" t="str">
        <f aca="false">IF(OR(G195="",H195=""),"",IF(P195=0,"Below threshold",IF(R195="","Not yet deducted",IF(S195="",IF(Settings!$C$9&gt;Q195,"Overdue — pay now","Deducted, due "&amp;TEXT(Q195,"dd-mmm")),IF(S195&lt;=Q195,IF(N(U195)&gt;0,"Deducted late, paid on time","Paid on time"),"Paid late")))))</f>
        <v/>
      </c>
      <c r="AA195" s="35" t="str">
        <f aca="false">IF(OR(G195="",H195=""),"",IF(D195&lt;&gt;"",UPPER(TRIM(D195)),UPPER(TRIM(C195))))</f>
        <v/>
      </c>
    </row>
    <row r="196" customFormat="false" ht="15" hidden="false" customHeight="false" outlineLevel="0" collapsed="false">
      <c r="B196" s="17"/>
      <c r="C196" s="5"/>
      <c r="D196" s="5"/>
      <c r="E196" s="5"/>
      <c r="F196" s="5"/>
      <c r="G196" s="5"/>
      <c r="H196" s="16"/>
      <c r="I196" s="7" t="str">
        <f aca="false">IF(OR(G196="",H196=""),"",IFERROR(INDEX('TDS Rates'!$D$6:$D$40,MATCH(G196,'TDS Rates'!$B$6:$B$40,0)),"Check nature"))</f>
        <v/>
      </c>
      <c r="J196" s="7" t="str">
        <f aca="false">IF(OR(G196="",H196=""),"",IFERROR(INDEX('TDS Rates'!$C$6:$C$40,MATCH(G196,'TDS Rates'!$B$6:$B$40,0)),""))</f>
        <v/>
      </c>
      <c r="K196" s="7" t="str">
        <f aca="false">IF(OR(G196="",H196=""),"",IFERROR(INDEX('TDS Rates'!$E$6:$E$40,MATCH(G196,'TDS Rates'!$B$6:$B$40,0)),""))</f>
        <v/>
      </c>
      <c r="L196" s="29" t="str">
        <f aca="false">IF(OR(G196="",H196=""),"",SUMIFS(H$6:H195,AA$6:AA195,AA196,G$6:G195,G196))</f>
        <v/>
      </c>
      <c r="M196" s="29" t="str">
        <f aca="false">IF(OR(G196="",H196=""),"",SUMIFS(H$6:H195,AA$6:AA195,AA196,G$6:G195,G196,N$6:N195,0))</f>
        <v/>
      </c>
      <c r="N196" s="29" t="str">
        <f aca="false">IF(OR(G196="",H196=""),"",IFERROR(IF(INDEX('TDS Rates'!$F$6:$F$40,MATCH(G196,'TDS Rates'!$B$6:$B$40,0))="NONE",H196,IF(INDEX('TDS Rates'!$F$6:$F$40,MATCH(G196,'TDS Rates'!$B$6:$B$40,0))="PER",IF(H196&gt;INDEX('TDS Rates'!$G$6:$G$40,MATCH(G196,'TDS Rates'!$B$6:$B$40,0)),H196,0),IF(INDEX('TDS Rates'!$F$6:$F$40,MATCH(G196,'TDS Rates'!$B$6:$B$40,0))="EXCESS",MAX(0,L196+H196-INDEX('TDS Rates'!$H$6:$H$40,MATCH(G196,'TDS Rates'!$B$6:$B$40,0)))-MAX(0,L196-INDEX('TDS Rates'!$H$6:$H$40,MATCH(G196,'TDS Rates'!$B$6:$B$40,0))),IF(INDEX('TDS Rates'!$F$6:$F$40,MATCH(G196,'TDS Rates'!$B$6:$B$40,0))="SA",IF(L196+H196&gt;INDEX('TDS Rates'!$H$6:$H$40,MATCH(G196,'TDS Rates'!$B$6:$B$40,0)),H196+M196,IF(H196&gt;INDEX('TDS Rates'!$G$6:$G$40,MATCH(G196,'TDS Rates'!$B$6:$B$40,0)),H196,0)),IF(L196+H196&gt;INDEX('TDS Rates'!$H$6:$H$40,MATCH(G196,'TDS Rates'!$B$6:$B$40,0)),H196+M196,0))))),0))</f>
        <v/>
      </c>
      <c r="O196" s="33" t="str">
        <f aca="false">IF(OR(G196="",H196=""),"",IFERROR(IF(F196="No",IF(INDEX('TDS Rates'!$C$6:$C$40,MATCH(G196,'TDS Rates'!$B$6:$B$40,0))="194Q",Settings!$C$14,MAX(Settings!$C$13,IF(E196="Individual / HUF",INDEX('TDS Rates'!$I$6:$I$40,MATCH(G196,'TDS Rates'!$B$6:$B$40,0)),IF(E196="Company",INDEX('TDS Rates'!$J$6:$J$40,MATCH(G196,'TDS Rates'!$B$6:$B$40,0)),INDEX('TDS Rates'!$K$6:$K$40,MATCH(G196,'TDS Rates'!$B$6:$B$40,0)))))),IF(E196="Individual / HUF",INDEX('TDS Rates'!$I$6:$I$40,MATCH(G196,'TDS Rates'!$B$6:$B$40,0)),IF(E196="Company",INDEX('TDS Rates'!$J$6:$J$40,MATCH(G196,'TDS Rates'!$B$6:$B$40,0)),INDEX('TDS Rates'!$K$6:$K$40,MATCH(G196,'TDS Rates'!$B$6:$B$40,0))))),0))</f>
        <v/>
      </c>
      <c r="P196" s="34" t="str">
        <f aca="false">IF(OR(G196="",H196=""),"",ROUND(N196*O196,0))</f>
        <v/>
      </c>
      <c r="Q196" s="27" t="str">
        <f aca="false">IF(OR(G196="",H196=""),"",IFERROR(IF(INDEX('TDS Rates'!$E$6:$E$40,MATCH(G196,'TDS Rates'!$B$6:$B$40,0))="Form 141",EOMONTH(IF(R196="",B196,R196),0)+30,IF(MONTH(IF(R196="",B196,R196))=3,DATE(YEAR(IF(R196="",B196,R196)),4,30),DATE(YEAR(IF(R196="",B196,R196)),MONTH(IF(R196="",B196,R196))+1,7))),""))</f>
        <v/>
      </c>
      <c r="R196" s="17"/>
      <c r="S196" s="17"/>
      <c r="T196" s="5"/>
      <c r="U196" s="28" t="str">
        <f aca="false">IF(OR(G196="",H196=""),"",IF(P196=0,0,IF(IF(R196="",Settings!$C$9,R196)&lt;=B196,0,((YEAR(IF(R196="",Settings!$C$9,R196))-YEAR(B196))*12+MONTH(IF(R196="",Settings!$C$9,R196))-MONTH(B196)+1))))</f>
        <v/>
      </c>
      <c r="V196" s="29" t="str">
        <f aca="false">IF(OR(G196="",H196=""),"",ROUND(P196*Settings!$C$10*U196,0))</f>
        <v/>
      </c>
      <c r="W196" s="28" t="str">
        <f aca="false">IF(OR(G196="",H196=""),"",IF(OR(P196=0,R196=""),0,IF(IF(S196="",Settings!$C$9,S196)&lt;=Q196,0,((YEAR(IF(S196="",Settings!$C$9,S196))-YEAR(R196))*12+MONTH(IF(S196="",Settings!$C$9,S196))-MONTH(R196)+1))))</f>
        <v/>
      </c>
      <c r="X196" s="29" t="str">
        <f aca="false">IF(OR(G196="",H196=""),"",ROUND(P196*Settings!$C$11*W196,0))</f>
        <v/>
      </c>
      <c r="Y196" s="29" t="str">
        <f aca="false">IF(OR(G196="",H196=""),"",V196+X196)</f>
        <v/>
      </c>
      <c r="Z196" s="7" t="str">
        <f aca="false">IF(OR(G196="",H196=""),"",IF(P196=0,"Below threshold",IF(R196="","Not yet deducted",IF(S196="",IF(Settings!$C$9&gt;Q196,"Overdue — pay now","Deducted, due "&amp;TEXT(Q196,"dd-mmm")),IF(S196&lt;=Q196,IF(N(U196)&gt;0,"Deducted late, paid on time","Paid on time"),"Paid late")))))</f>
        <v/>
      </c>
      <c r="AA196" s="35" t="str">
        <f aca="false">IF(OR(G196="",H196=""),"",IF(D196&lt;&gt;"",UPPER(TRIM(D196)),UPPER(TRIM(C196))))</f>
        <v/>
      </c>
    </row>
    <row r="197" customFormat="false" ht="15" hidden="false" customHeight="false" outlineLevel="0" collapsed="false">
      <c r="B197" s="17"/>
      <c r="C197" s="5"/>
      <c r="D197" s="5"/>
      <c r="E197" s="5"/>
      <c r="F197" s="5"/>
      <c r="G197" s="5"/>
      <c r="H197" s="16"/>
      <c r="I197" s="7" t="str">
        <f aca="false">IF(OR(G197="",H197=""),"",IFERROR(INDEX('TDS Rates'!$D$6:$D$40,MATCH(G197,'TDS Rates'!$B$6:$B$40,0)),"Check nature"))</f>
        <v/>
      </c>
      <c r="J197" s="7" t="str">
        <f aca="false">IF(OR(G197="",H197=""),"",IFERROR(INDEX('TDS Rates'!$C$6:$C$40,MATCH(G197,'TDS Rates'!$B$6:$B$40,0)),""))</f>
        <v/>
      </c>
      <c r="K197" s="7" t="str">
        <f aca="false">IF(OR(G197="",H197=""),"",IFERROR(INDEX('TDS Rates'!$E$6:$E$40,MATCH(G197,'TDS Rates'!$B$6:$B$40,0)),""))</f>
        <v/>
      </c>
      <c r="L197" s="29" t="str">
        <f aca="false">IF(OR(G197="",H197=""),"",SUMIFS(H$6:H196,AA$6:AA196,AA197,G$6:G196,G197))</f>
        <v/>
      </c>
      <c r="M197" s="29" t="str">
        <f aca="false">IF(OR(G197="",H197=""),"",SUMIFS(H$6:H196,AA$6:AA196,AA197,G$6:G196,G197,N$6:N196,0))</f>
        <v/>
      </c>
      <c r="N197" s="29" t="str">
        <f aca="false">IF(OR(G197="",H197=""),"",IFERROR(IF(INDEX('TDS Rates'!$F$6:$F$40,MATCH(G197,'TDS Rates'!$B$6:$B$40,0))="NONE",H197,IF(INDEX('TDS Rates'!$F$6:$F$40,MATCH(G197,'TDS Rates'!$B$6:$B$40,0))="PER",IF(H197&gt;INDEX('TDS Rates'!$G$6:$G$40,MATCH(G197,'TDS Rates'!$B$6:$B$40,0)),H197,0),IF(INDEX('TDS Rates'!$F$6:$F$40,MATCH(G197,'TDS Rates'!$B$6:$B$40,0))="EXCESS",MAX(0,L197+H197-INDEX('TDS Rates'!$H$6:$H$40,MATCH(G197,'TDS Rates'!$B$6:$B$40,0)))-MAX(0,L197-INDEX('TDS Rates'!$H$6:$H$40,MATCH(G197,'TDS Rates'!$B$6:$B$40,0))),IF(INDEX('TDS Rates'!$F$6:$F$40,MATCH(G197,'TDS Rates'!$B$6:$B$40,0))="SA",IF(L197+H197&gt;INDEX('TDS Rates'!$H$6:$H$40,MATCH(G197,'TDS Rates'!$B$6:$B$40,0)),H197+M197,IF(H197&gt;INDEX('TDS Rates'!$G$6:$G$40,MATCH(G197,'TDS Rates'!$B$6:$B$40,0)),H197,0)),IF(L197+H197&gt;INDEX('TDS Rates'!$H$6:$H$40,MATCH(G197,'TDS Rates'!$B$6:$B$40,0)),H197+M197,0))))),0))</f>
        <v/>
      </c>
      <c r="O197" s="33" t="str">
        <f aca="false">IF(OR(G197="",H197=""),"",IFERROR(IF(F197="No",IF(INDEX('TDS Rates'!$C$6:$C$40,MATCH(G197,'TDS Rates'!$B$6:$B$40,0))="194Q",Settings!$C$14,MAX(Settings!$C$13,IF(E197="Individual / HUF",INDEX('TDS Rates'!$I$6:$I$40,MATCH(G197,'TDS Rates'!$B$6:$B$40,0)),IF(E197="Company",INDEX('TDS Rates'!$J$6:$J$40,MATCH(G197,'TDS Rates'!$B$6:$B$40,0)),INDEX('TDS Rates'!$K$6:$K$40,MATCH(G197,'TDS Rates'!$B$6:$B$40,0)))))),IF(E197="Individual / HUF",INDEX('TDS Rates'!$I$6:$I$40,MATCH(G197,'TDS Rates'!$B$6:$B$40,0)),IF(E197="Company",INDEX('TDS Rates'!$J$6:$J$40,MATCH(G197,'TDS Rates'!$B$6:$B$40,0)),INDEX('TDS Rates'!$K$6:$K$40,MATCH(G197,'TDS Rates'!$B$6:$B$40,0))))),0))</f>
        <v/>
      </c>
      <c r="P197" s="34" t="str">
        <f aca="false">IF(OR(G197="",H197=""),"",ROUND(N197*O197,0))</f>
        <v/>
      </c>
      <c r="Q197" s="27" t="str">
        <f aca="false">IF(OR(G197="",H197=""),"",IFERROR(IF(INDEX('TDS Rates'!$E$6:$E$40,MATCH(G197,'TDS Rates'!$B$6:$B$40,0))="Form 141",EOMONTH(IF(R197="",B197,R197),0)+30,IF(MONTH(IF(R197="",B197,R197))=3,DATE(YEAR(IF(R197="",B197,R197)),4,30),DATE(YEAR(IF(R197="",B197,R197)),MONTH(IF(R197="",B197,R197))+1,7))),""))</f>
        <v/>
      </c>
      <c r="R197" s="17"/>
      <c r="S197" s="17"/>
      <c r="T197" s="5"/>
      <c r="U197" s="28" t="str">
        <f aca="false">IF(OR(G197="",H197=""),"",IF(P197=0,0,IF(IF(R197="",Settings!$C$9,R197)&lt;=B197,0,((YEAR(IF(R197="",Settings!$C$9,R197))-YEAR(B197))*12+MONTH(IF(R197="",Settings!$C$9,R197))-MONTH(B197)+1))))</f>
        <v/>
      </c>
      <c r="V197" s="29" t="str">
        <f aca="false">IF(OR(G197="",H197=""),"",ROUND(P197*Settings!$C$10*U197,0))</f>
        <v/>
      </c>
      <c r="W197" s="28" t="str">
        <f aca="false">IF(OR(G197="",H197=""),"",IF(OR(P197=0,R197=""),0,IF(IF(S197="",Settings!$C$9,S197)&lt;=Q197,0,((YEAR(IF(S197="",Settings!$C$9,S197))-YEAR(R197))*12+MONTH(IF(S197="",Settings!$C$9,S197))-MONTH(R197)+1))))</f>
        <v/>
      </c>
      <c r="X197" s="29" t="str">
        <f aca="false">IF(OR(G197="",H197=""),"",ROUND(P197*Settings!$C$11*W197,0))</f>
        <v/>
      </c>
      <c r="Y197" s="29" t="str">
        <f aca="false">IF(OR(G197="",H197=""),"",V197+X197)</f>
        <v/>
      </c>
      <c r="Z197" s="7" t="str">
        <f aca="false">IF(OR(G197="",H197=""),"",IF(P197=0,"Below threshold",IF(R197="","Not yet deducted",IF(S197="",IF(Settings!$C$9&gt;Q197,"Overdue — pay now","Deducted, due "&amp;TEXT(Q197,"dd-mmm")),IF(S197&lt;=Q197,IF(N(U197)&gt;0,"Deducted late, paid on time","Paid on time"),"Paid late")))))</f>
        <v/>
      </c>
      <c r="AA197" s="35" t="str">
        <f aca="false">IF(OR(G197="",H197=""),"",IF(D197&lt;&gt;"",UPPER(TRIM(D197)),UPPER(TRIM(C197))))</f>
        <v/>
      </c>
    </row>
    <row r="198" customFormat="false" ht="15" hidden="false" customHeight="false" outlineLevel="0" collapsed="false">
      <c r="B198" s="17"/>
      <c r="C198" s="5"/>
      <c r="D198" s="5"/>
      <c r="E198" s="5"/>
      <c r="F198" s="5"/>
      <c r="G198" s="5"/>
      <c r="H198" s="16"/>
      <c r="I198" s="7" t="str">
        <f aca="false">IF(OR(G198="",H198=""),"",IFERROR(INDEX('TDS Rates'!$D$6:$D$40,MATCH(G198,'TDS Rates'!$B$6:$B$40,0)),"Check nature"))</f>
        <v/>
      </c>
      <c r="J198" s="7" t="str">
        <f aca="false">IF(OR(G198="",H198=""),"",IFERROR(INDEX('TDS Rates'!$C$6:$C$40,MATCH(G198,'TDS Rates'!$B$6:$B$40,0)),""))</f>
        <v/>
      </c>
      <c r="K198" s="7" t="str">
        <f aca="false">IF(OR(G198="",H198=""),"",IFERROR(INDEX('TDS Rates'!$E$6:$E$40,MATCH(G198,'TDS Rates'!$B$6:$B$40,0)),""))</f>
        <v/>
      </c>
      <c r="L198" s="29" t="str">
        <f aca="false">IF(OR(G198="",H198=""),"",SUMIFS(H$6:H197,AA$6:AA197,AA198,G$6:G197,G198))</f>
        <v/>
      </c>
      <c r="M198" s="29" t="str">
        <f aca="false">IF(OR(G198="",H198=""),"",SUMIFS(H$6:H197,AA$6:AA197,AA198,G$6:G197,G198,N$6:N197,0))</f>
        <v/>
      </c>
      <c r="N198" s="29" t="str">
        <f aca="false">IF(OR(G198="",H198=""),"",IFERROR(IF(INDEX('TDS Rates'!$F$6:$F$40,MATCH(G198,'TDS Rates'!$B$6:$B$40,0))="NONE",H198,IF(INDEX('TDS Rates'!$F$6:$F$40,MATCH(G198,'TDS Rates'!$B$6:$B$40,0))="PER",IF(H198&gt;INDEX('TDS Rates'!$G$6:$G$40,MATCH(G198,'TDS Rates'!$B$6:$B$40,0)),H198,0),IF(INDEX('TDS Rates'!$F$6:$F$40,MATCH(G198,'TDS Rates'!$B$6:$B$40,0))="EXCESS",MAX(0,L198+H198-INDEX('TDS Rates'!$H$6:$H$40,MATCH(G198,'TDS Rates'!$B$6:$B$40,0)))-MAX(0,L198-INDEX('TDS Rates'!$H$6:$H$40,MATCH(G198,'TDS Rates'!$B$6:$B$40,0))),IF(INDEX('TDS Rates'!$F$6:$F$40,MATCH(G198,'TDS Rates'!$B$6:$B$40,0))="SA",IF(L198+H198&gt;INDEX('TDS Rates'!$H$6:$H$40,MATCH(G198,'TDS Rates'!$B$6:$B$40,0)),H198+M198,IF(H198&gt;INDEX('TDS Rates'!$G$6:$G$40,MATCH(G198,'TDS Rates'!$B$6:$B$40,0)),H198,0)),IF(L198+H198&gt;INDEX('TDS Rates'!$H$6:$H$40,MATCH(G198,'TDS Rates'!$B$6:$B$40,0)),H198+M198,0))))),0))</f>
        <v/>
      </c>
      <c r="O198" s="33" t="str">
        <f aca="false">IF(OR(G198="",H198=""),"",IFERROR(IF(F198="No",IF(INDEX('TDS Rates'!$C$6:$C$40,MATCH(G198,'TDS Rates'!$B$6:$B$40,0))="194Q",Settings!$C$14,MAX(Settings!$C$13,IF(E198="Individual / HUF",INDEX('TDS Rates'!$I$6:$I$40,MATCH(G198,'TDS Rates'!$B$6:$B$40,0)),IF(E198="Company",INDEX('TDS Rates'!$J$6:$J$40,MATCH(G198,'TDS Rates'!$B$6:$B$40,0)),INDEX('TDS Rates'!$K$6:$K$40,MATCH(G198,'TDS Rates'!$B$6:$B$40,0)))))),IF(E198="Individual / HUF",INDEX('TDS Rates'!$I$6:$I$40,MATCH(G198,'TDS Rates'!$B$6:$B$40,0)),IF(E198="Company",INDEX('TDS Rates'!$J$6:$J$40,MATCH(G198,'TDS Rates'!$B$6:$B$40,0)),INDEX('TDS Rates'!$K$6:$K$40,MATCH(G198,'TDS Rates'!$B$6:$B$40,0))))),0))</f>
        <v/>
      </c>
      <c r="P198" s="34" t="str">
        <f aca="false">IF(OR(G198="",H198=""),"",ROUND(N198*O198,0))</f>
        <v/>
      </c>
      <c r="Q198" s="27" t="str">
        <f aca="false">IF(OR(G198="",H198=""),"",IFERROR(IF(INDEX('TDS Rates'!$E$6:$E$40,MATCH(G198,'TDS Rates'!$B$6:$B$40,0))="Form 141",EOMONTH(IF(R198="",B198,R198),0)+30,IF(MONTH(IF(R198="",B198,R198))=3,DATE(YEAR(IF(R198="",B198,R198)),4,30),DATE(YEAR(IF(R198="",B198,R198)),MONTH(IF(R198="",B198,R198))+1,7))),""))</f>
        <v/>
      </c>
      <c r="R198" s="17"/>
      <c r="S198" s="17"/>
      <c r="T198" s="5"/>
      <c r="U198" s="28" t="str">
        <f aca="false">IF(OR(G198="",H198=""),"",IF(P198=0,0,IF(IF(R198="",Settings!$C$9,R198)&lt;=B198,0,((YEAR(IF(R198="",Settings!$C$9,R198))-YEAR(B198))*12+MONTH(IF(R198="",Settings!$C$9,R198))-MONTH(B198)+1))))</f>
        <v/>
      </c>
      <c r="V198" s="29" t="str">
        <f aca="false">IF(OR(G198="",H198=""),"",ROUND(P198*Settings!$C$10*U198,0))</f>
        <v/>
      </c>
      <c r="W198" s="28" t="str">
        <f aca="false">IF(OR(G198="",H198=""),"",IF(OR(P198=0,R198=""),0,IF(IF(S198="",Settings!$C$9,S198)&lt;=Q198,0,((YEAR(IF(S198="",Settings!$C$9,S198))-YEAR(R198))*12+MONTH(IF(S198="",Settings!$C$9,S198))-MONTH(R198)+1))))</f>
        <v/>
      </c>
      <c r="X198" s="29" t="str">
        <f aca="false">IF(OR(G198="",H198=""),"",ROUND(P198*Settings!$C$11*W198,0))</f>
        <v/>
      </c>
      <c r="Y198" s="29" t="str">
        <f aca="false">IF(OR(G198="",H198=""),"",V198+X198)</f>
        <v/>
      </c>
      <c r="Z198" s="7" t="str">
        <f aca="false">IF(OR(G198="",H198=""),"",IF(P198=0,"Below threshold",IF(R198="","Not yet deducted",IF(S198="",IF(Settings!$C$9&gt;Q198,"Overdue — pay now","Deducted, due "&amp;TEXT(Q198,"dd-mmm")),IF(S198&lt;=Q198,IF(N(U198)&gt;0,"Deducted late, paid on time","Paid on time"),"Paid late")))))</f>
        <v/>
      </c>
      <c r="AA198" s="35" t="str">
        <f aca="false">IF(OR(G198="",H198=""),"",IF(D198&lt;&gt;"",UPPER(TRIM(D198)),UPPER(TRIM(C198))))</f>
        <v/>
      </c>
    </row>
    <row r="199" customFormat="false" ht="15" hidden="false" customHeight="false" outlineLevel="0" collapsed="false">
      <c r="B199" s="17"/>
      <c r="C199" s="5"/>
      <c r="D199" s="5"/>
      <c r="E199" s="5"/>
      <c r="F199" s="5"/>
      <c r="G199" s="5"/>
      <c r="H199" s="16"/>
      <c r="I199" s="7" t="str">
        <f aca="false">IF(OR(G199="",H199=""),"",IFERROR(INDEX('TDS Rates'!$D$6:$D$40,MATCH(G199,'TDS Rates'!$B$6:$B$40,0)),"Check nature"))</f>
        <v/>
      </c>
      <c r="J199" s="7" t="str">
        <f aca="false">IF(OR(G199="",H199=""),"",IFERROR(INDEX('TDS Rates'!$C$6:$C$40,MATCH(G199,'TDS Rates'!$B$6:$B$40,0)),""))</f>
        <v/>
      </c>
      <c r="K199" s="7" t="str">
        <f aca="false">IF(OR(G199="",H199=""),"",IFERROR(INDEX('TDS Rates'!$E$6:$E$40,MATCH(G199,'TDS Rates'!$B$6:$B$40,0)),""))</f>
        <v/>
      </c>
      <c r="L199" s="29" t="str">
        <f aca="false">IF(OR(G199="",H199=""),"",SUMIFS(H$6:H198,AA$6:AA198,AA199,G$6:G198,G199))</f>
        <v/>
      </c>
      <c r="M199" s="29" t="str">
        <f aca="false">IF(OR(G199="",H199=""),"",SUMIFS(H$6:H198,AA$6:AA198,AA199,G$6:G198,G199,N$6:N198,0))</f>
        <v/>
      </c>
      <c r="N199" s="29" t="str">
        <f aca="false">IF(OR(G199="",H199=""),"",IFERROR(IF(INDEX('TDS Rates'!$F$6:$F$40,MATCH(G199,'TDS Rates'!$B$6:$B$40,0))="NONE",H199,IF(INDEX('TDS Rates'!$F$6:$F$40,MATCH(G199,'TDS Rates'!$B$6:$B$40,0))="PER",IF(H199&gt;INDEX('TDS Rates'!$G$6:$G$40,MATCH(G199,'TDS Rates'!$B$6:$B$40,0)),H199,0),IF(INDEX('TDS Rates'!$F$6:$F$40,MATCH(G199,'TDS Rates'!$B$6:$B$40,0))="EXCESS",MAX(0,L199+H199-INDEX('TDS Rates'!$H$6:$H$40,MATCH(G199,'TDS Rates'!$B$6:$B$40,0)))-MAX(0,L199-INDEX('TDS Rates'!$H$6:$H$40,MATCH(G199,'TDS Rates'!$B$6:$B$40,0))),IF(INDEX('TDS Rates'!$F$6:$F$40,MATCH(G199,'TDS Rates'!$B$6:$B$40,0))="SA",IF(L199+H199&gt;INDEX('TDS Rates'!$H$6:$H$40,MATCH(G199,'TDS Rates'!$B$6:$B$40,0)),H199+M199,IF(H199&gt;INDEX('TDS Rates'!$G$6:$G$40,MATCH(G199,'TDS Rates'!$B$6:$B$40,0)),H199,0)),IF(L199+H199&gt;INDEX('TDS Rates'!$H$6:$H$40,MATCH(G199,'TDS Rates'!$B$6:$B$40,0)),H199+M199,0))))),0))</f>
        <v/>
      </c>
      <c r="O199" s="33" t="str">
        <f aca="false">IF(OR(G199="",H199=""),"",IFERROR(IF(F199="No",IF(INDEX('TDS Rates'!$C$6:$C$40,MATCH(G199,'TDS Rates'!$B$6:$B$40,0))="194Q",Settings!$C$14,MAX(Settings!$C$13,IF(E199="Individual / HUF",INDEX('TDS Rates'!$I$6:$I$40,MATCH(G199,'TDS Rates'!$B$6:$B$40,0)),IF(E199="Company",INDEX('TDS Rates'!$J$6:$J$40,MATCH(G199,'TDS Rates'!$B$6:$B$40,0)),INDEX('TDS Rates'!$K$6:$K$40,MATCH(G199,'TDS Rates'!$B$6:$B$40,0)))))),IF(E199="Individual / HUF",INDEX('TDS Rates'!$I$6:$I$40,MATCH(G199,'TDS Rates'!$B$6:$B$40,0)),IF(E199="Company",INDEX('TDS Rates'!$J$6:$J$40,MATCH(G199,'TDS Rates'!$B$6:$B$40,0)),INDEX('TDS Rates'!$K$6:$K$40,MATCH(G199,'TDS Rates'!$B$6:$B$40,0))))),0))</f>
        <v/>
      </c>
      <c r="P199" s="34" t="str">
        <f aca="false">IF(OR(G199="",H199=""),"",ROUND(N199*O199,0))</f>
        <v/>
      </c>
      <c r="Q199" s="27" t="str">
        <f aca="false">IF(OR(G199="",H199=""),"",IFERROR(IF(INDEX('TDS Rates'!$E$6:$E$40,MATCH(G199,'TDS Rates'!$B$6:$B$40,0))="Form 141",EOMONTH(IF(R199="",B199,R199),0)+30,IF(MONTH(IF(R199="",B199,R199))=3,DATE(YEAR(IF(R199="",B199,R199)),4,30),DATE(YEAR(IF(R199="",B199,R199)),MONTH(IF(R199="",B199,R199))+1,7))),""))</f>
        <v/>
      </c>
      <c r="R199" s="17"/>
      <c r="S199" s="17"/>
      <c r="T199" s="5"/>
      <c r="U199" s="28" t="str">
        <f aca="false">IF(OR(G199="",H199=""),"",IF(P199=0,0,IF(IF(R199="",Settings!$C$9,R199)&lt;=B199,0,((YEAR(IF(R199="",Settings!$C$9,R199))-YEAR(B199))*12+MONTH(IF(R199="",Settings!$C$9,R199))-MONTH(B199)+1))))</f>
        <v/>
      </c>
      <c r="V199" s="29" t="str">
        <f aca="false">IF(OR(G199="",H199=""),"",ROUND(P199*Settings!$C$10*U199,0))</f>
        <v/>
      </c>
      <c r="W199" s="28" t="str">
        <f aca="false">IF(OR(G199="",H199=""),"",IF(OR(P199=0,R199=""),0,IF(IF(S199="",Settings!$C$9,S199)&lt;=Q199,0,((YEAR(IF(S199="",Settings!$C$9,S199))-YEAR(R199))*12+MONTH(IF(S199="",Settings!$C$9,S199))-MONTH(R199)+1))))</f>
        <v/>
      </c>
      <c r="X199" s="29" t="str">
        <f aca="false">IF(OR(G199="",H199=""),"",ROUND(P199*Settings!$C$11*W199,0))</f>
        <v/>
      </c>
      <c r="Y199" s="29" t="str">
        <f aca="false">IF(OR(G199="",H199=""),"",V199+X199)</f>
        <v/>
      </c>
      <c r="Z199" s="7" t="str">
        <f aca="false">IF(OR(G199="",H199=""),"",IF(P199=0,"Below threshold",IF(R199="","Not yet deducted",IF(S199="",IF(Settings!$C$9&gt;Q199,"Overdue — pay now","Deducted, due "&amp;TEXT(Q199,"dd-mmm")),IF(S199&lt;=Q199,IF(N(U199)&gt;0,"Deducted late, paid on time","Paid on time"),"Paid late")))))</f>
        <v/>
      </c>
      <c r="AA199" s="35" t="str">
        <f aca="false">IF(OR(G199="",H199=""),"",IF(D199&lt;&gt;"",UPPER(TRIM(D199)),UPPER(TRIM(C199))))</f>
        <v/>
      </c>
    </row>
    <row r="200" customFormat="false" ht="15" hidden="false" customHeight="false" outlineLevel="0" collapsed="false">
      <c r="B200" s="17"/>
      <c r="C200" s="5"/>
      <c r="D200" s="5"/>
      <c r="E200" s="5"/>
      <c r="F200" s="5"/>
      <c r="G200" s="5"/>
      <c r="H200" s="16"/>
      <c r="I200" s="7" t="str">
        <f aca="false">IF(OR(G200="",H200=""),"",IFERROR(INDEX('TDS Rates'!$D$6:$D$40,MATCH(G200,'TDS Rates'!$B$6:$B$40,0)),"Check nature"))</f>
        <v/>
      </c>
      <c r="J200" s="7" t="str">
        <f aca="false">IF(OR(G200="",H200=""),"",IFERROR(INDEX('TDS Rates'!$C$6:$C$40,MATCH(G200,'TDS Rates'!$B$6:$B$40,0)),""))</f>
        <v/>
      </c>
      <c r="K200" s="7" t="str">
        <f aca="false">IF(OR(G200="",H200=""),"",IFERROR(INDEX('TDS Rates'!$E$6:$E$40,MATCH(G200,'TDS Rates'!$B$6:$B$40,0)),""))</f>
        <v/>
      </c>
      <c r="L200" s="29" t="str">
        <f aca="false">IF(OR(G200="",H200=""),"",SUMIFS(H$6:H199,AA$6:AA199,AA200,G$6:G199,G200))</f>
        <v/>
      </c>
      <c r="M200" s="29" t="str">
        <f aca="false">IF(OR(G200="",H200=""),"",SUMIFS(H$6:H199,AA$6:AA199,AA200,G$6:G199,G200,N$6:N199,0))</f>
        <v/>
      </c>
      <c r="N200" s="29" t="str">
        <f aca="false">IF(OR(G200="",H200=""),"",IFERROR(IF(INDEX('TDS Rates'!$F$6:$F$40,MATCH(G200,'TDS Rates'!$B$6:$B$40,0))="NONE",H200,IF(INDEX('TDS Rates'!$F$6:$F$40,MATCH(G200,'TDS Rates'!$B$6:$B$40,0))="PER",IF(H200&gt;INDEX('TDS Rates'!$G$6:$G$40,MATCH(G200,'TDS Rates'!$B$6:$B$40,0)),H200,0),IF(INDEX('TDS Rates'!$F$6:$F$40,MATCH(G200,'TDS Rates'!$B$6:$B$40,0))="EXCESS",MAX(0,L200+H200-INDEX('TDS Rates'!$H$6:$H$40,MATCH(G200,'TDS Rates'!$B$6:$B$40,0)))-MAX(0,L200-INDEX('TDS Rates'!$H$6:$H$40,MATCH(G200,'TDS Rates'!$B$6:$B$40,0))),IF(INDEX('TDS Rates'!$F$6:$F$40,MATCH(G200,'TDS Rates'!$B$6:$B$40,0))="SA",IF(L200+H200&gt;INDEX('TDS Rates'!$H$6:$H$40,MATCH(G200,'TDS Rates'!$B$6:$B$40,0)),H200+M200,IF(H200&gt;INDEX('TDS Rates'!$G$6:$G$40,MATCH(G200,'TDS Rates'!$B$6:$B$40,0)),H200,0)),IF(L200+H200&gt;INDEX('TDS Rates'!$H$6:$H$40,MATCH(G200,'TDS Rates'!$B$6:$B$40,0)),H200+M200,0))))),0))</f>
        <v/>
      </c>
      <c r="O200" s="33" t="str">
        <f aca="false">IF(OR(G200="",H200=""),"",IFERROR(IF(F200="No",IF(INDEX('TDS Rates'!$C$6:$C$40,MATCH(G200,'TDS Rates'!$B$6:$B$40,0))="194Q",Settings!$C$14,MAX(Settings!$C$13,IF(E200="Individual / HUF",INDEX('TDS Rates'!$I$6:$I$40,MATCH(G200,'TDS Rates'!$B$6:$B$40,0)),IF(E200="Company",INDEX('TDS Rates'!$J$6:$J$40,MATCH(G200,'TDS Rates'!$B$6:$B$40,0)),INDEX('TDS Rates'!$K$6:$K$40,MATCH(G200,'TDS Rates'!$B$6:$B$40,0)))))),IF(E200="Individual / HUF",INDEX('TDS Rates'!$I$6:$I$40,MATCH(G200,'TDS Rates'!$B$6:$B$40,0)),IF(E200="Company",INDEX('TDS Rates'!$J$6:$J$40,MATCH(G200,'TDS Rates'!$B$6:$B$40,0)),INDEX('TDS Rates'!$K$6:$K$40,MATCH(G200,'TDS Rates'!$B$6:$B$40,0))))),0))</f>
        <v/>
      </c>
      <c r="P200" s="34" t="str">
        <f aca="false">IF(OR(G200="",H200=""),"",ROUND(N200*O200,0))</f>
        <v/>
      </c>
      <c r="Q200" s="27" t="str">
        <f aca="false">IF(OR(G200="",H200=""),"",IFERROR(IF(INDEX('TDS Rates'!$E$6:$E$40,MATCH(G200,'TDS Rates'!$B$6:$B$40,0))="Form 141",EOMONTH(IF(R200="",B200,R200),0)+30,IF(MONTH(IF(R200="",B200,R200))=3,DATE(YEAR(IF(R200="",B200,R200)),4,30),DATE(YEAR(IF(R200="",B200,R200)),MONTH(IF(R200="",B200,R200))+1,7))),""))</f>
        <v/>
      </c>
      <c r="R200" s="17"/>
      <c r="S200" s="17"/>
      <c r="T200" s="5"/>
      <c r="U200" s="28" t="str">
        <f aca="false">IF(OR(G200="",H200=""),"",IF(P200=0,0,IF(IF(R200="",Settings!$C$9,R200)&lt;=B200,0,((YEAR(IF(R200="",Settings!$C$9,R200))-YEAR(B200))*12+MONTH(IF(R200="",Settings!$C$9,R200))-MONTH(B200)+1))))</f>
        <v/>
      </c>
      <c r="V200" s="29" t="str">
        <f aca="false">IF(OR(G200="",H200=""),"",ROUND(P200*Settings!$C$10*U200,0))</f>
        <v/>
      </c>
      <c r="W200" s="28" t="str">
        <f aca="false">IF(OR(G200="",H200=""),"",IF(OR(P200=0,R200=""),0,IF(IF(S200="",Settings!$C$9,S200)&lt;=Q200,0,((YEAR(IF(S200="",Settings!$C$9,S200))-YEAR(R200))*12+MONTH(IF(S200="",Settings!$C$9,S200))-MONTH(R200)+1))))</f>
        <v/>
      </c>
      <c r="X200" s="29" t="str">
        <f aca="false">IF(OR(G200="",H200=""),"",ROUND(P200*Settings!$C$11*W200,0))</f>
        <v/>
      </c>
      <c r="Y200" s="29" t="str">
        <f aca="false">IF(OR(G200="",H200=""),"",V200+X200)</f>
        <v/>
      </c>
      <c r="Z200" s="7" t="str">
        <f aca="false">IF(OR(G200="",H200=""),"",IF(P200=0,"Below threshold",IF(R200="","Not yet deducted",IF(S200="",IF(Settings!$C$9&gt;Q200,"Overdue — pay now","Deducted, due "&amp;TEXT(Q200,"dd-mmm")),IF(S200&lt;=Q200,IF(N(U200)&gt;0,"Deducted late, paid on time","Paid on time"),"Paid late")))))</f>
        <v/>
      </c>
      <c r="AA200" s="35" t="str">
        <f aca="false">IF(OR(G200="",H200=""),"",IF(D200&lt;&gt;"",UPPER(TRIM(D200)),UPPER(TRIM(C200))))</f>
        <v/>
      </c>
    </row>
    <row r="201" customFormat="false" ht="15" hidden="false" customHeight="false" outlineLevel="0" collapsed="false">
      <c r="B201" s="17"/>
      <c r="C201" s="5"/>
      <c r="D201" s="5"/>
      <c r="E201" s="5"/>
      <c r="F201" s="5"/>
      <c r="G201" s="5"/>
      <c r="H201" s="16"/>
      <c r="I201" s="7" t="str">
        <f aca="false">IF(OR(G201="",H201=""),"",IFERROR(INDEX('TDS Rates'!$D$6:$D$40,MATCH(G201,'TDS Rates'!$B$6:$B$40,0)),"Check nature"))</f>
        <v/>
      </c>
      <c r="J201" s="7" t="str">
        <f aca="false">IF(OR(G201="",H201=""),"",IFERROR(INDEX('TDS Rates'!$C$6:$C$40,MATCH(G201,'TDS Rates'!$B$6:$B$40,0)),""))</f>
        <v/>
      </c>
      <c r="K201" s="7" t="str">
        <f aca="false">IF(OR(G201="",H201=""),"",IFERROR(INDEX('TDS Rates'!$E$6:$E$40,MATCH(G201,'TDS Rates'!$B$6:$B$40,0)),""))</f>
        <v/>
      </c>
      <c r="L201" s="29" t="str">
        <f aca="false">IF(OR(G201="",H201=""),"",SUMIFS(H$6:H200,AA$6:AA200,AA201,G$6:G200,G201))</f>
        <v/>
      </c>
      <c r="M201" s="29" t="str">
        <f aca="false">IF(OR(G201="",H201=""),"",SUMIFS(H$6:H200,AA$6:AA200,AA201,G$6:G200,G201,N$6:N200,0))</f>
        <v/>
      </c>
      <c r="N201" s="29" t="str">
        <f aca="false">IF(OR(G201="",H201=""),"",IFERROR(IF(INDEX('TDS Rates'!$F$6:$F$40,MATCH(G201,'TDS Rates'!$B$6:$B$40,0))="NONE",H201,IF(INDEX('TDS Rates'!$F$6:$F$40,MATCH(G201,'TDS Rates'!$B$6:$B$40,0))="PER",IF(H201&gt;INDEX('TDS Rates'!$G$6:$G$40,MATCH(G201,'TDS Rates'!$B$6:$B$40,0)),H201,0),IF(INDEX('TDS Rates'!$F$6:$F$40,MATCH(G201,'TDS Rates'!$B$6:$B$40,0))="EXCESS",MAX(0,L201+H201-INDEX('TDS Rates'!$H$6:$H$40,MATCH(G201,'TDS Rates'!$B$6:$B$40,0)))-MAX(0,L201-INDEX('TDS Rates'!$H$6:$H$40,MATCH(G201,'TDS Rates'!$B$6:$B$40,0))),IF(INDEX('TDS Rates'!$F$6:$F$40,MATCH(G201,'TDS Rates'!$B$6:$B$40,0))="SA",IF(L201+H201&gt;INDEX('TDS Rates'!$H$6:$H$40,MATCH(G201,'TDS Rates'!$B$6:$B$40,0)),H201+M201,IF(H201&gt;INDEX('TDS Rates'!$G$6:$G$40,MATCH(G201,'TDS Rates'!$B$6:$B$40,0)),H201,0)),IF(L201+H201&gt;INDEX('TDS Rates'!$H$6:$H$40,MATCH(G201,'TDS Rates'!$B$6:$B$40,0)),H201+M201,0))))),0))</f>
        <v/>
      </c>
      <c r="O201" s="33" t="str">
        <f aca="false">IF(OR(G201="",H201=""),"",IFERROR(IF(F201="No",IF(INDEX('TDS Rates'!$C$6:$C$40,MATCH(G201,'TDS Rates'!$B$6:$B$40,0))="194Q",Settings!$C$14,MAX(Settings!$C$13,IF(E201="Individual / HUF",INDEX('TDS Rates'!$I$6:$I$40,MATCH(G201,'TDS Rates'!$B$6:$B$40,0)),IF(E201="Company",INDEX('TDS Rates'!$J$6:$J$40,MATCH(G201,'TDS Rates'!$B$6:$B$40,0)),INDEX('TDS Rates'!$K$6:$K$40,MATCH(G201,'TDS Rates'!$B$6:$B$40,0)))))),IF(E201="Individual / HUF",INDEX('TDS Rates'!$I$6:$I$40,MATCH(G201,'TDS Rates'!$B$6:$B$40,0)),IF(E201="Company",INDEX('TDS Rates'!$J$6:$J$40,MATCH(G201,'TDS Rates'!$B$6:$B$40,0)),INDEX('TDS Rates'!$K$6:$K$40,MATCH(G201,'TDS Rates'!$B$6:$B$40,0))))),0))</f>
        <v/>
      </c>
      <c r="P201" s="34" t="str">
        <f aca="false">IF(OR(G201="",H201=""),"",ROUND(N201*O201,0))</f>
        <v/>
      </c>
      <c r="Q201" s="27" t="str">
        <f aca="false">IF(OR(G201="",H201=""),"",IFERROR(IF(INDEX('TDS Rates'!$E$6:$E$40,MATCH(G201,'TDS Rates'!$B$6:$B$40,0))="Form 141",EOMONTH(IF(R201="",B201,R201),0)+30,IF(MONTH(IF(R201="",B201,R201))=3,DATE(YEAR(IF(R201="",B201,R201)),4,30),DATE(YEAR(IF(R201="",B201,R201)),MONTH(IF(R201="",B201,R201))+1,7))),""))</f>
        <v/>
      </c>
      <c r="R201" s="17"/>
      <c r="S201" s="17"/>
      <c r="T201" s="5"/>
      <c r="U201" s="28" t="str">
        <f aca="false">IF(OR(G201="",H201=""),"",IF(P201=0,0,IF(IF(R201="",Settings!$C$9,R201)&lt;=B201,0,((YEAR(IF(R201="",Settings!$C$9,R201))-YEAR(B201))*12+MONTH(IF(R201="",Settings!$C$9,R201))-MONTH(B201)+1))))</f>
        <v/>
      </c>
      <c r="V201" s="29" t="str">
        <f aca="false">IF(OR(G201="",H201=""),"",ROUND(P201*Settings!$C$10*U201,0))</f>
        <v/>
      </c>
      <c r="W201" s="28" t="str">
        <f aca="false">IF(OR(G201="",H201=""),"",IF(OR(P201=0,R201=""),0,IF(IF(S201="",Settings!$C$9,S201)&lt;=Q201,0,((YEAR(IF(S201="",Settings!$C$9,S201))-YEAR(R201))*12+MONTH(IF(S201="",Settings!$C$9,S201))-MONTH(R201)+1))))</f>
        <v/>
      </c>
      <c r="X201" s="29" t="str">
        <f aca="false">IF(OR(G201="",H201=""),"",ROUND(P201*Settings!$C$11*W201,0))</f>
        <v/>
      </c>
      <c r="Y201" s="29" t="str">
        <f aca="false">IF(OR(G201="",H201=""),"",V201+X201)</f>
        <v/>
      </c>
      <c r="Z201" s="7" t="str">
        <f aca="false">IF(OR(G201="",H201=""),"",IF(P201=0,"Below threshold",IF(R201="","Not yet deducted",IF(S201="",IF(Settings!$C$9&gt;Q201,"Overdue — pay now","Deducted, due "&amp;TEXT(Q201,"dd-mmm")),IF(S201&lt;=Q201,IF(N(U201)&gt;0,"Deducted late, paid on time","Paid on time"),"Paid late")))))</f>
        <v/>
      </c>
      <c r="AA201" s="35" t="str">
        <f aca="false">IF(OR(G201="",H201=""),"",IF(D201&lt;&gt;"",UPPER(TRIM(D201)),UPPER(TRIM(C201))))</f>
        <v/>
      </c>
    </row>
    <row r="202" customFormat="false" ht="15" hidden="false" customHeight="false" outlineLevel="0" collapsed="false">
      <c r="B202" s="17"/>
      <c r="C202" s="5"/>
      <c r="D202" s="5"/>
      <c r="E202" s="5"/>
      <c r="F202" s="5"/>
      <c r="G202" s="5"/>
      <c r="H202" s="16"/>
      <c r="I202" s="7" t="str">
        <f aca="false">IF(OR(G202="",H202=""),"",IFERROR(INDEX('TDS Rates'!$D$6:$D$40,MATCH(G202,'TDS Rates'!$B$6:$B$40,0)),"Check nature"))</f>
        <v/>
      </c>
      <c r="J202" s="7" t="str">
        <f aca="false">IF(OR(G202="",H202=""),"",IFERROR(INDEX('TDS Rates'!$C$6:$C$40,MATCH(G202,'TDS Rates'!$B$6:$B$40,0)),""))</f>
        <v/>
      </c>
      <c r="K202" s="7" t="str">
        <f aca="false">IF(OR(G202="",H202=""),"",IFERROR(INDEX('TDS Rates'!$E$6:$E$40,MATCH(G202,'TDS Rates'!$B$6:$B$40,0)),""))</f>
        <v/>
      </c>
      <c r="L202" s="29" t="str">
        <f aca="false">IF(OR(G202="",H202=""),"",SUMIFS(H$6:H201,AA$6:AA201,AA202,G$6:G201,G202))</f>
        <v/>
      </c>
      <c r="M202" s="29" t="str">
        <f aca="false">IF(OR(G202="",H202=""),"",SUMIFS(H$6:H201,AA$6:AA201,AA202,G$6:G201,G202,N$6:N201,0))</f>
        <v/>
      </c>
      <c r="N202" s="29" t="str">
        <f aca="false">IF(OR(G202="",H202=""),"",IFERROR(IF(INDEX('TDS Rates'!$F$6:$F$40,MATCH(G202,'TDS Rates'!$B$6:$B$40,0))="NONE",H202,IF(INDEX('TDS Rates'!$F$6:$F$40,MATCH(G202,'TDS Rates'!$B$6:$B$40,0))="PER",IF(H202&gt;INDEX('TDS Rates'!$G$6:$G$40,MATCH(G202,'TDS Rates'!$B$6:$B$40,0)),H202,0),IF(INDEX('TDS Rates'!$F$6:$F$40,MATCH(G202,'TDS Rates'!$B$6:$B$40,0))="EXCESS",MAX(0,L202+H202-INDEX('TDS Rates'!$H$6:$H$40,MATCH(G202,'TDS Rates'!$B$6:$B$40,0)))-MAX(0,L202-INDEX('TDS Rates'!$H$6:$H$40,MATCH(G202,'TDS Rates'!$B$6:$B$40,0))),IF(INDEX('TDS Rates'!$F$6:$F$40,MATCH(G202,'TDS Rates'!$B$6:$B$40,0))="SA",IF(L202+H202&gt;INDEX('TDS Rates'!$H$6:$H$40,MATCH(G202,'TDS Rates'!$B$6:$B$40,0)),H202+M202,IF(H202&gt;INDEX('TDS Rates'!$G$6:$G$40,MATCH(G202,'TDS Rates'!$B$6:$B$40,0)),H202,0)),IF(L202+H202&gt;INDEX('TDS Rates'!$H$6:$H$40,MATCH(G202,'TDS Rates'!$B$6:$B$40,0)),H202+M202,0))))),0))</f>
        <v/>
      </c>
      <c r="O202" s="33" t="str">
        <f aca="false">IF(OR(G202="",H202=""),"",IFERROR(IF(F202="No",IF(INDEX('TDS Rates'!$C$6:$C$40,MATCH(G202,'TDS Rates'!$B$6:$B$40,0))="194Q",Settings!$C$14,MAX(Settings!$C$13,IF(E202="Individual / HUF",INDEX('TDS Rates'!$I$6:$I$40,MATCH(G202,'TDS Rates'!$B$6:$B$40,0)),IF(E202="Company",INDEX('TDS Rates'!$J$6:$J$40,MATCH(G202,'TDS Rates'!$B$6:$B$40,0)),INDEX('TDS Rates'!$K$6:$K$40,MATCH(G202,'TDS Rates'!$B$6:$B$40,0)))))),IF(E202="Individual / HUF",INDEX('TDS Rates'!$I$6:$I$40,MATCH(G202,'TDS Rates'!$B$6:$B$40,0)),IF(E202="Company",INDEX('TDS Rates'!$J$6:$J$40,MATCH(G202,'TDS Rates'!$B$6:$B$40,0)),INDEX('TDS Rates'!$K$6:$K$40,MATCH(G202,'TDS Rates'!$B$6:$B$40,0))))),0))</f>
        <v/>
      </c>
      <c r="P202" s="34" t="str">
        <f aca="false">IF(OR(G202="",H202=""),"",ROUND(N202*O202,0))</f>
        <v/>
      </c>
      <c r="Q202" s="27" t="str">
        <f aca="false">IF(OR(G202="",H202=""),"",IFERROR(IF(INDEX('TDS Rates'!$E$6:$E$40,MATCH(G202,'TDS Rates'!$B$6:$B$40,0))="Form 141",EOMONTH(IF(R202="",B202,R202),0)+30,IF(MONTH(IF(R202="",B202,R202))=3,DATE(YEAR(IF(R202="",B202,R202)),4,30),DATE(YEAR(IF(R202="",B202,R202)),MONTH(IF(R202="",B202,R202))+1,7))),""))</f>
        <v/>
      </c>
      <c r="R202" s="17"/>
      <c r="S202" s="17"/>
      <c r="T202" s="5"/>
      <c r="U202" s="28" t="str">
        <f aca="false">IF(OR(G202="",H202=""),"",IF(P202=0,0,IF(IF(R202="",Settings!$C$9,R202)&lt;=B202,0,((YEAR(IF(R202="",Settings!$C$9,R202))-YEAR(B202))*12+MONTH(IF(R202="",Settings!$C$9,R202))-MONTH(B202)+1))))</f>
        <v/>
      </c>
      <c r="V202" s="29" t="str">
        <f aca="false">IF(OR(G202="",H202=""),"",ROUND(P202*Settings!$C$10*U202,0))</f>
        <v/>
      </c>
      <c r="W202" s="28" t="str">
        <f aca="false">IF(OR(G202="",H202=""),"",IF(OR(P202=0,R202=""),0,IF(IF(S202="",Settings!$C$9,S202)&lt;=Q202,0,((YEAR(IF(S202="",Settings!$C$9,S202))-YEAR(R202))*12+MONTH(IF(S202="",Settings!$C$9,S202))-MONTH(R202)+1))))</f>
        <v/>
      </c>
      <c r="X202" s="29" t="str">
        <f aca="false">IF(OR(G202="",H202=""),"",ROUND(P202*Settings!$C$11*W202,0))</f>
        <v/>
      </c>
      <c r="Y202" s="29" t="str">
        <f aca="false">IF(OR(G202="",H202=""),"",V202+X202)</f>
        <v/>
      </c>
      <c r="Z202" s="7" t="str">
        <f aca="false">IF(OR(G202="",H202=""),"",IF(P202=0,"Below threshold",IF(R202="","Not yet deducted",IF(S202="",IF(Settings!$C$9&gt;Q202,"Overdue — pay now","Deducted, due "&amp;TEXT(Q202,"dd-mmm")),IF(S202&lt;=Q202,IF(N(U202)&gt;0,"Deducted late, paid on time","Paid on time"),"Paid late")))))</f>
        <v/>
      </c>
      <c r="AA202" s="35" t="str">
        <f aca="false">IF(OR(G202="",H202=""),"",IF(D202&lt;&gt;"",UPPER(TRIM(D202)),UPPER(TRIM(C202))))</f>
        <v/>
      </c>
    </row>
    <row r="203" customFormat="false" ht="15" hidden="false" customHeight="false" outlineLevel="0" collapsed="false">
      <c r="B203" s="17"/>
      <c r="C203" s="5"/>
      <c r="D203" s="5"/>
      <c r="E203" s="5"/>
      <c r="F203" s="5"/>
      <c r="G203" s="5"/>
      <c r="H203" s="16"/>
      <c r="I203" s="7" t="str">
        <f aca="false">IF(OR(G203="",H203=""),"",IFERROR(INDEX('TDS Rates'!$D$6:$D$40,MATCH(G203,'TDS Rates'!$B$6:$B$40,0)),"Check nature"))</f>
        <v/>
      </c>
      <c r="J203" s="7" t="str">
        <f aca="false">IF(OR(G203="",H203=""),"",IFERROR(INDEX('TDS Rates'!$C$6:$C$40,MATCH(G203,'TDS Rates'!$B$6:$B$40,0)),""))</f>
        <v/>
      </c>
      <c r="K203" s="7" t="str">
        <f aca="false">IF(OR(G203="",H203=""),"",IFERROR(INDEX('TDS Rates'!$E$6:$E$40,MATCH(G203,'TDS Rates'!$B$6:$B$40,0)),""))</f>
        <v/>
      </c>
      <c r="L203" s="29" t="str">
        <f aca="false">IF(OR(G203="",H203=""),"",SUMIFS(H$6:H202,AA$6:AA202,AA203,G$6:G202,G203))</f>
        <v/>
      </c>
      <c r="M203" s="29" t="str">
        <f aca="false">IF(OR(G203="",H203=""),"",SUMIFS(H$6:H202,AA$6:AA202,AA203,G$6:G202,G203,N$6:N202,0))</f>
        <v/>
      </c>
      <c r="N203" s="29" t="str">
        <f aca="false">IF(OR(G203="",H203=""),"",IFERROR(IF(INDEX('TDS Rates'!$F$6:$F$40,MATCH(G203,'TDS Rates'!$B$6:$B$40,0))="NONE",H203,IF(INDEX('TDS Rates'!$F$6:$F$40,MATCH(G203,'TDS Rates'!$B$6:$B$40,0))="PER",IF(H203&gt;INDEX('TDS Rates'!$G$6:$G$40,MATCH(G203,'TDS Rates'!$B$6:$B$40,0)),H203,0),IF(INDEX('TDS Rates'!$F$6:$F$40,MATCH(G203,'TDS Rates'!$B$6:$B$40,0))="EXCESS",MAX(0,L203+H203-INDEX('TDS Rates'!$H$6:$H$40,MATCH(G203,'TDS Rates'!$B$6:$B$40,0)))-MAX(0,L203-INDEX('TDS Rates'!$H$6:$H$40,MATCH(G203,'TDS Rates'!$B$6:$B$40,0))),IF(INDEX('TDS Rates'!$F$6:$F$40,MATCH(G203,'TDS Rates'!$B$6:$B$40,0))="SA",IF(L203+H203&gt;INDEX('TDS Rates'!$H$6:$H$40,MATCH(G203,'TDS Rates'!$B$6:$B$40,0)),H203+M203,IF(H203&gt;INDEX('TDS Rates'!$G$6:$G$40,MATCH(G203,'TDS Rates'!$B$6:$B$40,0)),H203,0)),IF(L203+H203&gt;INDEX('TDS Rates'!$H$6:$H$40,MATCH(G203,'TDS Rates'!$B$6:$B$40,0)),H203+M203,0))))),0))</f>
        <v/>
      </c>
      <c r="O203" s="33" t="str">
        <f aca="false">IF(OR(G203="",H203=""),"",IFERROR(IF(F203="No",IF(INDEX('TDS Rates'!$C$6:$C$40,MATCH(G203,'TDS Rates'!$B$6:$B$40,0))="194Q",Settings!$C$14,MAX(Settings!$C$13,IF(E203="Individual / HUF",INDEX('TDS Rates'!$I$6:$I$40,MATCH(G203,'TDS Rates'!$B$6:$B$40,0)),IF(E203="Company",INDEX('TDS Rates'!$J$6:$J$40,MATCH(G203,'TDS Rates'!$B$6:$B$40,0)),INDEX('TDS Rates'!$K$6:$K$40,MATCH(G203,'TDS Rates'!$B$6:$B$40,0)))))),IF(E203="Individual / HUF",INDEX('TDS Rates'!$I$6:$I$40,MATCH(G203,'TDS Rates'!$B$6:$B$40,0)),IF(E203="Company",INDEX('TDS Rates'!$J$6:$J$40,MATCH(G203,'TDS Rates'!$B$6:$B$40,0)),INDEX('TDS Rates'!$K$6:$K$40,MATCH(G203,'TDS Rates'!$B$6:$B$40,0))))),0))</f>
        <v/>
      </c>
      <c r="P203" s="34" t="str">
        <f aca="false">IF(OR(G203="",H203=""),"",ROUND(N203*O203,0))</f>
        <v/>
      </c>
      <c r="Q203" s="27" t="str">
        <f aca="false">IF(OR(G203="",H203=""),"",IFERROR(IF(INDEX('TDS Rates'!$E$6:$E$40,MATCH(G203,'TDS Rates'!$B$6:$B$40,0))="Form 141",EOMONTH(IF(R203="",B203,R203),0)+30,IF(MONTH(IF(R203="",B203,R203))=3,DATE(YEAR(IF(R203="",B203,R203)),4,30),DATE(YEAR(IF(R203="",B203,R203)),MONTH(IF(R203="",B203,R203))+1,7))),""))</f>
        <v/>
      </c>
      <c r="R203" s="17"/>
      <c r="S203" s="17"/>
      <c r="T203" s="5"/>
      <c r="U203" s="28" t="str">
        <f aca="false">IF(OR(G203="",H203=""),"",IF(P203=0,0,IF(IF(R203="",Settings!$C$9,R203)&lt;=B203,0,((YEAR(IF(R203="",Settings!$C$9,R203))-YEAR(B203))*12+MONTH(IF(R203="",Settings!$C$9,R203))-MONTH(B203)+1))))</f>
        <v/>
      </c>
      <c r="V203" s="29" t="str">
        <f aca="false">IF(OR(G203="",H203=""),"",ROUND(P203*Settings!$C$10*U203,0))</f>
        <v/>
      </c>
      <c r="W203" s="28" t="str">
        <f aca="false">IF(OR(G203="",H203=""),"",IF(OR(P203=0,R203=""),0,IF(IF(S203="",Settings!$C$9,S203)&lt;=Q203,0,((YEAR(IF(S203="",Settings!$C$9,S203))-YEAR(R203))*12+MONTH(IF(S203="",Settings!$C$9,S203))-MONTH(R203)+1))))</f>
        <v/>
      </c>
      <c r="X203" s="29" t="str">
        <f aca="false">IF(OR(G203="",H203=""),"",ROUND(P203*Settings!$C$11*W203,0))</f>
        <v/>
      </c>
      <c r="Y203" s="29" t="str">
        <f aca="false">IF(OR(G203="",H203=""),"",V203+X203)</f>
        <v/>
      </c>
      <c r="Z203" s="7" t="str">
        <f aca="false">IF(OR(G203="",H203=""),"",IF(P203=0,"Below threshold",IF(R203="","Not yet deducted",IF(S203="",IF(Settings!$C$9&gt;Q203,"Overdue — pay now","Deducted, due "&amp;TEXT(Q203,"dd-mmm")),IF(S203&lt;=Q203,IF(N(U203)&gt;0,"Deducted late, paid on time","Paid on time"),"Paid late")))))</f>
        <v/>
      </c>
      <c r="AA203" s="35" t="str">
        <f aca="false">IF(OR(G203="",H203=""),"",IF(D203&lt;&gt;"",UPPER(TRIM(D203)),UPPER(TRIM(C203))))</f>
        <v/>
      </c>
    </row>
    <row r="204" customFormat="false" ht="15" hidden="false" customHeight="false" outlineLevel="0" collapsed="false">
      <c r="B204" s="17"/>
      <c r="C204" s="5"/>
      <c r="D204" s="5"/>
      <c r="E204" s="5"/>
      <c r="F204" s="5"/>
      <c r="G204" s="5"/>
      <c r="H204" s="16"/>
      <c r="I204" s="7" t="str">
        <f aca="false">IF(OR(G204="",H204=""),"",IFERROR(INDEX('TDS Rates'!$D$6:$D$40,MATCH(G204,'TDS Rates'!$B$6:$B$40,0)),"Check nature"))</f>
        <v/>
      </c>
      <c r="J204" s="7" t="str">
        <f aca="false">IF(OR(G204="",H204=""),"",IFERROR(INDEX('TDS Rates'!$C$6:$C$40,MATCH(G204,'TDS Rates'!$B$6:$B$40,0)),""))</f>
        <v/>
      </c>
      <c r="K204" s="7" t="str">
        <f aca="false">IF(OR(G204="",H204=""),"",IFERROR(INDEX('TDS Rates'!$E$6:$E$40,MATCH(G204,'TDS Rates'!$B$6:$B$40,0)),""))</f>
        <v/>
      </c>
      <c r="L204" s="29" t="str">
        <f aca="false">IF(OR(G204="",H204=""),"",SUMIFS(H$6:H203,AA$6:AA203,AA204,G$6:G203,G204))</f>
        <v/>
      </c>
      <c r="M204" s="29" t="str">
        <f aca="false">IF(OR(G204="",H204=""),"",SUMIFS(H$6:H203,AA$6:AA203,AA204,G$6:G203,G204,N$6:N203,0))</f>
        <v/>
      </c>
      <c r="N204" s="29" t="str">
        <f aca="false">IF(OR(G204="",H204=""),"",IFERROR(IF(INDEX('TDS Rates'!$F$6:$F$40,MATCH(G204,'TDS Rates'!$B$6:$B$40,0))="NONE",H204,IF(INDEX('TDS Rates'!$F$6:$F$40,MATCH(G204,'TDS Rates'!$B$6:$B$40,0))="PER",IF(H204&gt;INDEX('TDS Rates'!$G$6:$G$40,MATCH(G204,'TDS Rates'!$B$6:$B$40,0)),H204,0),IF(INDEX('TDS Rates'!$F$6:$F$40,MATCH(G204,'TDS Rates'!$B$6:$B$40,0))="EXCESS",MAX(0,L204+H204-INDEX('TDS Rates'!$H$6:$H$40,MATCH(G204,'TDS Rates'!$B$6:$B$40,0)))-MAX(0,L204-INDEX('TDS Rates'!$H$6:$H$40,MATCH(G204,'TDS Rates'!$B$6:$B$40,0))),IF(INDEX('TDS Rates'!$F$6:$F$40,MATCH(G204,'TDS Rates'!$B$6:$B$40,0))="SA",IF(L204+H204&gt;INDEX('TDS Rates'!$H$6:$H$40,MATCH(G204,'TDS Rates'!$B$6:$B$40,0)),H204+M204,IF(H204&gt;INDEX('TDS Rates'!$G$6:$G$40,MATCH(G204,'TDS Rates'!$B$6:$B$40,0)),H204,0)),IF(L204+H204&gt;INDEX('TDS Rates'!$H$6:$H$40,MATCH(G204,'TDS Rates'!$B$6:$B$40,0)),H204+M204,0))))),0))</f>
        <v/>
      </c>
      <c r="O204" s="33" t="str">
        <f aca="false">IF(OR(G204="",H204=""),"",IFERROR(IF(F204="No",IF(INDEX('TDS Rates'!$C$6:$C$40,MATCH(G204,'TDS Rates'!$B$6:$B$40,0))="194Q",Settings!$C$14,MAX(Settings!$C$13,IF(E204="Individual / HUF",INDEX('TDS Rates'!$I$6:$I$40,MATCH(G204,'TDS Rates'!$B$6:$B$40,0)),IF(E204="Company",INDEX('TDS Rates'!$J$6:$J$40,MATCH(G204,'TDS Rates'!$B$6:$B$40,0)),INDEX('TDS Rates'!$K$6:$K$40,MATCH(G204,'TDS Rates'!$B$6:$B$40,0)))))),IF(E204="Individual / HUF",INDEX('TDS Rates'!$I$6:$I$40,MATCH(G204,'TDS Rates'!$B$6:$B$40,0)),IF(E204="Company",INDEX('TDS Rates'!$J$6:$J$40,MATCH(G204,'TDS Rates'!$B$6:$B$40,0)),INDEX('TDS Rates'!$K$6:$K$40,MATCH(G204,'TDS Rates'!$B$6:$B$40,0))))),0))</f>
        <v/>
      </c>
      <c r="P204" s="34" t="str">
        <f aca="false">IF(OR(G204="",H204=""),"",ROUND(N204*O204,0))</f>
        <v/>
      </c>
      <c r="Q204" s="27" t="str">
        <f aca="false">IF(OR(G204="",H204=""),"",IFERROR(IF(INDEX('TDS Rates'!$E$6:$E$40,MATCH(G204,'TDS Rates'!$B$6:$B$40,0))="Form 141",EOMONTH(IF(R204="",B204,R204),0)+30,IF(MONTH(IF(R204="",B204,R204))=3,DATE(YEAR(IF(R204="",B204,R204)),4,30),DATE(YEAR(IF(R204="",B204,R204)),MONTH(IF(R204="",B204,R204))+1,7))),""))</f>
        <v/>
      </c>
      <c r="R204" s="17"/>
      <c r="S204" s="17"/>
      <c r="T204" s="5"/>
      <c r="U204" s="28" t="str">
        <f aca="false">IF(OR(G204="",H204=""),"",IF(P204=0,0,IF(IF(R204="",Settings!$C$9,R204)&lt;=B204,0,((YEAR(IF(R204="",Settings!$C$9,R204))-YEAR(B204))*12+MONTH(IF(R204="",Settings!$C$9,R204))-MONTH(B204)+1))))</f>
        <v/>
      </c>
      <c r="V204" s="29" t="str">
        <f aca="false">IF(OR(G204="",H204=""),"",ROUND(P204*Settings!$C$10*U204,0))</f>
        <v/>
      </c>
      <c r="W204" s="28" t="str">
        <f aca="false">IF(OR(G204="",H204=""),"",IF(OR(P204=0,R204=""),0,IF(IF(S204="",Settings!$C$9,S204)&lt;=Q204,0,((YEAR(IF(S204="",Settings!$C$9,S204))-YEAR(R204))*12+MONTH(IF(S204="",Settings!$C$9,S204))-MONTH(R204)+1))))</f>
        <v/>
      </c>
      <c r="X204" s="29" t="str">
        <f aca="false">IF(OR(G204="",H204=""),"",ROUND(P204*Settings!$C$11*W204,0))</f>
        <v/>
      </c>
      <c r="Y204" s="29" t="str">
        <f aca="false">IF(OR(G204="",H204=""),"",V204+X204)</f>
        <v/>
      </c>
      <c r="Z204" s="7" t="str">
        <f aca="false">IF(OR(G204="",H204=""),"",IF(P204=0,"Below threshold",IF(R204="","Not yet deducted",IF(S204="",IF(Settings!$C$9&gt;Q204,"Overdue — pay now","Deducted, due "&amp;TEXT(Q204,"dd-mmm")),IF(S204&lt;=Q204,IF(N(U204)&gt;0,"Deducted late, paid on time","Paid on time"),"Paid late")))))</f>
        <v/>
      </c>
      <c r="AA204" s="35" t="str">
        <f aca="false">IF(OR(G204="",H204=""),"",IF(D204&lt;&gt;"",UPPER(TRIM(D204)),UPPER(TRIM(C204))))</f>
        <v/>
      </c>
    </row>
    <row r="205" customFormat="false" ht="15" hidden="false" customHeight="false" outlineLevel="0" collapsed="false">
      <c r="B205" s="17"/>
      <c r="C205" s="5"/>
      <c r="D205" s="5"/>
      <c r="E205" s="5"/>
      <c r="F205" s="5"/>
      <c r="G205" s="5"/>
      <c r="H205" s="16"/>
      <c r="I205" s="7" t="str">
        <f aca="false">IF(OR(G205="",H205=""),"",IFERROR(INDEX('TDS Rates'!$D$6:$D$40,MATCH(G205,'TDS Rates'!$B$6:$B$40,0)),"Check nature"))</f>
        <v/>
      </c>
      <c r="J205" s="7" t="str">
        <f aca="false">IF(OR(G205="",H205=""),"",IFERROR(INDEX('TDS Rates'!$C$6:$C$40,MATCH(G205,'TDS Rates'!$B$6:$B$40,0)),""))</f>
        <v/>
      </c>
      <c r="K205" s="7" t="str">
        <f aca="false">IF(OR(G205="",H205=""),"",IFERROR(INDEX('TDS Rates'!$E$6:$E$40,MATCH(G205,'TDS Rates'!$B$6:$B$40,0)),""))</f>
        <v/>
      </c>
      <c r="L205" s="29" t="str">
        <f aca="false">IF(OR(G205="",H205=""),"",SUMIFS(H$6:H204,AA$6:AA204,AA205,G$6:G204,G205))</f>
        <v/>
      </c>
      <c r="M205" s="29" t="str">
        <f aca="false">IF(OR(G205="",H205=""),"",SUMIFS(H$6:H204,AA$6:AA204,AA205,G$6:G204,G205,N$6:N204,0))</f>
        <v/>
      </c>
      <c r="N205" s="29" t="str">
        <f aca="false">IF(OR(G205="",H205=""),"",IFERROR(IF(INDEX('TDS Rates'!$F$6:$F$40,MATCH(G205,'TDS Rates'!$B$6:$B$40,0))="NONE",H205,IF(INDEX('TDS Rates'!$F$6:$F$40,MATCH(G205,'TDS Rates'!$B$6:$B$40,0))="PER",IF(H205&gt;INDEX('TDS Rates'!$G$6:$G$40,MATCH(G205,'TDS Rates'!$B$6:$B$40,0)),H205,0),IF(INDEX('TDS Rates'!$F$6:$F$40,MATCH(G205,'TDS Rates'!$B$6:$B$40,0))="EXCESS",MAX(0,L205+H205-INDEX('TDS Rates'!$H$6:$H$40,MATCH(G205,'TDS Rates'!$B$6:$B$40,0)))-MAX(0,L205-INDEX('TDS Rates'!$H$6:$H$40,MATCH(G205,'TDS Rates'!$B$6:$B$40,0))),IF(INDEX('TDS Rates'!$F$6:$F$40,MATCH(G205,'TDS Rates'!$B$6:$B$40,0))="SA",IF(L205+H205&gt;INDEX('TDS Rates'!$H$6:$H$40,MATCH(G205,'TDS Rates'!$B$6:$B$40,0)),H205+M205,IF(H205&gt;INDEX('TDS Rates'!$G$6:$G$40,MATCH(G205,'TDS Rates'!$B$6:$B$40,0)),H205,0)),IF(L205+H205&gt;INDEX('TDS Rates'!$H$6:$H$40,MATCH(G205,'TDS Rates'!$B$6:$B$40,0)),H205+M205,0))))),0))</f>
        <v/>
      </c>
      <c r="O205" s="33" t="str">
        <f aca="false">IF(OR(G205="",H205=""),"",IFERROR(IF(F205="No",IF(INDEX('TDS Rates'!$C$6:$C$40,MATCH(G205,'TDS Rates'!$B$6:$B$40,0))="194Q",Settings!$C$14,MAX(Settings!$C$13,IF(E205="Individual / HUF",INDEX('TDS Rates'!$I$6:$I$40,MATCH(G205,'TDS Rates'!$B$6:$B$40,0)),IF(E205="Company",INDEX('TDS Rates'!$J$6:$J$40,MATCH(G205,'TDS Rates'!$B$6:$B$40,0)),INDEX('TDS Rates'!$K$6:$K$40,MATCH(G205,'TDS Rates'!$B$6:$B$40,0)))))),IF(E205="Individual / HUF",INDEX('TDS Rates'!$I$6:$I$40,MATCH(G205,'TDS Rates'!$B$6:$B$40,0)),IF(E205="Company",INDEX('TDS Rates'!$J$6:$J$40,MATCH(G205,'TDS Rates'!$B$6:$B$40,0)),INDEX('TDS Rates'!$K$6:$K$40,MATCH(G205,'TDS Rates'!$B$6:$B$40,0))))),0))</f>
        <v/>
      </c>
      <c r="P205" s="34" t="str">
        <f aca="false">IF(OR(G205="",H205=""),"",ROUND(N205*O205,0))</f>
        <v/>
      </c>
      <c r="Q205" s="27" t="str">
        <f aca="false">IF(OR(G205="",H205=""),"",IFERROR(IF(INDEX('TDS Rates'!$E$6:$E$40,MATCH(G205,'TDS Rates'!$B$6:$B$40,0))="Form 141",EOMONTH(IF(R205="",B205,R205),0)+30,IF(MONTH(IF(R205="",B205,R205))=3,DATE(YEAR(IF(R205="",B205,R205)),4,30),DATE(YEAR(IF(R205="",B205,R205)),MONTH(IF(R205="",B205,R205))+1,7))),""))</f>
        <v/>
      </c>
      <c r="R205" s="17"/>
      <c r="S205" s="17"/>
      <c r="T205" s="5"/>
      <c r="U205" s="28" t="str">
        <f aca="false">IF(OR(G205="",H205=""),"",IF(P205=0,0,IF(IF(R205="",Settings!$C$9,R205)&lt;=B205,0,((YEAR(IF(R205="",Settings!$C$9,R205))-YEAR(B205))*12+MONTH(IF(R205="",Settings!$C$9,R205))-MONTH(B205)+1))))</f>
        <v/>
      </c>
      <c r="V205" s="29" t="str">
        <f aca="false">IF(OR(G205="",H205=""),"",ROUND(P205*Settings!$C$10*U205,0))</f>
        <v/>
      </c>
      <c r="W205" s="28" t="str">
        <f aca="false">IF(OR(G205="",H205=""),"",IF(OR(P205=0,R205=""),0,IF(IF(S205="",Settings!$C$9,S205)&lt;=Q205,0,((YEAR(IF(S205="",Settings!$C$9,S205))-YEAR(R205))*12+MONTH(IF(S205="",Settings!$C$9,S205))-MONTH(R205)+1))))</f>
        <v/>
      </c>
      <c r="X205" s="29" t="str">
        <f aca="false">IF(OR(G205="",H205=""),"",ROUND(P205*Settings!$C$11*W205,0))</f>
        <v/>
      </c>
      <c r="Y205" s="29" t="str">
        <f aca="false">IF(OR(G205="",H205=""),"",V205+X205)</f>
        <v/>
      </c>
      <c r="Z205" s="7" t="str">
        <f aca="false">IF(OR(G205="",H205=""),"",IF(P205=0,"Below threshold",IF(R205="","Not yet deducted",IF(S205="",IF(Settings!$C$9&gt;Q205,"Overdue — pay now","Deducted, due "&amp;TEXT(Q205,"dd-mmm")),IF(S205&lt;=Q205,IF(N(U205)&gt;0,"Deducted late, paid on time","Paid on time"),"Paid late")))))</f>
        <v/>
      </c>
      <c r="AA205" s="35" t="str">
        <f aca="false">IF(OR(G205="",H205=""),"",IF(D205&lt;&gt;"",UPPER(TRIM(D205)),UPPER(TRIM(C205))))</f>
        <v/>
      </c>
    </row>
    <row r="206" customFormat="false" ht="15" hidden="false" customHeight="false" outlineLevel="0" collapsed="false">
      <c r="B206" s="17"/>
      <c r="C206" s="5"/>
      <c r="D206" s="5"/>
      <c r="E206" s="5"/>
      <c r="F206" s="5"/>
      <c r="G206" s="5"/>
      <c r="H206" s="16"/>
      <c r="I206" s="7" t="str">
        <f aca="false">IF(OR(G206="",H206=""),"",IFERROR(INDEX('TDS Rates'!$D$6:$D$40,MATCH(G206,'TDS Rates'!$B$6:$B$40,0)),"Check nature"))</f>
        <v/>
      </c>
      <c r="J206" s="7" t="str">
        <f aca="false">IF(OR(G206="",H206=""),"",IFERROR(INDEX('TDS Rates'!$C$6:$C$40,MATCH(G206,'TDS Rates'!$B$6:$B$40,0)),""))</f>
        <v/>
      </c>
      <c r="K206" s="7" t="str">
        <f aca="false">IF(OR(G206="",H206=""),"",IFERROR(INDEX('TDS Rates'!$E$6:$E$40,MATCH(G206,'TDS Rates'!$B$6:$B$40,0)),""))</f>
        <v/>
      </c>
      <c r="L206" s="29" t="str">
        <f aca="false">IF(OR(G206="",H206=""),"",SUMIFS(H$6:H205,AA$6:AA205,AA206,G$6:G205,G206))</f>
        <v/>
      </c>
      <c r="M206" s="29" t="str">
        <f aca="false">IF(OR(G206="",H206=""),"",SUMIFS(H$6:H205,AA$6:AA205,AA206,G$6:G205,G206,N$6:N205,0))</f>
        <v/>
      </c>
      <c r="N206" s="29" t="str">
        <f aca="false">IF(OR(G206="",H206=""),"",IFERROR(IF(INDEX('TDS Rates'!$F$6:$F$40,MATCH(G206,'TDS Rates'!$B$6:$B$40,0))="NONE",H206,IF(INDEX('TDS Rates'!$F$6:$F$40,MATCH(G206,'TDS Rates'!$B$6:$B$40,0))="PER",IF(H206&gt;INDEX('TDS Rates'!$G$6:$G$40,MATCH(G206,'TDS Rates'!$B$6:$B$40,0)),H206,0),IF(INDEX('TDS Rates'!$F$6:$F$40,MATCH(G206,'TDS Rates'!$B$6:$B$40,0))="EXCESS",MAX(0,L206+H206-INDEX('TDS Rates'!$H$6:$H$40,MATCH(G206,'TDS Rates'!$B$6:$B$40,0)))-MAX(0,L206-INDEX('TDS Rates'!$H$6:$H$40,MATCH(G206,'TDS Rates'!$B$6:$B$40,0))),IF(INDEX('TDS Rates'!$F$6:$F$40,MATCH(G206,'TDS Rates'!$B$6:$B$40,0))="SA",IF(L206+H206&gt;INDEX('TDS Rates'!$H$6:$H$40,MATCH(G206,'TDS Rates'!$B$6:$B$40,0)),H206+M206,IF(H206&gt;INDEX('TDS Rates'!$G$6:$G$40,MATCH(G206,'TDS Rates'!$B$6:$B$40,0)),H206,0)),IF(L206+H206&gt;INDEX('TDS Rates'!$H$6:$H$40,MATCH(G206,'TDS Rates'!$B$6:$B$40,0)),H206+M206,0))))),0))</f>
        <v/>
      </c>
      <c r="O206" s="33" t="str">
        <f aca="false">IF(OR(G206="",H206=""),"",IFERROR(IF(F206="No",IF(INDEX('TDS Rates'!$C$6:$C$40,MATCH(G206,'TDS Rates'!$B$6:$B$40,0))="194Q",Settings!$C$14,MAX(Settings!$C$13,IF(E206="Individual / HUF",INDEX('TDS Rates'!$I$6:$I$40,MATCH(G206,'TDS Rates'!$B$6:$B$40,0)),IF(E206="Company",INDEX('TDS Rates'!$J$6:$J$40,MATCH(G206,'TDS Rates'!$B$6:$B$40,0)),INDEX('TDS Rates'!$K$6:$K$40,MATCH(G206,'TDS Rates'!$B$6:$B$40,0)))))),IF(E206="Individual / HUF",INDEX('TDS Rates'!$I$6:$I$40,MATCH(G206,'TDS Rates'!$B$6:$B$40,0)),IF(E206="Company",INDEX('TDS Rates'!$J$6:$J$40,MATCH(G206,'TDS Rates'!$B$6:$B$40,0)),INDEX('TDS Rates'!$K$6:$K$40,MATCH(G206,'TDS Rates'!$B$6:$B$40,0))))),0))</f>
        <v/>
      </c>
      <c r="P206" s="34" t="str">
        <f aca="false">IF(OR(G206="",H206=""),"",ROUND(N206*O206,0))</f>
        <v/>
      </c>
      <c r="Q206" s="27" t="str">
        <f aca="false">IF(OR(G206="",H206=""),"",IFERROR(IF(INDEX('TDS Rates'!$E$6:$E$40,MATCH(G206,'TDS Rates'!$B$6:$B$40,0))="Form 141",EOMONTH(IF(R206="",B206,R206),0)+30,IF(MONTH(IF(R206="",B206,R206))=3,DATE(YEAR(IF(R206="",B206,R206)),4,30),DATE(YEAR(IF(R206="",B206,R206)),MONTH(IF(R206="",B206,R206))+1,7))),""))</f>
        <v/>
      </c>
      <c r="R206" s="17"/>
      <c r="S206" s="17"/>
      <c r="T206" s="5"/>
      <c r="U206" s="28" t="str">
        <f aca="false">IF(OR(G206="",H206=""),"",IF(P206=0,0,IF(IF(R206="",Settings!$C$9,R206)&lt;=B206,0,((YEAR(IF(R206="",Settings!$C$9,R206))-YEAR(B206))*12+MONTH(IF(R206="",Settings!$C$9,R206))-MONTH(B206)+1))))</f>
        <v/>
      </c>
      <c r="V206" s="29" t="str">
        <f aca="false">IF(OR(G206="",H206=""),"",ROUND(P206*Settings!$C$10*U206,0))</f>
        <v/>
      </c>
      <c r="W206" s="28" t="str">
        <f aca="false">IF(OR(G206="",H206=""),"",IF(OR(P206=0,R206=""),0,IF(IF(S206="",Settings!$C$9,S206)&lt;=Q206,0,((YEAR(IF(S206="",Settings!$C$9,S206))-YEAR(R206))*12+MONTH(IF(S206="",Settings!$C$9,S206))-MONTH(R206)+1))))</f>
        <v/>
      </c>
      <c r="X206" s="29" t="str">
        <f aca="false">IF(OR(G206="",H206=""),"",ROUND(P206*Settings!$C$11*W206,0))</f>
        <v/>
      </c>
      <c r="Y206" s="29" t="str">
        <f aca="false">IF(OR(G206="",H206=""),"",V206+X206)</f>
        <v/>
      </c>
      <c r="Z206" s="7" t="str">
        <f aca="false">IF(OR(G206="",H206=""),"",IF(P206=0,"Below threshold",IF(R206="","Not yet deducted",IF(S206="",IF(Settings!$C$9&gt;Q206,"Overdue — pay now","Deducted, due "&amp;TEXT(Q206,"dd-mmm")),IF(S206&lt;=Q206,IF(N(U206)&gt;0,"Deducted late, paid on time","Paid on time"),"Paid late")))))</f>
        <v/>
      </c>
      <c r="AA206" s="35" t="str">
        <f aca="false">IF(OR(G206="",H206=""),"",IF(D206&lt;&gt;"",UPPER(TRIM(D206)),UPPER(TRIM(C206))))</f>
        <v/>
      </c>
    </row>
    <row r="207" customFormat="false" ht="15" hidden="false" customHeight="false" outlineLevel="0" collapsed="false">
      <c r="B207" s="17"/>
      <c r="C207" s="5"/>
      <c r="D207" s="5"/>
      <c r="E207" s="5"/>
      <c r="F207" s="5"/>
      <c r="G207" s="5"/>
      <c r="H207" s="16"/>
      <c r="I207" s="7" t="str">
        <f aca="false">IF(OR(G207="",H207=""),"",IFERROR(INDEX('TDS Rates'!$D$6:$D$40,MATCH(G207,'TDS Rates'!$B$6:$B$40,0)),"Check nature"))</f>
        <v/>
      </c>
      <c r="J207" s="7" t="str">
        <f aca="false">IF(OR(G207="",H207=""),"",IFERROR(INDEX('TDS Rates'!$C$6:$C$40,MATCH(G207,'TDS Rates'!$B$6:$B$40,0)),""))</f>
        <v/>
      </c>
      <c r="K207" s="7" t="str">
        <f aca="false">IF(OR(G207="",H207=""),"",IFERROR(INDEX('TDS Rates'!$E$6:$E$40,MATCH(G207,'TDS Rates'!$B$6:$B$40,0)),""))</f>
        <v/>
      </c>
      <c r="L207" s="29" t="str">
        <f aca="false">IF(OR(G207="",H207=""),"",SUMIFS(H$6:H206,AA$6:AA206,AA207,G$6:G206,G207))</f>
        <v/>
      </c>
      <c r="M207" s="29" t="str">
        <f aca="false">IF(OR(G207="",H207=""),"",SUMIFS(H$6:H206,AA$6:AA206,AA207,G$6:G206,G207,N$6:N206,0))</f>
        <v/>
      </c>
      <c r="N207" s="29" t="str">
        <f aca="false">IF(OR(G207="",H207=""),"",IFERROR(IF(INDEX('TDS Rates'!$F$6:$F$40,MATCH(G207,'TDS Rates'!$B$6:$B$40,0))="NONE",H207,IF(INDEX('TDS Rates'!$F$6:$F$40,MATCH(G207,'TDS Rates'!$B$6:$B$40,0))="PER",IF(H207&gt;INDEX('TDS Rates'!$G$6:$G$40,MATCH(G207,'TDS Rates'!$B$6:$B$40,0)),H207,0),IF(INDEX('TDS Rates'!$F$6:$F$40,MATCH(G207,'TDS Rates'!$B$6:$B$40,0))="EXCESS",MAX(0,L207+H207-INDEX('TDS Rates'!$H$6:$H$40,MATCH(G207,'TDS Rates'!$B$6:$B$40,0)))-MAX(0,L207-INDEX('TDS Rates'!$H$6:$H$40,MATCH(G207,'TDS Rates'!$B$6:$B$40,0))),IF(INDEX('TDS Rates'!$F$6:$F$40,MATCH(G207,'TDS Rates'!$B$6:$B$40,0))="SA",IF(L207+H207&gt;INDEX('TDS Rates'!$H$6:$H$40,MATCH(G207,'TDS Rates'!$B$6:$B$40,0)),H207+M207,IF(H207&gt;INDEX('TDS Rates'!$G$6:$G$40,MATCH(G207,'TDS Rates'!$B$6:$B$40,0)),H207,0)),IF(L207+H207&gt;INDEX('TDS Rates'!$H$6:$H$40,MATCH(G207,'TDS Rates'!$B$6:$B$40,0)),H207+M207,0))))),0))</f>
        <v/>
      </c>
      <c r="O207" s="33" t="str">
        <f aca="false">IF(OR(G207="",H207=""),"",IFERROR(IF(F207="No",IF(INDEX('TDS Rates'!$C$6:$C$40,MATCH(G207,'TDS Rates'!$B$6:$B$40,0))="194Q",Settings!$C$14,MAX(Settings!$C$13,IF(E207="Individual / HUF",INDEX('TDS Rates'!$I$6:$I$40,MATCH(G207,'TDS Rates'!$B$6:$B$40,0)),IF(E207="Company",INDEX('TDS Rates'!$J$6:$J$40,MATCH(G207,'TDS Rates'!$B$6:$B$40,0)),INDEX('TDS Rates'!$K$6:$K$40,MATCH(G207,'TDS Rates'!$B$6:$B$40,0)))))),IF(E207="Individual / HUF",INDEX('TDS Rates'!$I$6:$I$40,MATCH(G207,'TDS Rates'!$B$6:$B$40,0)),IF(E207="Company",INDEX('TDS Rates'!$J$6:$J$40,MATCH(G207,'TDS Rates'!$B$6:$B$40,0)),INDEX('TDS Rates'!$K$6:$K$40,MATCH(G207,'TDS Rates'!$B$6:$B$40,0))))),0))</f>
        <v/>
      </c>
      <c r="P207" s="34" t="str">
        <f aca="false">IF(OR(G207="",H207=""),"",ROUND(N207*O207,0))</f>
        <v/>
      </c>
      <c r="Q207" s="27" t="str">
        <f aca="false">IF(OR(G207="",H207=""),"",IFERROR(IF(INDEX('TDS Rates'!$E$6:$E$40,MATCH(G207,'TDS Rates'!$B$6:$B$40,0))="Form 141",EOMONTH(IF(R207="",B207,R207),0)+30,IF(MONTH(IF(R207="",B207,R207))=3,DATE(YEAR(IF(R207="",B207,R207)),4,30),DATE(YEAR(IF(R207="",B207,R207)),MONTH(IF(R207="",B207,R207))+1,7))),""))</f>
        <v/>
      </c>
      <c r="R207" s="17"/>
      <c r="S207" s="17"/>
      <c r="T207" s="5"/>
      <c r="U207" s="28" t="str">
        <f aca="false">IF(OR(G207="",H207=""),"",IF(P207=0,0,IF(IF(R207="",Settings!$C$9,R207)&lt;=B207,0,((YEAR(IF(R207="",Settings!$C$9,R207))-YEAR(B207))*12+MONTH(IF(R207="",Settings!$C$9,R207))-MONTH(B207)+1))))</f>
        <v/>
      </c>
      <c r="V207" s="29" t="str">
        <f aca="false">IF(OR(G207="",H207=""),"",ROUND(P207*Settings!$C$10*U207,0))</f>
        <v/>
      </c>
      <c r="W207" s="28" t="str">
        <f aca="false">IF(OR(G207="",H207=""),"",IF(OR(P207=0,R207=""),0,IF(IF(S207="",Settings!$C$9,S207)&lt;=Q207,0,((YEAR(IF(S207="",Settings!$C$9,S207))-YEAR(R207))*12+MONTH(IF(S207="",Settings!$C$9,S207))-MONTH(R207)+1))))</f>
        <v/>
      </c>
      <c r="X207" s="29" t="str">
        <f aca="false">IF(OR(G207="",H207=""),"",ROUND(P207*Settings!$C$11*W207,0))</f>
        <v/>
      </c>
      <c r="Y207" s="29" t="str">
        <f aca="false">IF(OR(G207="",H207=""),"",V207+X207)</f>
        <v/>
      </c>
      <c r="Z207" s="7" t="str">
        <f aca="false">IF(OR(G207="",H207=""),"",IF(P207=0,"Below threshold",IF(R207="","Not yet deducted",IF(S207="",IF(Settings!$C$9&gt;Q207,"Overdue — pay now","Deducted, due "&amp;TEXT(Q207,"dd-mmm")),IF(S207&lt;=Q207,IF(N(U207)&gt;0,"Deducted late, paid on time","Paid on time"),"Paid late")))))</f>
        <v/>
      </c>
      <c r="AA207" s="35" t="str">
        <f aca="false">IF(OR(G207="",H207=""),"",IF(D207&lt;&gt;"",UPPER(TRIM(D207)),UPPER(TRIM(C207))))</f>
        <v/>
      </c>
    </row>
    <row r="208" customFormat="false" ht="15" hidden="false" customHeight="false" outlineLevel="0" collapsed="false">
      <c r="B208" s="17"/>
      <c r="C208" s="5"/>
      <c r="D208" s="5"/>
      <c r="E208" s="5"/>
      <c r="F208" s="5"/>
      <c r="G208" s="5"/>
      <c r="H208" s="16"/>
      <c r="I208" s="7" t="str">
        <f aca="false">IF(OR(G208="",H208=""),"",IFERROR(INDEX('TDS Rates'!$D$6:$D$40,MATCH(G208,'TDS Rates'!$B$6:$B$40,0)),"Check nature"))</f>
        <v/>
      </c>
      <c r="J208" s="7" t="str">
        <f aca="false">IF(OR(G208="",H208=""),"",IFERROR(INDEX('TDS Rates'!$C$6:$C$40,MATCH(G208,'TDS Rates'!$B$6:$B$40,0)),""))</f>
        <v/>
      </c>
      <c r="K208" s="7" t="str">
        <f aca="false">IF(OR(G208="",H208=""),"",IFERROR(INDEX('TDS Rates'!$E$6:$E$40,MATCH(G208,'TDS Rates'!$B$6:$B$40,0)),""))</f>
        <v/>
      </c>
      <c r="L208" s="29" t="str">
        <f aca="false">IF(OR(G208="",H208=""),"",SUMIFS(H$6:H207,AA$6:AA207,AA208,G$6:G207,G208))</f>
        <v/>
      </c>
      <c r="M208" s="29" t="str">
        <f aca="false">IF(OR(G208="",H208=""),"",SUMIFS(H$6:H207,AA$6:AA207,AA208,G$6:G207,G208,N$6:N207,0))</f>
        <v/>
      </c>
      <c r="N208" s="29" t="str">
        <f aca="false">IF(OR(G208="",H208=""),"",IFERROR(IF(INDEX('TDS Rates'!$F$6:$F$40,MATCH(G208,'TDS Rates'!$B$6:$B$40,0))="NONE",H208,IF(INDEX('TDS Rates'!$F$6:$F$40,MATCH(G208,'TDS Rates'!$B$6:$B$40,0))="PER",IF(H208&gt;INDEX('TDS Rates'!$G$6:$G$40,MATCH(G208,'TDS Rates'!$B$6:$B$40,0)),H208,0),IF(INDEX('TDS Rates'!$F$6:$F$40,MATCH(G208,'TDS Rates'!$B$6:$B$40,0))="EXCESS",MAX(0,L208+H208-INDEX('TDS Rates'!$H$6:$H$40,MATCH(G208,'TDS Rates'!$B$6:$B$40,0)))-MAX(0,L208-INDEX('TDS Rates'!$H$6:$H$40,MATCH(G208,'TDS Rates'!$B$6:$B$40,0))),IF(INDEX('TDS Rates'!$F$6:$F$40,MATCH(G208,'TDS Rates'!$B$6:$B$40,0))="SA",IF(L208+H208&gt;INDEX('TDS Rates'!$H$6:$H$40,MATCH(G208,'TDS Rates'!$B$6:$B$40,0)),H208+M208,IF(H208&gt;INDEX('TDS Rates'!$G$6:$G$40,MATCH(G208,'TDS Rates'!$B$6:$B$40,0)),H208,0)),IF(L208+H208&gt;INDEX('TDS Rates'!$H$6:$H$40,MATCH(G208,'TDS Rates'!$B$6:$B$40,0)),H208+M208,0))))),0))</f>
        <v/>
      </c>
      <c r="O208" s="33" t="str">
        <f aca="false">IF(OR(G208="",H208=""),"",IFERROR(IF(F208="No",IF(INDEX('TDS Rates'!$C$6:$C$40,MATCH(G208,'TDS Rates'!$B$6:$B$40,0))="194Q",Settings!$C$14,MAX(Settings!$C$13,IF(E208="Individual / HUF",INDEX('TDS Rates'!$I$6:$I$40,MATCH(G208,'TDS Rates'!$B$6:$B$40,0)),IF(E208="Company",INDEX('TDS Rates'!$J$6:$J$40,MATCH(G208,'TDS Rates'!$B$6:$B$40,0)),INDEX('TDS Rates'!$K$6:$K$40,MATCH(G208,'TDS Rates'!$B$6:$B$40,0)))))),IF(E208="Individual / HUF",INDEX('TDS Rates'!$I$6:$I$40,MATCH(G208,'TDS Rates'!$B$6:$B$40,0)),IF(E208="Company",INDEX('TDS Rates'!$J$6:$J$40,MATCH(G208,'TDS Rates'!$B$6:$B$40,0)),INDEX('TDS Rates'!$K$6:$K$40,MATCH(G208,'TDS Rates'!$B$6:$B$40,0))))),0))</f>
        <v/>
      </c>
      <c r="P208" s="34" t="str">
        <f aca="false">IF(OR(G208="",H208=""),"",ROUND(N208*O208,0))</f>
        <v/>
      </c>
      <c r="Q208" s="27" t="str">
        <f aca="false">IF(OR(G208="",H208=""),"",IFERROR(IF(INDEX('TDS Rates'!$E$6:$E$40,MATCH(G208,'TDS Rates'!$B$6:$B$40,0))="Form 141",EOMONTH(IF(R208="",B208,R208),0)+30,IF(MONTH(IF(R208="",B208,R208))=3,DATE(YEAR(IF(R208="",B208,R208)),4,30),DATE(YEAR(IF(R208="",B208,R208)),MONTH(IF(R208="",B208,R208))+1,7))),""))</f>
        <v/>
      </c>
      <c r="R208" s="17"/>
      <c r="S208" s="17"/>
      <c r="T208" s="5"/>
      <c r="U208" s="28" t="str">
        <f aca="false">IF(OR(G208="",H208=""),"",IF(P208=0,0,IF(IF(R208="",Settings!$C$9,R208)&lt;=B208,0,((YEAR(IF(R208="",Settings!$C$9,R208))-YEAR(B208))*12+MONTH(IF(R208="",Settings!$C$9,R208))-MONTH(B208)+1))))</f>
        <v/>
      </c>
      <c r="V208" s="29" t="str">
        <f aca="false">IF(OR(G208="",H208=""),"",ROUND(P208*Settings!$C$10*U208,0))</f>
        <v/>
      </c>
      <c r="W208" s="28" t="str">
        <f aca="false">IF(OR(G208="",H208=""),"",IF(OR(P208=0,R208=""),0,IF(IF(S208="",Settings!$C$9,S208)&lt;=Q208,0,((YEAR(IF(S208="",Settings!$C$9,S208))-YEAR(R208))*12+MONTH(IF(S208="",Settings!$C$9,S208))-MONTH(R208)+1))))</f>
        <v/>
      </c>
      <c r="X208" s="29" t="str">
        <f aca="false">IF(OR(G208="",H208=""),"",ROUND(P208*Settings!$C$11*W208,0))</f>
        <v/>
      </c>
      <c r="Y208" s="29" t="str">
        <f aca="false">IF(OR(G208="",H208=""),"",V208+X208)</f>
        <v/>
      </c>
      <c r="Z208" s="7" t="str">
        <f aca="false">IF(OR(G208="",H208=""),"",IF(P208=0,"Below threshold",IF(R208="","Not yet deducted",IF(S208="",IF(Settings!$C$9&gt;Q208,"Overdue — pay now","Deducted, due "&amp;TEXT(Q208,"dd-mmm")),IF(S208&lt;=Q208,IF(N(U208)&gt;0,"Deducted late, paid on time","Paid on time"),"Paid late")))))</f>
        <v/>
      </c>
      <c r="AA208" s="35" t="str">
        <f aca="false">IF(OR(G208="",H208=""),"",IF(D208&lt;&gt;"",UPPER(TRIM(D208)),UPPER(TRIM(C208))))</f>
        <v/>
      </c>
    </row>
    <row r="209" customFormat="false" ht="15" hidden="false" customHeight="false" outlineLevel="0" collapsed="false">
      <c r="B209" s="17"/>
      <c r="C209" s="5"/>
      <c r="D209" s="5"/>
      <c r="E209" s="5"/>
      <c r="F209" s="5"/>
      <c r="G209" s="5"/>
      <c r="H209" s="16"/>
      <c r="I209" s="7" t="str">
        <f aca="false">IF(OR(G209="",H209=""),"",IFERROR(INDEX('TDS Rates'!$D$6:$D$40,MATCH(G209,'TDS Rates'!$B$6:$B$40,0)),"Check nature"))</f>
        <v/>
      </c>
      <c r="J209" s="7" t="str">
        <f aca="false">IF(OR(G209="",H209=""),"",IFERROR(INDEX('TDS Rates'!$C$6:$C$40,MATCH(G209,'TDS Rates'!$B$6:$B$40,0)),""))</f>
        <v/>
      </c>
      <c r="K209" s="7" t="str">
        <f aca="false">IF(OR(G209="",H209=""),"",IFERROR(INDEX('TDS Rates'!$E$6:$E$40,MATCH(G209,'TDS Rates'!$B$6:$B$40,0)),""))</f>
        <v/>
      </c>
      <c r="L209" s="29" t="str">
        <f aca="false">IF(OR(G209="",H209=""),"",SUMIFS(H$6:H208,AA$6:AA208,AA209,G$6:G208,G209))</f>
        <v/>
      </c>
      <c r="M209" s="29" t="str">
        <f aca="false">IF(OR(G209="",H209=""),"",SUMIFS(H$6:H208,AA$6:AA208,AA209,G$6:G208,G209,N$6:N208,0))</f>
        <v/>
      </c>
      <c r="N209" s="29" t="str">
        <f aca="false">IF(OR(G209="",H209=""),"",IFERROR(IF(INDEX('TDS Rates'!$F$6:$F$40,MATCH(G209,'TDS Rates'!$B$6:$B$40,0))="NONE",H209,IF(INDEX('TDS Rates'!$F$6:$F$40,MATCH(G209,'TDS Rates'!$B$6:$B$40,0))="PER",IF(H209&gt;INDEX('TDS Rates'!$G$6:$G$40,MATCH(G209,'TDS Rates'!$B$6:$B$40,0)),H209,0),IF(INDEX('TDS Rates'!$F$6:$F$40,MATCH(G209,'TDS Rates'!$B$6:$B$40,0))="EXCESS",MAX(0,L209+H209-INDEX('TDS Rates'!$H$6:$H$40,MATCH(G209,'TDS Rates'!$B$6:$B$40,0)))-MAX(0,L209-INDEX('TDS Rates'!$H$6:$H$40,MATCH(G209,'TDS Rates'!$B$6:$B$40,0))),IF(INDEX('TDS Rates'!$F$6:$F$40,MATCH(G209,'TDS Rates'!$B$6:$B$40,0))="SA",IF(L209+H209&gt;INDEX('TDS Rates'!$H$6:$H$40,MATCH(G209,'TDS Rates'!$B$6:$B$40,0)),H209+M209,IF(H209&gt;INDEX('TDS Rates'!$G$6:$G$40,MATCH(G209,'TDS Rates'!$B$6:$B$40,0)),H209,0)),IF(L209+H209&gt;INDEX('TDS Rates'!$H$6:$H$40,MATCH(G209,'TDS Rates'!$B$6:$B$40,0)),H209+M209,0))))),0))</f>
        <v/>
      </c>
      <c r="O209" s="33" t="str">
        <f aca="false">IF(OR(G209="",H209=""),"",IFERROR(IF(F209="No",IF(INDEX('TDS Rates'!$C$6:$C$40,MATCH(G209,'TDS Rates'!$B$6:$B$40,0))="194Q",Settings!$C$14,MAX(Settings!$C$13,IF(E209="Individual / HUF",INDEX('TDS Rates'!$I$6:$I$40,MATCH(G209,'TDS Rates'!$B$6:$B$40,0)),IF(E209="Company",INDEX('TDS Rates'!$J$6:$J$40,MATCH(G209,'TDS Rates'!$B$6:$B$40,0)),INDEX('TDS Rates'!$K$6:$K$40,MATCH(G209,'TDS Rates'!$B$6:$B$40,0)))))),IF(E209="Individual / HUF",INDEX('TDS Rates'!$I$6:$I$40,MATCH(G209,'TDS Rates'!$B$6:$B$40,0)),IF(E209="Company",INDEX('TDS Rates'!$J$6:$J$40,MATCH(G209,'TDS Rates'!$B$6:$B$40,0)),INDEX('TDS Rates'!$K$6:$K$40,MATCH(G209,'TDS Rates'!$B$6:$B$40,0))))),0))</f>
        <v/>
      </c>
      <c r="P209" s="34" t="str">
        <f aca="false">IF(OR(G209="",H209=""),"",ROUND(N209*O209,0))</f>
        <v/>
      </c>
      <c r="Q209" s="27" t="str">
        <f aca="false">IF(OR(G209="",H209=""),"",IFERROR(IF(INDEX('TDS Rates'!$E$6:$E$40,MATCH(G209,'TDS Rates'!$B$6:$B$40,0))="Form 141",EOMONTH(IF(R209="",B209,R209),0)+30,IF(MONTH(IF(R209="",B209,R209))=3,DATE(YEAR(IF(R209="",B209,R209)),4,30),DATE(YEAR(IF(R209="",B209,R209)),MONTH(IF(R209="",B209,R209))+1,7))),""))</f>
        <v/>
      </c>
      <c r="R209" s="17"/>
      <c r="S209" s="17"/>
      <c r="T209" s="5"/>
      <c r="U209" s="28" t="str">
        <f aca="false">IF(OR(G209="",H209=""),"",IF(P209=0,0,IF(IF(R209="",Settings!$C$9,R209)&lt;=B209,0,((YEAR(IF(R209="",Settings!$C$9,R209))-YEAR(B209))*12+MONTH(IF(R209="",Settings!$C$9,R209))-MONTH(B209)+1))))</f>
        <v/>
      </c>
      <c r="V209" s="29" t="str">
        <f aca="false">IF(OR(G209="",H209=""),"",ROUND(P209*Settings!$C$10*U209,0))</f>
        <v/>
      </c>
      <c r="W209" s="28" t="str">
        <f aca="false">IF(OR(G209="",H209=""),"",IF(OR(P209=0,R209=""),0,IF(IF(S209="",Settings!$C$9,S209)&lt;=Q209,0,((YEAR(IF(S209="",Settings!$C$9,S209))-YEAR(R209))*12+MONTH(IF(S209="",Settings!$C$9,S209))-MONTH(R209)+1))))</f>
        <v/>
      </c>
      <c r="X209" s="29" t="str">
        <f aca="false">IF(OR(G209="",H209=""),"",ROUND(P209*Settings!$C$11*W209,0))</f>
        <v/>
      </c>
      <c r="Y209" s="29" t="str">
        <f aca="false">IF(OR(G209="",H209=""),"",V209+X209)</f>
        <v/>
      </c>
      <c r="Z209" s="7" t="str">
        <f aca="false">IF(OR(G209="",H209=""),"",IF(P209=0,"Below threshold",IF(R209="","Not yet deducted",IF(S209="",IF(Settings!$C$9&gt;Q209,"Overdue — pay now","Deducted, due "&amp;TEXT(Q209,"dd-mmm")),IF(S209&lt;=Q209,IF(N(U209)&gt;0,"Deducted late, paid on time","Paid on time"),"Paid late")))))</f>
        <v/>
      </c>
      <c r="AA209" s="35" t="str">
        <f aca="false">IF(OR(G209="",H209=""),"",IF(D209&lt;&gt;"",UPPER(TRIM(D209)),UPPER(TRIM(C209))))</f>
        <v/>
      </c>
    </row>
    <row r="210" customFormat="false" ht="15" hidden="false" customHeight="false" outlineLevel="0" collapsed="false">
      <c r="B210" s="17"/>
      <c r="C210" s="5"/>
      <c r="D210" s="5"/>
      <c r="E210" s="5"/>
      <c r="F210" s="5"/>
      <c r="G210" s="5"/>
      <c r="H210" s="16"/>
      <c r="I210" s="7" t="str">
        <f aca="false">IF(OR(G210="",H210=""),"",IFERROR(INDEX('TDS Rates'!$D$6:$D$40,MATCH(G210,'TDS Rates'!$B$6:$B$40,0)),"Check nature"))</f>
        <v/>
      </c>
      <c r="J210" s="7" t="str">
        <f aca="false">IF(OR(G210="",H210=""),"",IFERROR(INDEX('TDS Rates'!$C$6:$C$40,MATCH(G210,'TDS Rates'!$B$6:$B$40,0)),""))</f>
        <v/>
      </c>
      <c r="K210" s="7" t="str">
        <f aca="false">IF(OR(G210="",H210=""),"",IFERROR(INDEX('TDS Rates'!$E$6:$E$40,MATCH(G210,'TDS Rates'!$B$6:$B$40,0)),""))</f>
        <v/>
      </c>
      <c r="L210" s="29" t="str">
        <f aca="false">IF(OR(G210="",H210=""),"",SUMIFS(H$6:H209,AA$6:AA209,AA210,G$6:G209,G210))</f>
        <v/>
      </c>
      <c r="M210" s="29" t="str">
        <f aca="false">IF(OR(G210="",H210=""),"",SUMIFS(H$6:H209,AA$6:AA209,AA210,G$6:G209,G210,N$6:N209,0))</f>
        <v/>
      </c>
      <c r="N210" s="29" t="str">
        <f aca="false">IF(OR(G210="",H210=""),"",IFERROR(IF(INDEX('TDS Rates'!$F$6:$F$40,MATCH(G210,'TDS Rates'!$B$6:$B$40,0))="NONE",H210,IF(INDEX('TDS Rates'!$F$6:$F$40,MATCH(G210,'TDS Rates'!$B$6:$B$40,0))="PER",IF(H210&gt;INDEX('TDS Rates'!$G$6:$G$40,MATCH(G210,'TDS Rates'!$B$6:$B$40,0)),H210,0),IF(INDEX('TDS Rates'!$F$6:$F$40,MATCH(G210,'TDS Rates'!$B$6:$B$40,0))="EXCESS",MAX(0,L210+H210-INDEX('TDS Rates'!$H$6:$H$40,MATCH(G210,'TDS Rates'!$B$6:$B$40,0)))-MAX(0,L210-INDEX('TDS Rates'!$H$6:$H$40,MATCH(G210,'TDS Rates'!$B$6:$B$40,0))),IF(INDEX('TDS Rates'!$F$6:$F$40,MATCH(G210,'TDS Rates'!$B$6:$B$40,0))="SA",IF(L210+H210&gt;INDEX('TDS Rates'!$H$6:$H$40,MATCH(G210,'TDS Rates'!$B$6:$B$40,0)),H210+M210,IF(H210&gt;INDEX('TDS Rates'!$G$6:$G$40,MATCH(G210,'TDS Rates'!$B$6:$B$40,0)),H210,0)),IF(L210+H210&gt;INDEX('TDS Rates'!$H$6:$H$40,MATCH(G210,'TDS Rates'!$B$6:$B$40,0)),H210+M210,0))))),0))</f>
        <v/>
      </c>
      <c r="O210" s="33" t="str">
        <f aca="false">IF(OR(G210="",H210=""),"",IFERROR(IF(F210="No",IF(INDEX('TDS Rates'!$C$6:$C$40,MATCH(G210,'TDS Rates'!$B$6:$B$40,0))="194Q",Settings!$C$14,MAX(Settings!$C$13,IF(E210="Individual / HUF",INDEX('TDS Rates'!$I$6:$I$40,MATCH(G210,'TDS Rates'!$B$6:$B$40,0)),IF(E210="Company",INDEX('TDS Rates'!$J$6:$J$40,MATCH(G210,'TDS Rates'!$B$6:$B$40,0)),INDEX('TDS Rates'!$K$6:$K$40,MATCH(G210,'TDS Rates'!$B$6:$B$40,0)))))),IF(E210="Individual / HUF",INDEX('TDS Rates'!$I$6:$I$40,MATCH(G210,'TDS Rates'!$B$6:$B$40,0)),IF(E210="Company",INDEX('TDS Rates'!$J$6:$J$40,MATCH(G210,'TDS Rates'!$B$6:$B$40,0)),INDEX('TDS Rates'!$K$6:$K$40,MATCH(G210,'TDS Rates'!$B$6:$B$40,0))))),0))</f>
        <v/>
      </c>
      <c r="P210" s="34" t="str">
        <f aca="false">IF(OR(G210="",H210=""),"",ROUND(N210*O210,0))</f>
        <v/>
      </c>
      <c r="Q210" s="27" t="str">
        <f aca="false">IF(OR(G210="",H210=""),"",IFERROR(IF(INDEX('TDS Rates'!$E$6:$E$40,MATCH(G210,'TDS Rates'!$B$6:$B$40,0))="Form 141",EOMONTH(IF(R210="",B210,R210),0)+30,IF(MONTH(IF(R210="",B210,R210))=3,DATE(YEAR(IF(R210="",B210,R210)),4,30),DATE(YEAR(IF(R210="",B210,R210)),MONTH(IF(R210="",B210,R210))+1,7))),""))</f>
        <v/>
      </c>
      <c r="R210" s="17"/>
      <c r="S210" s="17"/>
      <c r="T210" s="5"/>
      <c r="U210" s="28" t="str">
        <f aca="false">IF(OR(G210="",H210=""),"",IF(P210=0,0,IF(IF(R210="",Settings!$C$9,R210)&lt;=B210,0,((YEAR(IF(R210="",Settings!$C$9,R210))-YEAR(B210))*12+MONTH(IF(R210="",Settings!$C$9,R210))-MONTH(B210)+1))))</f>
        <v/>
      </c>
      <c r="V210" s="29" t="str">
        <f aca="false">IF(OR(G210="",H210=""),"",ROUND(P210*Settings!$C$10*U210,0))</f>
        <v/>
      </c>
      <c r="W210" s="28" t="str">
        <f aca="false">IF(OR(G210="",H210=""),"",IF(OR(P210=0,R210=""),0,IF(IF(S210="",Settings!$C$9,S210)&lt;=Q210,0,((YEAR(IF(S210="",Settings!$C$9,S210))-YEAR(R210))*12+MONTH(IF(S210="",Settings!$C$9,S210))-MONTH(R210)+1))))</f>
        <v/>
      </c>
      <c r="X210" s="29" t="str">
        <f aca="false">IF(OR(G210="",H210=""),"",ROUND(P210*Settings!$C$11*W210,0))</f>
        <v/>
      </c>
      <c r="Y210" s="29" t="str">
        <f aca="false">IF(OR(G210="",H210=""),"",V210+X210)</f>
        <v/>
      </c>
      <c r="Z210" s="7" t="str">
        <f aca="false">IF(OR(G210="",H210=""),"",IF(P210=0,"Below threshold",IF(R210="","Not yet deducted",IF(S210="",IF(Settings!$C$9&gt;Q210,"Overdue — pay now","Deducted, due "&amp;TEXT(Q210,"dd-mmm")),IF(S210&lt;=Q210,IF(N(U210)&gt;0,"Deducted late, paid on time","Paid on time"),"Paid late")))))</f>
        <v/>
      </c>
      <c r="AA210" s="35" t="str">
        <f aca="false">IF(OR(G210="",H210=""),"",IF(D210&lt;&gt;"",UPPER(TRIM(D210)),UPPER(TRIM(C210))))</f>
        <v/>
      </c>
    </row>
    <row r="211" customFormat="false" ht="15" hidden="false" customHeight="false" outlineLevel="0" collapsed="false">
      <c r="B211" s="17"/>
      <c r="C211" s="5"/>
      <c r="D211" s="5"/>
      <c r="E211" s="5"/>
      <c r="F211" s="5"/>
      <c r="G211" s="5"/>
      <c r="H211" s="16"/>
      <c r="I211" s="7" t="str">
        <f aca="false">IF(OR(G211="",H211=""),"",IFERROR(INDEX('TDS Rates'!$D$6:$D$40,MATCH(G211,'TDS Rates'!$B$6:$B$40,0)),"Check nature"))</f>
        <v/>
      </c>
      <c r="J211" s="7" t="str">
        <f aca="false">IF(OR(G211="",H211=""),"",IFERROR(INDEX('TDS Rates'!$C$6:$C$40,MATCH(G211,'TDS Rates'!$B$6:$B$40,0)),""))</f>
        <v/>
      </c>
      <c r="K211" s="7" t="str">
        <f aca="false">IF(OR(G211="",H211=""),"",IFERROR(INDEX('TDS Rates'!$E$6:$E$40,MATCH(G211,'TDS Rates'!$B$6:$B$40,0)),""))</f>
        <v/>
      </c>
      <c r="L211" s="29" t="str">
        <f aca="false">IF(OR(G211="",H211=""),"",SUMIFS(H$6:H210,AA$6:AA210,AA211,G$6:G210,G211))</f>
        <v/>
      </c>
      <c r="M211" s="29" t="str">
        <f aca="false">IF(OR(G211="",H211=""),"",SUMIFS(H$6:H210,AA$6:AA210,AA211,G$6:G210,G211,N$6:N210,0))</f>
        <v/>
      </c>
      <c r="N211" s="29" t="str">
        <f aca="false">IF(OR(G211="",H211=""),"",IFERROR(IF(INDEX('TDS Rates'!$F$6:$F$40,MATCH(G211,'TDS Rates'!$B$6:$B$40,0))="NONE",H211,IF(INDEX('TDS Rates'!$F$6:$F$40,MATCH(G211,'TDS Rates'!$B$6:$B$40,0))="PER",IF(H211&gt;INDEX('TDS Rates'!$G$6:$G$40,MATCH(G211,'TDS Rates'!$B$6:$B$40,0)),H211,0),IF(INDEX('TDS Rates'!$F$6:$F$40,MATCH(G211,'TDS Rates'!$B$6:$B$40,0))="EXCESS",MAX(0,L211+H211-INDEX('TDS Rates'!$H$6:$H$40,MATCH(G211,'TDS Rates'!$B$6:$B$40,0)))-MAX(0,L211-INDEX('TDS Rates'!$H$6:$H$40,MATCH(G211,'TDS Rates'!$B$6:$B$40,0))),IF(INDEX('TDS Rates'!$F$6:$F$40,MATCH(G211,'TDS Rates'!$B$6:$B$40,0))="SA",IF(L211+H211&gt;INDEX('TDS Rates'!$H$6:$H$40,MATCH(G211,'TDS Rates'!$B$6:$B$40,0)),H211+M211,IF(H211&gt;INDEX('TDS Rates'!$G$6:$G$40,MATCH(G211,'TDS Rates'!$B$6:$B$40,0)),H211,0)),IF(L211+H211&gt;INDEX('TDS Rates'!$H$6:$H$40,MATCH(G211,'TDS Rates'!$B$6:$B$40,0)),H211+M211,0))))),0))</f>
        <v/>
      </c>
      <c r="O211" s="33" t="str">
        <f aca="false">IF(OR(G211="",H211=""),"",IFERROR(IF(F211="No",IF(INDEX('TDS Rates'!$C$6:$C$40,MATCH(G211,'TDS Rates'!$B$6:$B$40,0))="194Q",Settings!$C$14,MAX(Settings!$C$13,IF(E211="Individual / HUF",INDEX('TDS Rates'!$I$6:$I$40,MATCH(G211,'TDS Rates'!$B$6:$B$40,0)),IF(E211="Company",INDEX('TDS Rates'!$J$6:$J$40,MATCH(G211,'TDS Rates'!$B$6:$B$40,0)),INDEX('TDS Rates'!$K$6:$K$40,MATCH(G211,'TDS Rates'!$B$6:$B$40,0)))))),IF(E211="Individual / HUF",INDEX('TDS Rates'!$I$6:$I$40,MATCH(G211,'TDS Rates'!$B$6:$B$40,0)),IF(E211="Company",INDEX('TDS Rates'!$J$6:$J$40,MATCH(G211,'TDS Rates'!$B$6:$B$40,0)),INDEX('TDS Rates'!$K$6:$K$40,MATCH(G211,'TDS Rates'!$B$6:$B$40,0))))),0))</f>
        <v/>
      </c>
      <c r="P211" s="34" t="str">
        <f aca="false">IF(OR(G211="",H211=""),"",ROUND(N211*O211,0))</f>
        <v/>
      </c>
      <c r="Q211" s="27" t="str">
        <f aca="false">IF(OR(G211="",H211=""),"",IFERROR(IF(INDEX('TDS Rates'!$E$6:$E$40,MATCH(G211,'TDS Rates'!$B$6:$B$40,0))="Form 141",EOMONTH(IF(R211="",B211,R211),0)+30,IF(MONTH(IF(R211="",B211,R211))=3,DATE(YEAR(IF(R211="",B211,R211)),4,30),DATE(YEAR(IF(R211="",B211,R211)),MONTH(IF(R211="",B211,R211))+1,7))),""))</f>
        <v/>
      </c>
      <c r="R211" s="17"/>
      <c r="S211" s="17"/>
      <c r="T211" s="5"/>
      <c r="U211" s="28" t="str">
        <f aca="false">IF(OR(G211="",H211=""),"",IF(P211=0,0,IF(IF(R211="",Settings!$C$9,R211)&lt;=B211,0,((YEAR(IF(R211="",Settings!$C$9,R211))-YEAR(B211))*12+MONTH(IF(R211="",Settings!$C$9,R211))-MONTH(B211)+1))))</f>
        <v/>
      </c>
      <c r="V211" s="29" t="str">
        <f aca="false">IF(OR(G211="",H211=""),"",ROUND(P211*Settings!$C$10*U211,0))</f>
        <v/>
      </c>
      <c r="W211" s="28" t="str">
        <f aca="false">IF(OR(G211="",H211=""),"",IF(OR(P211=0,R211=""),0,IF(IF(S211="",Settings!$C$9,S211)&lt;=Q211,0,((YEAR(IF(S211="",Settings!$C$9,S211))-YEAR(R211))*12+MONTH(IF(S211="",Settings!$C$9,S211))-MONTH(R211)+1))))</f>
        <v/>
      </c>
      <c r="X211" s="29" t="str">
        <f aca="false">IF(OR(G211="",H211=""),"",ROUND(P211*Settings!$C$11*W211,0))</f>
        <v/>
      </c>
      <c r="Y211" s="29" t="str">
        <f aca="false">IF(OR(G211="",H211=""),"",V211+X211)</f>
        <v/>
      </c>
      <c r="Z211" s="7" t="str">
        <f aca="false">IF(OR(G211="",H211=""),"",IF(P211=0,"Below threshold",IF(R211="","Not yet deducted",IF(S211="",IF(Settings!$C$9&gt;Q211,"Overdue — pay now","Deducted, due "&amp;TEXT(Q211,"dd-mmm")),IF(S211&lt;=Q211,IF(N(U211)&gt;0,"Deducted late, paid on time","Paid on time"),"Paid late")))))</f>
        <v/>
      </c>
      <c r="AA211" s="35" t="str">
        <f aca="false">IF(OR(G211="",H211=""),"",IF(D211&lt;&gt;"",UPPER(TRIM(D211)),UPPER(TRIM(C211))))</f>
        <v/>
      </c>
    </row>
    <row r="212" customFormat="false" ht="15" hidden="false" customHeight="false" outlineLevel="0" collapsed="false">
      <c r="B212" s="17"/>
      <c r="C212" s="5"/>
      <c r="D212" s="5"/>
      <c r="E212" s="5"/>
      <c r="F212" s="5"/>
      <c r="G212" s="5"/>
      <c r="H212" s="16"/>
      <c r="I212" s="7" t="str">
        <f aca="false">IF(OR(G212="",H212=""),"",IFERROR(INDEX('TDS Rates'!$D$6:$D$40,MATCH(G212,'TDS Rates'!$B$6:$B$40,0)),"Check nature"))</f>
        <v/>
      </c>
      <c r="J212" s="7" t="str">
        <f aca="false">IF(OR(G212="",H212=""),"",IFERROR(INDEX('TDS Rates'!$C$6:$C$40,MATCH(G212,'TDS Rates'!$B$6:$B$40,0)),""))</f>
        <v/>
      </c>
      <c r="K212" s="7" t="str">
        <f aca="false">IF(OR(G212="",H212=""),"",IFERROR(INDEX('TDS Rates'!$E$6:$E$40,MATCH(G212,'TDS Rates'!$B$6:$B$40,0)),""))</f>
        <v/>
      </c>
      <c r="L212" s="29" t="str">
        <f aca="false">IF(OR(G212="",H212=""),"",SUMIFS(H$6:H211,AA$6:AA211,AA212,G$6:G211,G212))</f>
        <v/>
      </c>
      <c r="M212" s="29" t="str">
        <f aca="false">IF(OR(G212="",H212=""),"",SUMIFS(H$6:H211,AA$6:AA211,AA212,G$6:G211,G212,N$6:N211,0))</f>
        <v/>
      </c>
      <c r="N212" s="29" t="str">
        <f aca="false">IF(OR(G212="",H212=""),"",IFERROR(IF(INDEX('TDS Rates'!$F$6:$F$40,MATCH(G212,'TDS Rates'!$B$6:$B$40,0))="NONE",H212,IF(INDEX('TDS Rates'!$F$6:$F$40,MATCH(G212,'TDS Rates'!$B$6:$B$40,0))="PER",IF(H212&gt;INDEX('TDS Rates'!$G$6:$G$40,MATCH(G212,'TDS Rates'!$B$6:$B$40,0)),H212,0),IF(INDEX('TDS Rates'!$F$6:$F$40,MATCH(G212,'TDS Rates'!$B$6:$B$40,0))="EXCESS",MAX(0,L212+H212-INDEX('TDS Rates'!$H$6:$H$40,MATCH(G212,'TDS Rates'!$B$6:$B$40,0)))-MAX(0,L212-INDEX('TDS Rates'!$H$6:$H$40,MATCH(G212,'TDS Rates'!$B$6:$B$40,0))),IF(INDEX('TDS Rates'!$F$6:$F$40,MATCH(G212,'TDS Rates'!$B$6:$B$40,0))="SA",IF(L212+H212&gt;INDEX('TDS Rates'!$H$6:$H$40,MATCH(G212,'TDS Rates'!$B$6:$B$40,0)),H212+M212,IF(H212&gt;INDEX('TDS Rates'!$G$6:$G$40,MATCH(G212,'TDS Rates'!$B$6:$B$40,0)),H212,0)),IF(L212+H212&gt;INDEX('TDS Rates'!$H$6:$H$40,MATCH(G212,'TDS Rates'!$B$6:$B$40,0)),H212+M212,0))))),0))</f>
        <v/>
      </c>
      <c r="O212" s="33" t="str">
        <f aca="false">IF(OR(G212="",H212=""),"",IFERROR(IF(F212="No",IF(INDEX('TDS Rates'!$C$6:$C$40,MATCH(G212,'TDS Rates'!$B$6:$B$40,0))="194Q",Settings!$C$14,MAX(Settings!$C$13,IF(E212="Individual / HUF",INDEX('TDS Rates'!$I$6:$I$40,MATCH(G212,'TDS Rates'!$B$6:$B$40,0)),IF(E212="Company",INDEX('TDS Rates'!$J$6:$J$40,MATCH(G212,'TDS Rates'!$B$6:$B$40,0)),INDEX('TDS Rates'!$K$6:$K$40,MATCH(G212,'TDS Rates'!$B$6:$B$40,0)))))),IF(E212="Individual / HUF",INDEX('TDS Rates'!$I$6:$I$40,MATCH(G212,'TDS Rates'!$B$6:$B$40,0)),IF(E212="Company",INDEX('TDS Rates'!$J$6:$J$40,MATCH(G212,'TDS Rates'!$B$6:$B$40,0)),INDEX('TDS Rates'!$K$6:$K$40,MATCH(G212,'TDS Rates'!$B$6:$B$40,0))))),0))</f>
        <v/>
      </c>
      <c r="P212" s="34" t="str">
        <f aca="false">IF(OR(G212="",H212=""),"",ROUND(N212*O212,0))</f>
        <v/>
      </c>
      <c r="Q212" s="27" t="str">
        <f aca="false">IF(OR(G212="",H212=""),"",IFERROR(IF(INDEX('TDS Rates'!$E$6:$E$40,MATCH(G212,'TDS Rates'!$B$6:$B$40,0))="Form 141",EOMONTH(IF(R212="",B212,R212),0)+30,IF(MONTH(IF(R212="",B212,R212))=3,DATE(YEAR(IF(R212="",B212,R212)),4,30),DATE(YEAR(IF(R212="",B212,R212)),MONTH(IF(R212="",B212,R212))+1,7))),""))</f>
        <v/>
      </c>
      <c r="R212" s="17"/>
      <c r="S212" s="17"/>
      <c r="T212" s="5"/>
      <c r="U212" s="28" t="str">
        <f aca="false">IF(OR(G212="",H212=""),"",IF(P212=0,0,IF(IF(R212="",Settings!$C$9,R212)&lt;=B212,0,((YEAR(IF(R212="",Settings!$C$9,R212))-YEAR(B212))*12+MONTH(IF(R212="",Settings!$C$9,R212))-MONTH(B212)+1))))</f>
        <v/>
      </c>
      <c r="V212" s="29" t="str">
        <f aca="false">IF(OR(G212="",H212=""),"",ROUND(P212*Settings!$C$10*U212,0))</f>
        <v/>
      </c>
      <c r="W212" s="28" t="str">
        <f aca="false">IF(OR(G212="",H212=""),"",IF(OR(P212=0,R212=""),0,IF(IF(S212="",Settings!$C$9,S212)&lt;=Q212,0,((YEAR(IF(S212="",Settings!$C$9,S212))-YEAR(R212))*12+MONTH(IF(S212="",Settings!$C$9,S212))-MONTH(R212)+1))))</f>
        <v/>
      </c>
      <c r="X212" s="29" t="str">
        <f aca="false">IF(OR(G212="",H212=""),"",ROUND(P212*Settings!$C$11*W212,0))</f>
        <v/>
      </c>
      <c r="Y212" s="29" t="str">
        <f aca="false">IF(OR(G212="",H212=""),"",V212+X212)</f>
        <v/>
      </c>
      <c r="Z212" s="7" t="str">
        <f aca="false">IF(OR(G212="",H212=""),"",IF(P212=0,"Below threshold",IF(R212="","Not yet deducted",IF(S212="",IF(Settings!$C$9&gt;Q212,"Overdue — pay now","Deducted, due "&amp;TEXT(Q212,"dd-mmm")),IF(S212&lt;=Q212,IF(N(U212)&gt;0,"Deducted late, paid on time","Paid on time"),"Paid late")))))</f>
        <v/>
      </c>
      <c r="AA212" s="35" t="str">
        <f aca="false">IF(OR(G212="",H212=""),"",IF(D212&lt;&gt;"",UPPER(TRIM(D212)),UPPER(TRIM(C212))))</f>
        <v/>
      </c>
    </row>
    <row r="213" customFormat="false" ht="15" hidden="false" customHeight="false" outlineLevel="0" collapsed="false">
      <c r="B213" s="17"/>
      <c r="C213" s="5"/>
      <c r="D213" s="5"/>
      <c r="E213" s="5"/>
      <c r="F213" s="5"/>
      <c r="G213" s="5"/>
      <c r="H213" s="16"/>
      <c r="I213" s="7" t="str">
        <f aca="false">IF(OR(G213="",H213=""),"",IFERROR(INDEX('TDS Rates'!$D$6:$D$40,MATCH(G213,'TDS Rates'!$B$6:$B$40,0)),"Check nature"))</f>
        <v/>
      </c>
      <c r="J213" s="7" t="str">
        <f aca="false">IF(OR(G213="",H213=""),"",IFERROR(INDEX('TDS Rates'!$C$6:$C$40,MATCH(G213,'TDS Rates'!$B$6:$B$40,0)),""))</f>
        <v/>
      </c>
      <c r="K213" s="7" t="str">
        <f aca="false">IF(OR(G213="",H213=""),"",IFERROR(INDEX('TDS Rates'!$E$6:$E$40,MATCH(G213,'TDS Rates'!$B$6:$B$40,0)),""))</f>
        <v/>
      </c>
      <c r="L213" s="29" t="str">
        <f aca="false">IF(OR(G213="",H213=""),"",SUMIFS(H$6:H212,AA$6:AA212,AA213,G$6:G212,G213))</f>
        <v/>
      </c>
      <c r="M213" s="29" t="str">
        <f aca="false">IF(OR(G213="",H213=""),"",SUMIFS(H$6:H212,AA$6:AA212,AA213,G$6:G212,G213,N$6:N212,0))</f>
        <v/>
      </c>
      <c r="N213" s="29" t="str">
        <f aca="false">IF(OR(G213="",H213=""),"",IFERROR(IF(INDEX('TDS Rates'!$F$6:$F$40,MATCH(G213,'TDS Rates'!$B$6:$B$40,0))="NONE",H213,IF(INDEX('TDS Rates'!$F$6:$F$40,MATCH(G213,'TDS Rates'!$B$6:$B$40,0))="PER",IF(H213&gt;INDEX('TDS Rates'!$G$6:$G$40,MATCH(G213,'TDS Rates'!$B$6:$B$40,0)),H213,0),IF(INDEX('TDS Rates'!$F$6:$F$40,MATCH(G213,'TDS Rates'!$B$6:$B$40,0))="EXCESS",MAX(0,L213+H213-INDEX('TDS Rates'!$H$6:$H$40,MATCH(G213,'TDS Rates'!$B$6:$B$40,0)))-MAX(0,L213-INDEX('TDS Rates'!$H$6:$H$40,MATCH(G213,'TDS Rates'!$B$6:$B$40,0))),IF(INDEX('TDS Rates'!$F$6:$F$40,MATCH(G213,'TDS Rates'!$B$6:$B$40,0))="SA",IF(L213+H213&gt;INDEX('TDS Rates'!$H$6:$H$40,MATCH(G213,'TDS Rates'!$B$6:$B$40,0)),H213+M213,IF(H213&gt;INDEX('TDS Rates'!$G$6:$G$40,MATCH(G213,'TDS Rates'!$B$6:$B$40,0)),H213,0)),IF(L213+H213&gt;INDEX('TDS Rates'!$H$6:$H$40,MATCH(G213,'TDS Rates'!$B$6:$B$40,0)),H213+M213,0))))),0))</f>
        <v/>
      </c>
      <c r="O213" s="33" t="str">
        <f aca="false">IF(OR(G213="",H213=""),"",IFERROR(IF(F213="No",IF(INDEX('TDS Rates'!$C$6:$C$40,MATCH(G213,'TDS Rates'!$B$6:$B$40,0))="194Q",Settings!$C$14,MAX(Settings!$C$13,IF(E213="Individual / HUF",INDEX('TDS Rates'!$I$6:$I$40,MATCH(G213,'TDS Rates'!$B$6:$B$40,0)),IF(E213="Company",INDEX('TDS Rates'!$J$6:$J$40,MATCH(G213,'TDS Rates'!$B$6:$B$40,0)),INDEX('TDS Rates'!$K$6:$K$40,MATCH(G213,'TDS Rates'!$B$6:$B$40,0)))))),IF(E213="Individual / HUF",INDEX('TDS Rates'!$I$6:$I$40,MATCH(G213,'TDS Rates'!$B$6:$B$40,0)),IF(E213="Company",INDEX('TDS Rates'!$J$6:$J$40,MATCH(G213,'TDS Rates'!$B$6:$B$40,0)),INDEX('TDS Rates'!$K$6:$K$40,MATCH(G213,'TDS Rates'!$B$6:$B$40,0))))),0))</f>
        <v/>
      </c>
      <c r="P213" s="34" t="str">
        <f aca="false">IF(OR(G213="",H213=""),"",ROUND(N213*O213,0))</f>
        <v/>
      </c>
      <c r="Q213" s="27" t="str">
        <f aca="false">IF(OR(G213="",H213=""),"",IFERROR(IF(INDEX('TDS Rates'!$E$6:$E$40,MATCH(G213,'TDS Rates'!$B$6:$B$40,0))="Form 141",EOMONTH(IF(R213="",B213,R213),0)+30,IF(MONTH(IF(R213="",B213,R213))=3,DATE(YEAR(IF(R213="",B213,R213)),4,30),DATE(YEAR(IF(R213="",B213,R213)),MONTH(IF(R213="",B213,R213))+1,7))),""))</f>
        <v/>
      </c>
      <c r="R213" s="17"/>
      <c r="S213" s="17"/>
      <c r="T213" s="5"/>
      <c r="U213" s="28" t="str">
        <f aca="false">IF(OR(G213="",H213=""),"",IF(P213=0,0,IF(IF(R213="",Settings!$C$9,R213)&lt;=B213,0,((YEAR(IF(R213="",Settings!$C$9,R213))-YEAR(B213))*12+MONTH(IF(R213="",Settings!$C$9,R213))-MONTH(B213)+1))))</f>
        <v/>
      </c>
      <c r="V213" s="29" t="str">
        <f aca="false">IF(OR(G213="",H213=""),"",ROUND(P213*Settings!$C$10*U213,0))</f>
        <v/>
      </c>
      <c r="W213" s="28" t="str">
        <f aca="false">IF(OR(G213="",H213=""),"",IF(OR(P213=0,R213=""),0,IF(IF(S213="",Settings!$C$9,S213)&lt;=Q213,0,((YEAR(IF(S213="",Settings!$C$9,S213))-YEAR(R213))*12+MONTH(IF(S213="",Settings!$C$9,S213))-MONTH(R213)+1))))</f>
        <v/>
      </c>
      <c r="X213" s="29" t="str">
        <f aca="false">IF(OR(G213="",H213=""),"",ROUND(P213*Settings!$C$11*W213,0))</f>
        <v/>
      </c>
      <c r="Y213" s="29" t="str">
        <f aca="false">IF(OR(G213="",H213=""),"",V213+X213)</f>
        <v/>
      </c>
      <c r="Z213" s="7" t="str">
        <f aca="false">IF(OR(G213="",H213=""),"",IF(P213=0,"Below threshold",IF(R213="","Not yet deducted",IF(S213="",IF(Settings!$C$9&gt;Q213,"Overdue — pay now","Deducted, due "&amp;TEXT(Q213,"dd-mmm")),IF(S213&lt;=Q213,IF(N(U213)&gt;0,"Deducted late, paid on time","Paid on time"),"Paid late")))))</f>
        <v/>
      </c>
      <c r="AA213" s="35" t="str">
        <f aca="false">IF(OR(G213="",H213=""),"",IF(D213&lt;&gt;"",UPPER(TRIM(D213)),UPPER(TRIM(C213))))</f>
        <v/>
      </c>
    </row>
    <row r="214" customFormat="false" ht="15" hidden="false" customHeight="false" outlineLevel="0" collapsed="false">
      <c r="B214" s="17"/>
      <c r="C214" s="5"/>
      <c r="D214" s="5"/>
      <c r="E214" s="5"/>
      <c r="F214" s="5"/>
      <c r="G214" s="5"/>
      <c r="H214" s="16"/>
      <c r="I214" s="7" t="str">
        <f aca="false">IF(OR(G214="",H214=""),"",IFERROR(INDEX('TDS Rates'!$D$6:$D$40,MATCH(G214,'TDS Rates'!$B$6:$B$40,0)),"Check nature"))</f>
        <v/>
      </c>
      <c r="J214" s="7" t="str">
        <f aca="false">IF(OR(G214="",H214=""),"",IFERROR(INDEX('TDS Rates'!$C$6:$C$40,MATCH(G214,'TDS Rates'!$B$6:$B$40,0)),""))</f>
        <v/>
      </c>
      <c r="K214" s="7" t="str">
        <f aca="false">IF(OR(G214="",H214=""),"",IFERROR(INDEX('TDS Rates'!$E$6:$E$40,MATCH(G214,'TDS Rates'!$B$6:$B$40,0)),""))</f>
        <v/>
      </c>
      <c r="L214" s="29" t="str">
        <f aca="false">IF(OR(G214="",H214=""),"",SUMIFS(H$6:H213,AA$6:AA213,AA214,G$6:G213,G214))</f>
        <v/>
      </c>
      <c r="M214" s="29" t="str">
        <f aca="false">IF(OR(G214="",H214=""),"",SUMIFS(H$6:H213,AA$6:AA213,AA214,G$6:G213,G214,N$6:N213,0))</f>
        <v/>
      </c>
      <c r="N214" s="29" t="str">
        <f aca="false">IF(OR(G214="",H214=""),"",IFERROR(IF(INDEX('TDS Rates'!$F$6:$F$40,MATCH(G214,'TDS Rates'!$B$6:$B$40,0))="NONE",H214,IF(INDEX('TDS Rates'!$F$6:$F$40,MATCH(G214,'TDS Rates'!$B$6:$B$40,0))="PER",IF(H214&gt;INDEX('TDS Rates'!$G$6:$G$40,MATCH(G214,'TDS Rates'!$B$6:$B$40,0)),H214,0),IF(INDEX('TDS Rates'!$F$6:$F$40,MATCH(G214,'TDS Rates'!$B$6:$B$40,0))="EXCESS",MAX(0,L214+H214-INDEX('TDS Rates'!$H$6:$H$40,MATCH(G214,'TDS Rates'!$B$6:$B$40,0)))-MAX(0,L214-INDEX('TDS Rates'!$H$6:$H$40,MATCH(G214,'TDS Rates'!$B$6:$B$40,0))),IF(INDEX('TDS Rates'!$F$6:$F$40,MATCH(G214,'TDS Rates'!$B$6:$B$40,0))="SA",IF(L214+H214&gt;INDEX('TDS Rates'!$H$6:$H$40,MATCH(G214,'TDS Rates'!$B$6:$B$40,0)),H214+M214,IF(H214&gt;INDEX('TDS Rates'!$G$6:$G$40,MATCH(G214,'TDS Rates'!$B$6:$B$40,0)),H214,0)),IF(L214+H214&gt;INDEX('TDS Rates'!$H$6:$H$40,MATCH(G214,'TDS Rates'!$B$6:$B$40,0)),H214+M214,0))))),0))</f>
        <v/>
      </c>
      <c r="O214" s="33" t="str">
        <f aca="false">IF(OR(G214="",H214=""),"",IFERROR(IF(F214="No",IF(INDEX('TDS Rates'!$C$6:$C$40,MATCH(G214,'TDS Rates'!$B$6:$B$40,0))="194Q",Settings!$C$14,MAX(Settings!$C$13,IF(E214="Individual / HUF",INDEX('TDS Rates'!$I$6:$I$40,MATCH(G214,'TDS Rates'!$B$6:$B$40,0)),IF(E214="Company",INDEX('TDS Rates'!$J$6:$J$40,MATCH(G214,'TDS Rates'!$B$6:$B$40,0)),INDEX('TDS Rates'!$K$6:$K$40,MATCH(G214,'TDS Rates'!$B$6:$B$40,0)))))),IF(E214="Individual / HUF",INDEX('TDS Rates'!$I$6:$I$40,MATCH(G214,'TDS Rates'!$B$6:$B$40,0)),IF(E214="Company",INDEX('TDS Rates'!$J$6:$J$40,MATCH(G214,'TDS Rates'!$B$6:$B$40,0)),INDEX('TDS Rates'!$K$6:$K$40,MATCH(G214,'TDS Rates'!$B$6:$B$40,0))))),0))</f>
        <v/>
      </c>
      <c r="P214" s="34" t="str">
        <f aca="false">IF(OR(G214="",H214=""),"",ROUND(N214*O214,0))</f>
        <v/>
      </c>
      <c r="Q214" s="27" t="str">
        <f aca="false">IF(OR(G214="",H214=""),"",IFERROR(IF(INDEX('TDS Rates'!$E$6:$E$40,MATCH(G214,'TDS Rates'!$B$6:$B$40,0))="Form 141",EOMONTH(IF(R214="",B214,R214),0)+30,IF(MONTH(IF(R214="",B214,R214))=3,DATE(YEAR(IF(R214="",B214,R214)),4,30),DATE(YEAR(IF(R214="",B214,R214)),MONTH(IF(R214="",B214,R214))+1,7))),""))</f>
        <v/>
      </c>
      <c r="R214" s="17"/>
      <c r="S214" s="17"/>
      <c r="T214" s="5"/>
      <c r="U214" s="28" t="str">
        <f aca="false">IF(OR(G214="",H214=""),"",IF(P214=0,0,IF(IF(R214="",Settings!$C$9,R214)&lt;=B214,0,((YEAR(IF(R214="",Settings!$C$9,R214))-YEAR(B214))*12+MONTH(IF(R214="",Settings!$C$9,R214))-MONTH(B214)+1))))</f>
        <v/>
      </c>
      <c r="V214" s="29" t="str">
        <f aca="false">IF(OR(G214="",H214=""),"",ROUND(P214*Settings!$C$10*U214,0))</f>
        <v/>
      </c>
      <c r="W214" s="28" t="str">
        <f aca="false">IF(OR(G214="",H214=""),"",IF(OR(P214=0,R214=""),0,IF(IF(S214="",Settings!$C$9,S214)&lt;=Q214,0,((YEAR(IF(S214="",Settings!$C$9,S214))-YEAR(R214))*12+MONTH(IF(S214="",Settings!$C$9,S214))-MONTH(R214)+1))))</f>
        <v/>
      </c>
      <c r="X214" s="29" t="str">
        <f aca="false">IF(OR(G214="",H214=""),"",ROUND(P214*Settings!$C$11*W214,0))</f>
        <v/>
      </c>
      <c r="Y214" s="29" t="str">
        <f aca="false">IF(OR(G214="",H214=""),"",V214+X214)</f>
        <v/>
      </c>
      <c r="Z214" s="7" t="str">
        <f aca="false">IF(OR(G214="",H214=""),"",IF(P214=0,"Below threshold",IF(R214="","Not yet deducted",IF(S214="",IF(Settings!$C$9&gt;Q214,"Overdue — pay now","Deducted, due "&amp;TEXT(Q214,"dd-mmm")),IF(S214&lt;=Q214,IF(N(U214)&gt;0,"Deducted late, paid on time","Paid on time"),"Paid late")))))</f>
        <v/>
      </c>
      <c r="AA214" s="35" t="str">
        <f aca="false">IF(OR(G214="",H214=""),"",IF(D214&lt;&gt;"",UPPER(TRIM(D214)),UPPER(TRIM(C214))))</f>
        <v/>
      </c>
    </row>
    <row r="215" customFormat="false" ht="15" hidden="false" customHeight="false" outlineLevel="0" collapsed="false">
      <c r="B215" s="17"/>
      <c r="C215" s="5"/>
      <c r="D215" s="5"/>
      <c r="E215" s="5"/>
      <c r="F215" s="5"/>
      <c r="G215" s="5"/>
      <c r="H215" s="16"/>
      <c r="I215" s="7" t="str">
        <f aca="false">IF(OR(G215="",H215=""),"",IFERROR(INDEX('TDS Rates'!$D$6:$D$40,MATCH(G215,'TDS Rates'!$B$6:$B$40,0)),"Check nature"))</f>
        <v/>
      </c>
      <c r="J215" s="7" t="str">
        <f aca="false">IF(OR(G215="",H215=""),"",IFERROR(INDEX('TDS Rates'!$C$6:$C$40,MATCH(G215,'TDS Rates'!$B$6:$B$40,0)),""))</f>
        <v/>
      </c>
      <c r="K215" s="7" t="str">
        <f aca="false">IF(OR(G215="",H215=""),"",IFERROR(INDEX('TDS Rates'!$E$6:$E$40,MATCH(G215,'TDS Rates'!$B$6:$B$40,0)),""))</f>
        <v/>
      </c>
      <c r="L215" s="29" t="str">
        <f aca="false">IF(OR(G215="",H215=""),"",SUMIFS(H$6:H214,AA$6:AA214,AA215,G$6:G214,G215))</f>
        <v/>
      </c>
      <c r="M215" s="29" t="str">
        <f aca="false">IF(OR(G215="",H215=""),"",SUMIFS(H$6:H214,AA$6:AA214,AA215,G$6:G214,G215,N$6:N214,0))</f>
        <v/>
      </c>
      <c r="N215" s="29" t="str">
        <f aca="false">IF(OR(G215="",H215=""),"",IFERROR(IF(INDEX('TDS Rates'!$F$6:$F$40,MATCH(G215,'TDS Rates'!$B$6:$B$40,0))="NONE",H215,IF(INDEX('TDS Rates'!$F$6:$F$40,MATCH(G215,'TDS Rates'!$B$6:$B$40,0))="PER",IF(H215&gt;INDEX('TDS Rates'!$G$6:$G$40,MATCH(G215,'TDS Rates'!$B$6:$B$40,0)),H215,0),IF(INDEX('TDS Rates'!$F$6:$F$40,MATCH(G215,'TDS Rates'!$B$6:$B$40,0))="EXCESS",MAX(0,L215+H215-INDEX('TDS Rates'!$H$6:$H$40,MATCH(G215,'TDS Rates'!$B$6:$B$40,0)))-MAX(0,L215-INDEX('TDS Rates'!$H$6:$H$40,MATCH(G215,'TDS Rates'!$B$6:$B$40,0))),IF(INDEX('TDS Rates'!$F$6:$F$40,MATCH(G215,'TDS Rates'!$B$6:$B$40,0))="SA",IF(L215+H215&gt;INDEX('TDS Rates'!$H$6:$H$40,MATCH(G215,'TDS Rates'!$B$6:$B$40,0)),H215+M215,IF(H215&gt;INDEX('TDS Rates'!$G$6:$G$40,MATCH(G215,'TDS Rates'!$B$6:$B$40,0)),H215,0)),IF(L215+H215&gt;INDEX('TDS Rates'!$H$6:$H$40,MATCH(G215,'TDS Rates'!$B$6:$B$40,0)),H215+M215,0))))),0))</f>
        <v/>
      </c>
      <c r="O215" s="33" t="str">
        <f aca="false">IF(OR(G215="",H215=""),"",IFERROR(IF(F215="No",IF(INDEX('TDS Rates'!$C$6:$C$40,MATCH(G215,'TDS Rates'!$B$6:$B$40,0))="194Q",Settings!$C$14,MAX(Settings!$C$13,IF(E215="Individual / HUF",INDEX('TDS Rates'!$I$6:$I$40,MATCH(G215,'TDS Rates'!$B$6:$B$40,0)),IF(E215="Company",INDEX('TDS Rates'!$J$6:$J$40,MATCH(G215,'TDS Rates'!$B$6:$B$40,0)),INDEX('TDS Rates'!$K$6:$K$40,MATCH(G215,'TDS Rates'!$B$6:$B$40,0)))))),IF(E215="Individual / HUF",INDEX('TDS Rates'!$I$6:$I$40,MATCH(G215,'TDS Rates'!$B$6:$B$40,0)),IF(E215="Company",INDEX('TDS Rates'!$J$6:$J$40,MATCH(G215,'TDS Rates'!$B$6:$B$40,0)),INDEX('TDS Rates'!$K$6:$K$40,MATCH(G215,'TDS Rates'!$B$6:$B$40,0))))),0))</f>
        <v/>
      </c>
      <c r="P215" s="34" t="str">
        <f aca="false">IF(OR(G215="",H215=""),"",ROUND(N215*O215,0))</f>
        <v/>
      </c>
      <c r="Q215" s="27" t="str">
        <f aca="false">IF(OR(G215="",H215=""),"",IFERROR(IF(INDEX('TDS Rates'!$E$6:$E$40,MATCH(G215,'TDS Rates'!$B$6:$B$40,0))="Form 141",EOMONTH(IF(R215="",B215,R215),0)+30,IF(MONTH(IF(R215="",B215,R215))=3,DATE(YEAR(IF(R215="",B215,R215)),4,30),DATE(YEAR(IF(R215="",B215,R215)),MONTH(IF(R215="",B215,R215))+1,7))),""))</f>
        <v/>
      </c>
      <c r="R215" s="17"/>
      <c r="S215" s="17"/>
      <c r="T215" s="5"/>
      <c r="U215" s="28" t="str">
        <f aca="false">IF(OR(G215="",H215=""),"",IF(P215=0,0,IF(IF(R215="",Settings!$C$9,R215)&lt;=B215,0,((YEAR(IF(R215="",Settings!$C$9,R215))-YEAR(B215))*12+MONTH(IF(R215="",Settings!$C$9,R215))-MONTH(B215)+1))))</f>
        <v/>
      </c>
      <c r="V215" s="29" t="str">
        <f aca="false">IF(OR(G215="",H215=""),"",ROUND(P215*Settings!$C$10*U215,0))</f>
        <v/>
      </c>
      <c r="W215" s="28" t="str">
        <f aca="false">IF(OR(G215="",H215=""),"",IF(OR(P215=0,R215=""),0,IF(IF(S215="",Settings!$C$9,S215)&lt;=Q215,0,((YEAR(IF(S215="",Settings!$C$9,S215))-YEAR(R215))*12+MONTH(IF(S215="",Settings!$C$9,S215))-MONTH(R215)+1))))</f>
        <v/>
      </c>
      <c r="X215" s="29" t="str">
        <f aca="false">IF(OR(G215="",H215=""),"",ROUND(P215*Settings!$C$11*W215,0))</f>
        <v/>
      </c>
      <c r="Y215" s="29" t="str">
        <f aca="false">IF(OR(G215="",H215=""),"",V215+X215)</f>
        <v/>
      </c>
      <c r="Z215" s="7" t="str">
        <f aca="false">IF(OR(G215="",H215=""),"",IF(P215=0,"Below threshold",IF(R215="","Not yet deducted",IF(S215="",IF(Settings!$C$9&gt;Q215,"Overdue — pay now","Deducted, due "&amp;TEXT(Q215,"dd-mmm")),IF(S215&lt;=Q215,IF(N(U215)&gt;0,"Deducted late, paid on time","Paid on time"),"Paid late")))))</f>
        <v/>
      </c>
      <c r="AA215" s="35" t="str">
        <f aca="false">IF(OR(G215="",H215=""),"",IF(D215&lt;&gt;"",UPPER(TRIM(D215)),UPPER(TRIM(C215))))</f>
        <v/>
      </c>
    </row>
    <row r="216" customFormat="false" ht="15" hidden="false" customHeight="false" outlineLevel="0" collapsed="false">
      <c r="B216" s="17"/>
      <c r="C216" s="5"/>
      <c r="D216" s="5"/>
      <c r="E216" s="5"/>
      <c r="F216" s="5"/>
      <c r="G216" s="5"/>
      <c r="H216" s="16"/>
      <c r="I216" s="7" t="str">
        <f aca="false">IF(OR(G216="",H216=""),"",IFERROR(INDEX('TDS Rates'!$D$6:$D$40,MATCH(G216,'TDS Rates'!$B$6:$B$40,0)),"Check nature"))</f>
        <v/>
      </c>
      <c r="J216" s="7" t="str">
        <f aca="false">IF(OR(G216="",H216=""),"",IFERROR(INDEX('TDS Rates'!$C$6:$C$40,MATCH(G216,'TDS Rates'!$B$6:$B$40,0)),""))</f>
        <v/>
      </c>
      <c r="K216" s="7" t="str">
        <f aca="false">IF(OR(G216="",H216=""),"",IFERROR(INDEX('TDS Rates'!$E$6:$E$40,MATCH(G216,'TDS Rates'!$B$6:$B$40,0)),""))</f>
        <v/>
      </c>
      <c r="L216" s="29" t="str">
        <f aca="false">IF(OR(G216="",H216=""),"",SUMIFS(H$6:H215,AA$6:AA215,AA216,G$6:G215,G216))</f>
        <v/>
      </c>
      <c r="M216" s="29" t="str">
        <f aca="false">IF(OR(G216="",H216=""),"",SUMIFS(H$6:H215,AA$6:AA215,AA216,G$6:G215,G216,N$6:N215,0))</f>
        <v/>
      </c>
      <c r="N216" s="29" t="str">
        <f aca="false">IF(OR(G216="",H216=""),"",IFERROR(IF(INDEX('TDS Rates'!$F$6:$F$40,MATCH(G216,'TDS Rates'!$B$6:$B$40,0))="NONE",H216,IF(INDEX('TDS Rates'!$F$6:$F$40,MATCH(G216,'TDS Rates'!$B$6:$B$40,0))="PER",IF(H216&gt;INDEX('TDS Rates'!$G$6:$G$40,MATCH(G216,'TDS Rates'!$B$6:$B$40,0)),H216,0),IF(INDEX('TDS Rates'!$F$6:$F$40,MATCH(G216,'TDS Rates'!$B$6:$B$40,0))="EXCESS",MAX(0,L216+H216-INDEX('TDS Rates'!$H$6:$H$40,MATCH(G216,'TDS Rates'!$B$6:$B$40,0)))-MAX(0,L216-INDEX('TDS Rates'!$H$6:$H$40,MATCH(G216,'TDS Rates'!$B$6:$B$40,0))),IF(INDEX('TDS Rates'!$F$6:$F$40,MATCH(G216,'TDS Rates'!$B$6:$B$40,0))="SA",IF(L216+H216&gt;INDEX('TDS Rates'!$H$6:$H$40,MATCH(G216,'TDS Rates'!$B$6:$B$40,0)),H216+M216,IF(H216&gt;INDEX('TDS Rates'!$G$6:$G$40,MATCH(G216,'TDS Rates'!$B$6:$B$40,0)),H216,0)),IF(L216+H216&gt;INDEX('TDS Rates'!$H$6:$H$40,MATCH(G216,'TDS Rates'!$B$6:$B$40,0)),H216+M216,0))))),0))</f>
        <v/>
      </c>
      <c r="O216" s="33" t="str">
        <f aca="false">IF(OR(G216="",H216=""),"",IFERROR(IF(F216="No",IF(INDEX('TDS Rates'!$C$6:$C$40,MATCH(G216,'TDS Rates'!$B$6:$B$40,0))="194Q",Settings!$C$14,MAX(Settings!$C$13,IF(E216="Individual / HUF",INDEX('TDS Rates'!$I$6:$I$40,MATCH(G216,'TDS Rates'!$B$6:$B$40,0)),IF(E216="Company",INDEX('TDS Rates'!$J$6:$J$40,MATCH(G216,'TDS Rates'!$B$6:$B$40,0)),INDEX('TDS Rates'!$K$6:$K$40,MATCH(G216,'TDS Rates'!$B$6:$B$40,0)))))),IF(E216="Individual / HUF",INDEX('TDS Rates'!$I$6:$I$40,MATCH(G216,'TDS Rates'!$B$6:$B$40,0)),IF(E216="Company",INDEX('TDS Rates'!$J$6:$J$40,MATCH(G216,'TDS Rates'!$B$6:$B$40,0)),INDEX('TDS Rates'!$K$6:$K$40,MATCH(G216,'TDS Rates'!$B$6:$B$40,0))))),0))</f>
        <v/>
      </c>
      <c r="P216" s="34" t="str">
        <f aca="false">IF(OR(G216="",H216=""),"",ROUND(N216*O216,0))</f>
        <v/>
      </c>
      <c r="Q216" s="27" t="str">
        <f aca="false">IF(OR(G216="",H216=""),"",IFERROR(IF(INDEX('TDS Rates'!$E$6:$E$40,MATCH(G216,'TDS Rates'!$B$6:$B$40,0))="Form 141",EOMONTH(IF(R216="",B216,R216),0)+30,IF(MONTH(IF(R216="",B216,R216))=3,DATE(YEAR(IF(R216="",B216,R216)),4,30),DATE(YEAR(IF(R216="",B216,R216)),MONTH(IF(R216="",B216,R216))+1,7))),""))</f>
        <v/>
      </c>
      <c r="R216" s="17"/>
      <c r="S216" s="17"/>
      <c r="T216" s="5"/>
      <c r="U216" s="28" t="str">
        <f aca="false">IF(OR(G216="",H216=""),"",IF(P216=0,0,IF(IF(R216="",Settings!$C$9,R216)&lt;=B216,0,((YEAR(IF(R216="",Settings!$C$9,R216))-YEAR(B216))*12+MONTH(IF(R216="",Settings!$C$9,R216))-MONTH(B216)+1))))</f>
        <v/>
      </c>
      <c r="V216" s="29" t="str">
        <f aca="false">IF(OR(G216="",H216=""),"",ROUND(P216*Settings!$C$10*U216,0))</f>
        <v/>
      </c>
      <c r="W216" s="28" t="str">
        <f aca="false">IF(OR(G216="",H216=""),"",IF(OR(P216=0,R216=""),0,IF(IF(S216="",Settings!$C$9,S216)&lt;=Q216,0,((YEAR(IF(S216="",Settings!$C$9,S216))-YEAR(R216))*12+MONTH(IF(S216="",Settings!$C$9,S216))-MONTH(R216)+1))))</f>
        <v/>
      </c>
      <c r="X216" s="29" t="str">
        <f aca="false">IF(OR(G216="",H216=""),"",ROUND(P216*Settings!$C$11*W216,0))</f>
        <v/>
      </c>
      <c r="Y216" s="29" t="str">
        <f aca="false">IF(OR(G216="",H216=""),"",V216+X216)</f>
        <v/>
      </c>
      <c r="Z216" s="7" t="str">
        <f aca="false">IF(OR(G216="",H216=""),"",IF(P216=0,"Below threshold",IF(R216="","Not yet deducted",IF(S216="",IF(Settings!$C$9&gt;Q216,"Overdue — pay now","Deducted, due "&amp;TEXT(Q216,"dd-mmm")),IF(S216&lt;=Q216,IF(N(U216)&gt;0,"Deducted late, paid on time","Paid on time"),"Paid late")))))</f>
        <v/>
      </c>
      <c r="AA216" s="35" t="str">
        <f aca="false">IF(OR(G216="",H216=""),"",IF(D216&lt;&gt;"",UPPER(TRIM(D216)),UPPER(TRIM(C216))))</f>
        <v/>
      </c>
    </row>
    <row r="217" customFormat="false" ht="15" hidden="false" customHeight="false" outlineLevel="0" collapsed="false">
      <c r="B217" s="17"/>
      <c r="C217" s="5"/>
      <c r="D217" s="5"/>
      <c r="E217" s="5"/>
      <c r="F217" s="5"/>
      <c r="G217" s="5"/>
      <c r="H217" s="16"/>
      <c r="I217" s="7" t="str">
        <f aca="false">IF(OR(G217="",H217=""),"",IFERROR(INDEX('TDS Rates'!$D$6:$D$40,MATCH(G217,'TDS Rates'!$B$6:$B$40,0)),"Check nature"))</f>
        <v/>
      </c>
      <c r="J217" s="7" t="str">
        <f aca="false">IF(OR(G217="",H217=""),"",IFERROR(INDEX('TDS Rates'!$C$6:$C$40,MATCH(G217,'TDS Rates'!$B$6:$B$40,0)),""))</f>
        <v/>
      </c>
      <c r="K217" s="7" t="str">
        <f aca="false">IF(OR(G217="",H217=""),"",IFERROR(INDEX('TDS Rates'!$E$6:$E$40,MATCH(G217,'TDS Rates'!$B$6:$B$40,0)),""))</f>
        <v/>
      </c>
      <c r="L217" s="29" t="str">
        <f aca="false">IF(OR(G217="",H217=""),"",SUMIFS(H$6:H216,AA$6:AA216,AA217,G$6:G216,G217))</f>
        <v/>
      </c>
      <c r="M217" s="29" t="str">
        <f aca="false">IF(OR(G217="",H217=""),"",SUMIFS(H$6:H216,AA$6:AA216,AA217,G$6:G216,G217,N$6:N216,0))</f>
        <v/>
      </c>
      <c r="N217" s="29" t="str">
        <f aca="false">IF(OR(G217="",H217=""),"",IFERROR(IF(INDEX('TDS Rates'!$F$6:$F$40,MATCH(G217,'TDS Rates'!$B$6:$B$40,0))="NONE",H217,IF(INDEX('TDS Rates'!$F$6:$F$40,MATCH(G217,'TDS Rates'!$B$6:$B$40,0))="PER",IF(H217&gt;INDEX('TDS Rates'!$G$6:$G$40,MATCH(G217,'TDS Rates'!$B$6:$B$40,0)),H217,0),IF(INDEX('TDS Rates'!$F$6:$F$40,MATCH(G217,'TDS Rates'!$B$6:$B$40,0))="EXCESS",MAX(0,L217+H217-INDEX('TDS Rates'!$H$6:$H$40,MATCH(G217,'TDS Rates'!$B$6:$B$40,0)))-MAX(0,L217-INDEX('TDS Rates'!$H$6:$H$40,MATCH(G217,'TDS Rates'!$B$6:$B$40,0))),IF(INDEX('TDS Rates'!$F$6:$F$40,MATCH(G217,'TDS Rates'!$B$6:$B$40,0))="SA",IF(L217+H217&gt;INDEX('TDS Rates'!$H$6:$H$40,MATCH(G217,'TDS Rates'!$B$6:$B$40,0)),H217+M217,IF(H217&gt;INDEX('TDS Rates'!$G$6:$G$40,MATCH(G217,'TDS Rates'!$B$6:$B$40,0)),H217,0)),IF(L217+H217&gt;INDEX('TDS Rates'!$H$6:$H$40,MATCH(G217,'TDS Rates'!$B$6:$B$40,0)),H217+M217,0))))),0))</f>
        <v/>
      </c>
      <c r="O217" s="33" t="str">
        <f aca="false">IF(OR(G217="",H217=""),"",IFERROR(IF(F217="No",IF(INDEX('TDS Rates'!$C$6:$C$40,MATCH(G217,'TDS Rates'!$B$6:$B$40,0))="194Q",Settings!$C$14,MAX(Settings!$C$13,IF(E217="Individual / HUF",INDEX('TDS Rates'!$I$6:$I$40,MATCH(G217,'TDS Rates'!$B$6:$B$40,0)),IF(E217="Company",INDEX('TDS Rates'!$J$6:$J$40,MATCH(G217,'TDS Rates'!$B$6:$B$40,0)),INDEX('TDS Rates'!$K$6:$K$40,MATCH(G217,'TDS Rates'!$B$6:$B$40,0)))))),IF(E217="Individual / HUF",INDEX('TDS Rates'!$I$6:$I$40,MATCH(G217,'TDS Rates'!$B$6:$B$40,0)),IF(E217="Company",INDEX('TDS Rates'!$J$6:$J$40,MATCH(G217,'TDS Rates'!$B$6:$B$40,0)),INDEX('TDS Rates'!$K$6:$K$40,MATCH(G217,'TDS Rates'!$B$6:$B$40,0))))),0))</f>
        <v/>
      </c>
      <c r="P217" s="34" t="str">
        <f aca="false">IF(OR(G217="",H217=""),"",ROUND(N217*O217,0))</f>
        <v/>
      </c>
      <c r="Q217" s="27" t="str">
        <f aca="false">IF(OR(G217="",H217=""),"",IFERROR(IF(INDEX('TDS Rates'!$E$6:$E$40,MATCH(G217,'TDS Rates'!$B$6:$B$40,0))="Form 141",EOMONTH(IF(R217="",B217,R217),0)+30,IF(MONTH(IF(R217="",B217,R217))=3,DATE(YEAR(IF(R217="",B217,R217)),4,30),DATE(YEAR(IF(R217="",B217,R217)),MONTH(IF(R217="",B217,R217))+1,7))),""))</f>
        <v/>
      </c>
      <c r="R217" s="17"/>
      <c r="S217" s="17"/>
      <c r="T217" s="5"/>
      <c r="U217" s="28" t="str">
        <f aca="false">IF(OR(G217="",H217=""),"",IF(P217=0,0,IF(IF(R217="",Settings!$C$9,R217)&lt;=B217,0,((YEAR(IF(R217="",Settings!$C$9,R217))-YEAR(B217))*12+MONTH(IF(R217="",Settings!$C$9,R217))-MONTH(B217)+1))))</f>
        <v/>
      </c>
      <c r="V217" s="29" t="str">
        <f aca="false">IF(OR(G217="",H217=""),"",ROUND(P217*Settings!$C$10*U217,0))</f>
        <v/>
      </c>
      <c r="W217" s="28" t="str">
        <f aca="false">IF(OR(G217="",H217=""),"",IF(OR(P217=0,R217=""),0,IF(IF(S217="",Settings!$C$9,S217)&lt;=Q217,0,((YEAR(IF(S217="",Settings!$C$9,S217))-YEAR(R217))*12+MONTH(IF(S217="",Settings!$C$9,S217))-MONTH(R217)+1))))</f>
        <v/>
      </c>
      <c r="X217" s="29" t="str">
        <f aca="false">IF(OR(G217="",H217=""),"",ROUND(P217*Settings!$C$11*W217,0))</f>
        <v/>
      </c>
      <c r="Y217" s="29" t="str">
        <f aca="false">IF(OR(G217="",H217=""),"",V217+X217)</f>
        <v/>
      </c>
      <c r="Z217" s="7" t="str">
        <f aca="false">IF(OR(G217="",H217=""),"",IF(P217=0,"Below threshold",IF(R217="","Not yet deducted",IF(S217="",IF(Settings!$C$9&gt;Q217,"Overdue — pay now","Deducted, due "&amp;TEXT(Q217,"dd-mmm")),IF(S217&lt;=Q217,IF(N(U217)&gt;0,"Deducted late, paid on time","Paid on time"),"Paid late")))))</f>
        <v/>
      </c>
      <c r="AA217" s="35" t="str">
        <f aca="false">IF(OR(G217="",H217=""),"",IF(D217&lt;&gt;"",UPPER(TRIM(D217)),UPPER(TRIM(C217))))</f>
        <v/>
      </c>
    </row>
    <row r="218" customFormat="false" ht="15" hidden="false" customHeight="false" outlineLevel="0" collapsed="false">
      <c r="B218" s="17"/>
      <c r="C218" s="5"/>
      <c r="D218" s="5"/>
      <c r="E218" s="5"/>
      <c r="F218" s="5"/>
      <c r="G218" s="5"/>
      <c r="H218" s="16"/>
      <c r="I218" s="7" t="str">
        <f aca="false">IF(OR(G218="",H218=""),"",IFERROR(INDEX('TDS Rates'!$D$6:$D$40,MATCH(G218,'TDS Rates'!$B$6:$B$40,0)),"Check nature"))</f>
        <v/>
      </c>
      <c r="J218" s="7" t="str">
        <f aca="false">IF(OR(G218="",H218=""),"",IFERROR(INDEX('TDS Rates'!$C$6:$C$40,MATCH(G218,'TDS Rates'!$B$6:$B$40,0)),""))</f>
        <v/>
      </c>
      <c r="K218" s="7" t="str">
        <f aca="false">IF(OR(G218="",H218=""),"",IFERROR(INDEX('TDS Rates'!$E$6:$E$40,MATCH(G218,'TDS Rates'!$B$6:$B$40,0)),""))</f>
        <v/>
      </c>
      <c r="L218" s="29" t="str">
        <f aca="false">IF(OR(G218="",H218=""),"",SUMIFS(H$6:H217,AA$6:AA217,AA218,G$6:G217,G218))</f>
        <v/>
      </c>
      <c r="M218" s="29" t="str">
        <f aca="false">IF(OR(G218="",H218=""),"",SUMIFS(H$6:H217,AA$6:AA217,AA218,G$6:G217,G218,N$6:N217,0))</f>
        <v/>
      </c>
      <c r="N218" s="29" t="str">
        <f aca="false">IF(OR(G218="",H218=""),"",IFERROR(IF(INDEX('TDS Rates'!$F$6:$F$40,MATCH(G218,'TDS Rates'!$B$6:$B$40,0))="NONE",H218,IF(INDEX('TDS Rates'!$F$6:$F$40,MATCH(G218,'TDS Rates'!$B$6:$B$40,0))="PER",IF(H218&gt;INDEX('TDS Rates'!$G$6:$G$40,MATCH(G218,'TDS Rates'!$B$6:$B$40,0)),H218,0),IF(INDEX('TDS Rates'!$F$6:$F$40,MATCH(G218,'TDS Rates'!$B$6:$B$40,0))="EXCESS",MAX(0,L218+H218-INDEX('TDS Rates'!$H$6:$H$40,MATCH(G218,'TDS Rates'!$B$6:$B$40,0)))-MAX(0,L218-INDEX('TDS Rates'!$H$6:$H$40,MATCH(G218,'TDS Rates'!$B$6:$B$40,0))),IF(INDEX('TDS Rates'!$F$6:$F$40,MATCH(G218,'TDS Rates'!$B$6:$B$40,0))="SA",IF(L218+H218&gt;INDEX('TDS Rates'!$H$6:$H$40,MATCH(G218,'TDS Rates'!$B$6:$B$40,0)),H218+M218,IF(H218&gt;INDEX('TDS Rates'!$G$6:$G$40,MATCH(G218,'TDS Rates'!$B$6:$B$40,0)),H218,0)),IF(L218+H218&gt;INDEX('TDS Rates'!$H$6:$H$40,MATCH(G218,'TDS Rates'!$B$6:$B$40,0)),H218+M218,0))))),0))</f>
        <v/>
      </c>
      <c r="O218" s="33" t="str">
        <f aca="false">IF(OR(G218="",H218=""),"",IFERROR(IF(F218="No",IF(INDEX('TDS Rates'!$C$6:$C$40,MATCH(G218,'TDS Rates'!$B$6:$B$40,0))="194Q",Settings!$C$14,MAX(Settings!$C$13,IF(E218="Individual / HUF",INDEX('TDS Rates'!$I$6:$I$40,MATCH(G218,'TDS Rates'!$B$6:$B$40,0)),IF(E218="Company",INDEX('TDS Rates'!$J$6:$J$40,MATCH(G218,'TDS Rates'!$B$6:$B$40,0)),INDEX('TDS Rates'!$K$6:$K$40,MATCH(G218,'TDS Rates'!$B$6:$B$40,0)))))),IF(E218="Individual / HUF",INDEX('TDS Rates'!$I$6:$I$40,MATCH(G218,'TDS Rates'!$B$6:$B$40,0)),IF(E218="Company",INDEX('TDS Rates'!$J$6:$J$40,MATCH(G218,'TDS Rates'!$B$6:$B$40,0)),INDEX('TDS Rates'!$K$6:$K$40,MATCH(G218,'TDS Rates'!$B$6:$B$40,0))))),0))</f>
        <v/>
      </c>
      <c r="P218" s="34" t="str">
        <f aca="false">IF(OR(G218="",H218=""),"",ROUND(N218*O218,0))</f>
        <v/>
      </c>
      <c r="Q218" s="27" t="str">
        <f aca="false">IF(OR(G218="",H218=""),"",IFERROR(IF(INDEX('TDS Rates'!$E$6:$E$40,MATCH(G218,'TDS Rates'!$B$6:$B$40,0))="Form 141",EOMONTH(IF(R218="",B218,R218),0)+30,IF(MONTH(IF(R218="",B218,R218))=3,DATE(YEAR(IF(R218="",B218,R218)),4,30),DATE(YEAR(IF(R218="",B218,R218)),MONTH(IF(R218="",B218,R218))+1,7))),""))</f>
        <v/>
      </c>
      <c r="R218" s="17"/>
      <c r="S218" s="17"/>
      <c r="T218" s="5"/>
      <c r="U218" s="28" t="str">
        <f aca="false">IF(OR(G218="",H218=""),"",IF(P218=0,0,IF(IF(R218="",Settings!$C$9,R218)&lt;=B218,0,((YEAR(IF(R218="",Settings!$C$9,R218))-YEAR(B218))*12+MONTH(IF(R218="",Settings!$C$9,R218))-MONTH(B218)+1))))</f>
        <v/>
      </c>
      <c r="V218" s="29" t="str">
        <f aca="false">IF(OR(G218="",H218=""),"",ROUND(P218*Settings!$C$10*U218,0))</f>
        <v/>
      </c>
      <c r="W218" s="28" t="str">
        <f aca="false">IF(OR(G218="",H218=""),"",IF(OR(P218=0,R218=""),0,IF(IF(S218="",Settings!$C$9,S218)&lt;=Q218,0,((YEAR(IF(S218="",Settings!$C$9,S218))-YEAR(R218))*12+MONTH(IF(S218="",Settings!$C$9,S218))-MONTH(R218)+1))))</f>
        <v/>
      </c>
      <c r="X218" s="29" t="str">
        <f aca="false">IF(OR(G218="",H218=""),"",ROUND(P218*Settings!$C$11*W218,0))</f>
        <v/>
      </c>
      <c r="Y218" s="29" t="str">
        <f aca="false">IF(OR(G218="",H218=""),"",V218+X218)</f>
        <v/>
      </c>
      <c r="Z218" s="7" t="str">
        <f aca="false">IF(OR(G218="",H218=""),"",IF(P218=0,"Below threshold",IF(R218="","Not yet deducted",IF(S218="",IF(Settings!$C$9&gt;Q218,"Overdue — pay now","Deducted, due "&amp;TEXT(Q218,"dd-mmm")),IF(S218&lt;=Q218,IF(N(U218)&gt;0,"Deducted late, paid on time","Paid on time"),"Paid late")))))</f>
        <v/>
      </c>
      <c r="AA218" s="35" t="str">
        <f aca="false">IF(OR(G218="",H218=""),"",IF(D218&lt;&gt;"",UPPER(TRIM(D218)),UPPER(TRIM(C218))))</f>
        <v/>
      </c>
    </row>
    <row r="219" customFormat="false" ht="15" hidden="false" customHeight="false" outlineLevel="0" collapsed="false">
      <c r="B219" s="17"/>
      <c r="C219" s="5"/>
      <c r="D219" s="5"/>
      <c r="E219" s="5"/>
      <c r="F219" s="5"/>
      <c r="G219" s="5"/>
      <c r="H219" s="16"/>
      <c r="I219" s="7" t="str">
        <f aca="false">IF(OR(G219="",H219=""),"",IFERROR(INDEX('TDS Rates'!$D$6:$D$40,MATCH(G219,'TDS Rates'!$B$6:$B$40,0)),"Check nature"))</f>
        <v/>
      </c>
      <c r="J219" s="7" t="str">
        <f aca="false">IF(OR(G219="",H219=""),"",IFERROR(INDEX('TDS Rates'!$C$6:$C$40,MATCH(G219,'TDS Rates'!$B$6:$B$40,0)),""))</f>
        <v/>
      </c>
      <c r="K219" s="7" t="str">
        <f aca="false">IF(OR(G219="",H219=""),"",IFERROR(INDEX('TDS Rates'!$E$6:$E$40,MATCH(G219,'TDS Rates'!$B$6:$B$40,0)),""))</f>
        <v/>
      </c>
      <c r="L219" s="29" t="str">
        <f aca="false">IF(OR(G219="",H219=""),"",SUMIFS(H$6:H218,AA$6:AA218,AA219,G$6:G218,G219))</f>
        <v/>
      </c>
      <c r="M219" s="29" t="str">
        <f aca="false">IF(OR(G219="",H219=""),"",SUMIFS(H$6:H218,AA$6:AA218,AA219,G$6:G218,G219,N$6:N218,0))</f>
        <v/>
      </c>
      <c r="N219" s="29" t="str">
        <f aca="false">IF(OR(G219="",H219=""),"",IFERROR(IF(INDEX('TDS Rates'!$F$6:$F$40,MATCH(G219,'TDS Rates'!$B$6:$B$40,0))="NONE",H219,IF(INDEX('TDS Rates'!$F$6:$F$40,MATCH(G219,'TDS Rates'!$B$6:$B$40,0))="PER",IF(H219&gt;INDEX('TDS Rates'!$G$6:$G$40,MATCH(G219,'TDS Rates'!$B$6:$B$40,0)),H219,0),IF(INDEX('TDS Rates'!$F$6:$F$40,MATCH(G219,'TDS Rates'!$B$6:$B$40,0))="EXCESS",MAX(0,L219+H219-INDEX('TDS Rates'!$H$6:$H$40,MATCH(G219,'TDS Rates'!$B$6:$B$40,0)))-MAX(0,L219-INDEX('TDS Rates'!$H$6:$H$40,MATCH(G219,'TDS Rates'!$B$6:$B$40,0))),IF(INDEX('TDS Rates'!$F$6:$F$40,MATCH(G219,'TDS Rates'!$B$6:$B$40,0))="SA",IF(L219+H219&gt;INDEX('TDS Rates'!$H$6:$H$40,MATCH(G219,'TDS Rates'!$B$6:$B$40,0)),H219+M219,IF(H219&gt;INDEX('TDS Rates'!$G$6:$G$40,MATCH(G219,'TDS Rates'!$B$6:$B$40,0)),H219,0)),IF(L219+H219&gt;INDEX('TDS Rates'!$H$6:$H$40,MATCH(G219,'TDS Rates'!$B$6:$B$40,0)),H219+M219,0))))),0))</f>
        <v/>
      </c>
      <c r="O219" s="33" t="str">
        <f aca="false">IF(OR(G219="",H219=""),"",IFERROR(IF(F219="No",IF(INDEX('TDS Rates'!$C$6:$C$40,MATCH(G219,'TDS Rates'!$B$6:$B$40,0))="194Q",Settings!$C$14,MAX(Settings!$C$13,IF(E219="Individual / HUF",INDEX('TDS Rates'!$I$6:$I$40,MATCH(G219,'TDS Rates'!$B$6:$B$40,0)),IF(E219="Company",INDEX('TDS Rates'!$J$6:$J$40,MATCH(G219,'TDS Rates'!$B$6:$B$40,0)),INDEX('TDS Rates'!$K$6:$K$40,MATCH(G219,'TDS Rates'!$B$6:$B$40,0)))))),IF(E219="Individual / HUF",INDEX('TDS Rates'!$I$6:$I$40,MATCH(G219,'TDS Rates'!$B$6:$B$40,0)),IF(E219="Company",INDEX('TDS Rates'!$J$6:$J$40,MATCH(G219,'TDS Rates'!$B$6:$B$40,0)),INDEX('TDS Rates'!$K$6:$K$40,MATCH(G219,'TDS Rates'!$B$6:$B$40,0))))),0))</f>
        <v/>
      </c>
      <c r="P219" s="34" t="str">
        <f aca="false">IF(OR(G219="",H219=""),"",ROUND(N219*O219,0))</f>
        <v/>
      </c>
      <c r="Q219" s="27" t="str">
        <f aca="false">IF(OR(G219="",H219=""),"",IFERROR(IF(INDEX('TDS Rates'!$E$6:$E$40,MATCH(G219,'TDS Rates'!$B$6:$B$40,0))="Form 141",EOMONTH(IF(R219="",B219,R219),0)+30,IF(MONTH(IF(R219="",B219,R219))=3,DATE(YEAR(IF(R219="",B219,R219)),4,30),DATE(YEAR(IF(R219="",B219,R219)),MONTH(IF(R219="",B219,R219))+1,7))),""))</f>
        <v/>
      </c>
      <c r="R219" s="17"/>
      <c r="S219" s="17"/>
      <c r="T219" s="5"/>
      <c r="U219" s="28" t="str">
        <f aca="false">IF(OR(G219="",H219=""),"",IF(P219=0,0,IF(IF(R219="",Settings!$C$9,R219)&lt;=B219,0,((YEAR(IF(R219="",Settings!$C$9,R219))-YEAR(B219))*12+MONTH(IF(R219="",Settings!$C$9,R219))-MONTH(B219)+1))))</f>
        <v/>
      </c>
      <c r="V219" s="29" t="str">
        <f aca="false">IF(OR(G219="",H219=""),"",ROUND(P219*Settings!$C$10*U219,0))</f>
        <v/>
      </c>
      <c r="W219" s="28" t="str">
        <f aca="false">IF(OR(G219="",H219=""),"",IF(OR(P219=0,R219=""),0,IF(IF(S219="",Settings!$C$9,S219)&lt;=Q219,0,((YEAR(IF(S219="",Settings!$C$9,S219))-YEAR(R219))*12+MONTH(IF(S219="",Settings!$C$9,S219))-MONTH(R219)+1))))</f>
        <v/>
      </c>
      <c r="X219" s="29" t="str">
        <f aca="false">IF(OR(G219="",H219=""),"",ROUND(P219*Settings!$C$11*W219,0))</f>
        <v/>
      </c>
      <c r="Y219" s="29" t="str">
        <f aca="false">IF(OR(G219="",H219=""),"",V219+X219)</f>
        <v/>
      </c>
      <c r="Z219" s="7" t="str">
        <f aca="false">IF(OR(G219="",H219=""),"",IF(P219=0,"Below threshold",IF(R219="","Not yet deducted",IF(S219="",IF(Settings!$C$9&gt;Q219,"Overdue — pay now","Deducted, due "&amp;TEXT(Q219,"dd-mmm")),IF(S219&lt;=Q219,IF(N(U219)&gt;0,"Deducted late, paid on time","Paid on time"),"Paid late")))))</f>
        <v/>
      </c>
      <c r="AA219" s="35" t="str">
        <f aca="false">IF(OR(G219="",H219=""),"",IF(D219&lt;&gt;"",UPPER(TRIM(D219)),UPPER(TRIM(C219))))</f>
        <v/>
      </c>
    </row>
    <row r="220" customFormat="false" ht="15" hidden="false" customHeight="false" outlineLevel="0" collapsed="false">
      <c r="B220" s="17"/>
      <c r="C220" s="5"/>
      <c r="D220" s="5"/>
      <c r="E220" s="5"/>
      <c r="F220" s="5"/>
      <c r="G220" s="5"/>
      <c r="H220" s="16"/>
      <c r="I220" s="7" t="str">
        <f aca="false">IF(OR(G220="",H220=""),"",IFERROR(INDEX('TDS Rates'!$D$6:$D$40,MATCH(G220,'TDS Rates'!$B$6:$B$40,0)),"Check nature"))</f>
        <v/>
      </c>
      <c r="J220" s="7" t="str">
        <f aca="false">IF(OR(G220="",H220=""),"",IFERROR(INDEX('TDS Rates'!$C$6:$C$40,MATCH(G220,'TDS Rates'!$B$6:$B$40,0)),""))</f>
        <v/>
      </c>
      <c r="K220" s="7" t="str">
        <f aca="false">IF(OR(G220="",H220=""),"",IFERROR(INDEX('TDS Rates'!$E$6:$E$40,MATCH(G220,'TDS Rates'!$B$6:$B$40,0)),""))</f>
        <v/>
      </c>
      <c r="L220" s="29" t="str">
        <f aca="false">IF(OR(G220="",H220=""),"",SUMIFS(H$6:H219,AA$6:AA219,AA220,G$6:G219,G220))</f>
        <v/>
      </c>
      <c r="M220" s="29" t="str">
        <f aca="false">IF(OR(G220="",H220=""),"",SUMIFS(H$6:H219,AA$6:AA219,AA220,G$6:G219,G220,N$6:N219,0))</f>
        <v/>
      </c>
      <c r="N220" s="29" t="str">
        <f aca="false">IF(OR(G220="",H220=""),"",IFERROR(IF(INDEX('TDS Rates'!$F$6:$F$40,MATCH(G220,'TDS Rates'!$B$6:$B$40,0))="NONE",H220,IF(INDEX('TDS Rates'!$F$6:$F$40,MATCH(G220,'TDS Rates'!$B$6:$B$40,0))="PER",IF(H220&gt;INDEX('TDS Rates'!$G$6:$G$40,MATCH(G220,'TDS Rates'!$B$6:$B$40,0)),H220,0),IF(INDEX('TDS Rates'!$F$6:$F$40,MATCH(G220,'TDS Rates'!$B$6:$B$40,0))="EXCESS",MAX(0,L220+H220-INDEX('TDS Rates'!$H$6:$H$40,MATCH(G220,'TDS Rates'!$B$6:$B$40,0)))-MAX(0,L220-INDEX('TDS Rates'!$H$6:$H$40,MATCH(G220,'TDS Rates'!$B$6:$B$40,0))),IF(INDEX('TDS Rates'!$F$6:$F$40,MATCH(G220,'TDS Rates'!$B$6:$B$40,0))="SA",IF(L220+H220&gt;INDEX('TDS Rates'!$H$6:$H$40,MATCH(G220,'TDS Rates'!$B$6:$B$40,0)),H220+M220,IF(H220&gt;INDEX('TDS Rates'!$G$6:$G$40,MATCH(G220,'TDS Rates'!$B$6:$B$40,0)),H220,0)),IF(L220+H220&gt;INDEX('TDS Rates'!$H$6:$H$40,MATCH(G220,'TDS Rates'!$B$6:$B$40,0)),H220+M220,0))))),0))</f>
        <v/>
      </c>
      <c r="O220" s="33" t="str">
        <f aca="false">IF(OR(G220="",H220=""),"",IFERROR(IF(F220="No",IF(INDEX('TDS Rates'!$C$6:$C$40,MATCH(G220,'TDS Rates'!$B$6:$B$40,0))="194Q",Settings!$C$14,MAX(Settings!$C$13,IF(E220="Individual / HUF",INDEX('TDS Rates'!$I$6:$I$40,MATCH(G220,'TDS Rates'!$B$6:$B$40,0)),IF(E220="Company",INDEX('TDS Rates'!$J$6:$J$40,MATCH(G220,'TDS Rates'!$B$6:$B$40,0)),INDEX('TDS Rates'!$K$6:$K$40,MATCH(G220,'TDS Rates'!$B$6:$B$40,0)))))),IF(E220="Individual / HUF",INDEX('TDS Rates'!$I$6:$I$40,MATCH(G220,'TDS Rates'!$B$6:$B$40,0)),IF(E220="Company",INDEX('TDS Rates'!$J$6:$J$40,MATCH(G220,'TDS Rates'!$B$6:$B$40,0)),INDEX('TDS Rates'!$K$6:$K$40,MATCH(G220,'TDS Rates'!$B$6:$B$40,0))))),0))</f>
        <v/>
      </c>
      <c r="P220" s="34" t="str">
        <f aca="false">IF(OR(G220="",H220=""),"",ROUND(N220*O220,0))</f>
        <v/>
      </c>
      <c r="Q220" s="27" t="str">
        <f aca="false">IF(OR(G220="",H220=""),"",IFERROR(IF(INDEX('TDS Rates'!$E$6:$E$40,MATCH(G220,'TDS Rates'!$B$6:$B$40,0))="Form 141",EOMONTH(IF(R220="",B220,R220),0)+30,IF(MONTH(IF(R220="",B220,R220))=3,DATE(YEAR(IF(R220="",B220,R220)),4,30),DATE(YEAR(IF(R220="",B220,R220)),MONTH(IF(R220="",B220,R220))+1,7))),""))</f>
        <v/>
      </c>
      <c r="R220" s="17"/>
      <c r="S220" s="17"/>
      <c r="T220" s="5"/>
      <c r="U220" s="28" t="str">
        <f aca="false">IF(OR(G220="",H220=""),"",IF(P220=0,0,IF(IF(R220="",Settings!$C$9,R220)&lt;=B220,0,((YEAR(IF(R220="",Settings!$C$9,R220))-YEAR(B220))*12+MONTH(IF(R220="",Settings!$C$9,R220))-MONTH(B220)+1))))</f>
        <v/>
      </c>
      <c r="V220" s="29" t="str">
        <f aca="false">IF(OR(G220="",H220=""),"",ROUND(P220*Settings!$C$10*U220,0))</f>
        <v/>
      </c>
      <c r="W220" s="28" t="str">
        <f aca="false">IF(OR(G220="",H220=""),"",IF(OR(P220=0,R220=""),0,IF(IF(S220="",Settings!$C$9,S220)&lt;=Q220,0,((YEAR(IF(S220="",Settings!$C$9,S220))-YEAR(R220))*12+MONTH(IF(S220="",Settings!$C$9,S220))-MONTH(R220)+1))))</f>
        <v/>
      </c>
      <c r="X220" s="29" t="str">
        <f aca="false">IF(OR(G220="",H220=""),"",ROUND(P220*Settings!$C$11*W220,0))</f>
        <v/>
      </c>
      <c r="Y220" s="29" t="str">
        <f aca="false">IF(OR(G220="",H220=""),"",V220+X220)</f>
        <v/>
      </c>
      <c r="Z220" s="7" t="str">
        <f aca="false">IF(OR(G220="",H220=""),"",IF(P220=0,"Below threshold",IF(R220="","Not yet deducted",IF(S220="",IF(Settings!$C$9&gt;Q220,"Overdue — pay now","Deducted, due "&amp;TEXT(Q220,"dd-mmm")),IF(S220&lt;=Q220,IF(N(U220)&gt;0,"Deducted late, paid on time","Paid on time"),"Paid late")))))</f>
        <v/>
      </c>
      <c r="AA220" s="35" t="str">
        <f aca="false">IF(OR(G220="",H220=""),"",IF(D220&lt;&gt;"",UPPER(TRIM(D220)),UPPER(TRIM(C220))))</f>
        <v/>
      </c>
    </row>
    <row r="221" customFormat="false" ht="15" hidden="false" customHeight="false" outlineLevel="0" collapsed="false">
      <c r="B221" s="17"/>
      <c r="C221" s="5"/>
      <c r="D221" s="5"/>
      <c r="E221" s="5"/>
      <c r="F221" s="5"/>
      <c r="G221" s="5"/>
      <c r="H221" s="16"/>
      <c r="I221" s="7" t="str">
        <f aca="false">IF(OR(G221="",H221=""),"",IFERROR(INDEX('TDS Rates'!$D$6:$D$40,MATCH(G221,'TDS Rates'!$B$6:$B$40,0)),"Check nature"))</f>
        <v/>
      </c>
      <c r="J221" s="7" t="str">
        <f aca="false">IF(OR(G221="",H221=""),"",IFERROR(INDEX('TDS Rates'!$C$6:$C$40,MATCH(G221,'TDS Rates'!$B$6:$B$40,0)),""))</f>
        <v/>
      </c>
      <c r="K221" s="7" t="str">
        <f aca="false">IF(OR(G221="",H221=""),"",IFERROR(INDEX('TDS Rates'!$E$6:$E$40,MATCH(G221,'TDS Rates'!$B$6:$B$40,0)),""))</f>
        <v/>
      </c>
      <c r="L221" s="29" t="str">
        <f aca="false">IF(OR(G221="",H221=""),"",SUMIFS(H$6:H220,AA$6:AA220,AA221,G$6:G220,G221))</f>
        <v/>
      </c>
      <c r="M221" s="29" t="str">
        <f aca="false">IF(OR(G221="",H221=""),"",SUMIFS(H$6:H220,AA$6:AA220,AA221,G$6:G220,G221,N$6:N220,0))</f>
        <v/>
      </c>
      <c r="N221" s="29" t="str">
        <f aca="false">IF(OR(G221="",H221=""),"",IFERROR(IF(INDEX('TDS Rates'!$F$6:$F$40,MATCH(G221,'TDS Rates'!$B$6:$B$40,0))="NONE",H221,IF(INDEX('TDS Rates'!$F$6:$F$40,MATCH(G221,'TDS Rates'!$B$6:$B$40,0))="PER",IF(H221&gt;INDEX('TDS Rates'!$G$6:$G$40,MATCH(G221,'TDS Rates'!$B$6:$B$40,0)),H221,0),IF(INDEX('TDS Rates'!$F$6:$F$40,MATCH(G221,'TDS Rates'!$B$6:$B$40,0))="EXCESS",MAX(0,L221+H221-INDEX('TDS Rates'!$H$6:$H$40,MATCH(G221,'TDS Rates'!$B$6:$B$40,0)))-MAX(0,L221-INDEX('TDS Rates'!$H$6:$H$40,MATCH(G221,'TDS Rates'!$B$6:$B$40,0))),IF(INDEX('TDS Rates'!$F$6:$F$40,MATCH(G221,'TDS Rates'!$B$6:$B$40,0))="SA",IF(L221+H221&gt;INDEX('TDS Rates'!$H$6:$H$40,MATCH(G221,'TDS Rates'!$B$6:$B$40,0)),H221+M221,IF(H221&gt;INDEX('TDS Rates'!$G$6:$G$40,MATCH(G221,'TDS Rates'!$B$6:$B$40,0)),H221,0)),IF(L221+H221&gt;INDEX('TDS Rates'!$H$6:$H$40,MATCH(G221,'TDS Rates'!$B$6:$B$40,0)),H221+M221,0))))),0))</f>
        <v/>
      </c>
      <c r="O221" s="33" t="str">
        <f aca="false">IF(OR(G221="",H221=""),"",IFERROR(IF(F221="No",IF(INDEX('TDS Rates'!$C$6:$C$40,MATCH(G221,'TDS Rates'!$B$6:$B$40,0))="194Q",Settings!$C$14,MAX(Settings!$C$13,IF(E221="Individual / HUF",INDEX('TDS Rates'!$I$6:$I$40,MATCH(G221,'TDS Rates'!$B$6:$B$40,0)),IF(E221="Company",INDEX('TDS Rates'!$J$6:$J$40,MATCH(G221,'TDS Rates'!$B$6:$B$40,0)),INDEX('TDS Rates'!$K$6:$K$40,MATCH(G221,'TDS Rates'!$B$6:$B$40,0)))))),IF(E221="Individual / HUF",INDEX('TDS Rates'!$I$6:$I$40,MATCH(G221,'TDS Rates'!$B$6:$B$40,0)),IF(E221="Company",INDEX('TDS Rates'!$J$6:$J$40,MATCH(G221,'TDS Rates'!$B$6:$B$40,0)),INDEX('TDS Rates'!$K$6:$K$40,MATCH(G221,'TDS Rates'!$B$6:$B$40,0))))),0))</f>
        <v/>
      </c>
      <c r="P221" s="34" t="str">
        <f aca="false">IF(OR(G221="",H221=""),"",ROUND(N221*O221,0))</f>
        <v/>
      </c>
      <c r="Q221" s="27" t="str">
        <f aca="false">IF(OR(G221="",H221=""),"",IFERROR(IF(INDEX('TDS Rates'!$E$6:$E$40,MATCH(G221,'TDS Rates'!$B$6:$B$40,0))="Form 141",EOMONTH(IF(R221="",B221,R221),0)+30,IF(MONTH(IF(R221="",B221,R221))=3,DATE(YEAR(IF(R221="",B221,R221)),4,30),DATE(YEAR(IF(R221="",B221,R221)),MONTH(IF(R221="",B221,R221))+1,7))),""))</f>
        <v/>
      </c>
      <c r="R221" s="17"/>
      <c r="S221" s="17"/>
      <c r="T221" s="5"/>
      <c r="U221" s="28" t="str">
        <f aca="false">IF(OR(G221="",H221=""),"",IF(P221=0,0,IF(IF(R221="",Settings!$C$9,R221)&lt;=B221,0,((YEAR(IF(R221="",Settings!$C$9,R221))-YEAR(B221))*12+MONTH(IF(R221="",Settings!$C$9,R221))-MONTH(B221)+1))))</f>
        <v/>
      </c>
      <c r="V221" s="29" t="str">
        <f aca="false">IF(OR(G221="",H221=""),"",ROUND(P221*Settings!$C$10*U221,0))</f>
        <v/>
      </c>
      <c r="W221" s="28" t="str">
        <f aca="false">IF(OR(G221="",H221=""),"",IF(OR(P221=0,R221=""),0,IF(IF(S221="",Settings!$C$9,S221)&lt;=Q221,0,((YEAR(IF(S221="",Settings!$C$9,S221))-YEAR(R221))*12+MONTH(IF(S221="",Settings!$C$9,S221))-MONTH(R221)+1))))</f>
        <v/>
      </c>
      <c r="X221" s="29" t="str">
        <f aca="false">IF(OR(G221="",H221=""),"",ROUND(P221*Settings!$C$11*W221,0))</f>
        <v/>
      </c>
      <c r="Y221" s="29" t="str">
        <f aca="false">IF(OR(G221="",H221=""),"",V221+X221)</f>
        <v/>
      </c>
      <c r="Z221" s="7" t="str">
        <f aca="false">IF(OR(G221="",H221=""),"",IF(P221=0,"Below threshold",IF(R221="","Not yet deducted",IF(S221="",IF(Settings!$C$9&gt;Q221,"Overdue — pay now","Deducted, due "&amp;TEXT(Q221,"dd-mmm")),IF(S221&lt;=Q221,IF(N(U221)&gt;0,"Deducted late, paid on time","Paid on time"),"Paid late")))))</f>
        <v/>
      </c>
      <c r="AA221" s="35" t="str">
        <f aca="false">IF(OR(G221="",H221=""),"",IF(D221&lt;&gt;"",UPPER(TRIM(D221)),UPPER(TRIM(C221))))</f>
        <v/>
      </c>
    </row>
    <row r="222" customFormat="false" ht="15" hidden="false" customHeight="false" outlineLevel="0" collapsed="false">
      <c r="B222" s="17"/>
      <c r="C222" s="5"/>
      <c r="D222" s="5"/>
      <c r="E222" s="5"/>
      <c r="F222" s="5"/>
      <c r="G222" s="5"/>
      <c r="H222" s="16"/>
      <c r="I222" s="7" t="str">
        <f aca="false">IF(OR(G222="",H222=""),"",IFERROR(INDEX('TDS Rates'!$D$6:$D$40,MATCH(G222,'TDS Rates'!$B$6:$B$40,0)),"Check nature"))</f>
        <v/>
      </c>
      <c r="J222" s="7" t="str">
        <f aca="false">IF(OR(G222="",H222=""),"",IFERROR(INDEX('TDS Rates'!$C$6:$C$40,MATCH(G222,'TDS Rates'!$B$6:$B$40,0)),""))</f>
        <v/>
      </c>
      <c r="K222" s="7" t="str">
        <f aca="false">IF(OR(G222="",H222=""),"",IFERROR(INDEX('TDS Rates'!$E$6:$E$40,MATCH(G222,'TDS Rates'!$B$6:$B$40,0)),""))</f>
        <v/>
      </c>
      <c r="L222" s="29" t="str">
        <f aca="false">IF(OR(G222="",H222=""),"",SUMIFS(H$6:H221,AA$6:AA221,AA222,G$6:G221,G222))</f>
        <v/>
      </c>
      <c r="M222" s="29" t="str">
        <f aca="false">IF(OR(G222="",H222=""),"",SUMIFS(H$6:H221,AA$6:AA221,AA222,G$6:G221,G222,N$6:N221,0))</f>
        <v/>
      </c>
      <c r="N222" s="29" t="str">
        <f aca="false">IF(OR(G222="",H222=""),"",IFERROR(IF(INDEX('TDS Rates'!$F$6:$F$40,MATCH(G222,'TDS Rates'!$B$6:$B$40,0))="NONE",H222,IF(INDEX('TDS Rates'!$F$6:$F$40,MATCH(G222,'TDS Rates'!$B$6:$B$40,0))="PER",IF(H222&gt;INDEX('TDS Rates'!$G$6:$G$40,MATCH(G222,'TDS Rates'!$B$6:$B$40,0)),H222,0),IF(INDEX('TDS Rates'!$F$6:$F$40,MATCH(G222,'TDS Rates'!$B$6:$B$40,0))="EXCESS",MAX(0,L222+H222-INDEX('TDS Rates'!$H$6:$H$40,MATCH(G222,'TDS Rates'!$B$6:$B$40,0)))-MAX(0,L222-INDEX('TDS Rates'!$H$6:$H$40,MATCH(G222,'TDS Rates'!$B$6:$B$40,0))),IF(INDEX('TDS Rates'!$F$6:$F$40,MATCH(G222,'TDS Rates'!$B$6:$B$40,0))="SA",IF(L222+H222&gt;INDEX('TDS Rates'!$H$6:$H$40,MATCH(G222,'TDS Rates'!$B$6:$B$40,0)),H222+M222,IF(H222&gt;INDEX('TDS Rates'!$G$6:$G$40,MATCH(G222,'TDS Rates'!$B$6:$B$40,0)),H222,0)),IF(L222+H222&gt;INDEX('TDS Rates'!$H$6:$H$40,MATCH(G222,'TDS Rates'!$B$6:$B$40,0)),H222+M222,0))))),0))</f>
        <v/>
      </c>
      <c r="O222" s="33" t="str">
        <f aca="false">IF(OR(G222="",H222=""),"",IFERROR(IF(F222="No",IF(INDEX('TDS Rates'!$C$6:$C$40,MATCH(G222,'TDS Rates'!$B$6:$B$40,0))="194Q",Settings!$C$14,MAX(Settings!$C$13,IF(E222="Individual / HUF",INDEX('TDS Rates'!$I$6:$I$40,MATCH(G222,'TDS Rates'!$B$6:$B$40,0)),IF(E222="Company",INDEX('TDS Rates'!$J$6:$J$40,MATCH(G222,'TDS Rates'!$B$6:$B$40,0)),INDEX('TDS Rates'!$K$6:$K$40,MATCH(G222,'TDS Rates'!$B$6:$B$40,0)))))),IF(E222="Individual / HUF",INDEX('TDS Rates'!$I$6:$I$40,MATCH(G222,'TDS Rates'!$B$6:$B$40,0)),IF(E222="Company",INDEX('TDS Rates'!$J$6:$J$40,MATCH(G222,'TDS Rates'!$B$6:$B$40,0)),INDEX('TDS Rates'!$K$6:$K$40,MATCH(G222,'TDS Rates'!$B$6:$B$40,0))))),0))</f>
        <v/>
      </c>
      <c r="P222" s="34" t="str">
        <f aca="false">IF(OR(G222="",H222=""),"",ROUND(N222*O222,0))</f>
        <v/>
      </c>
      <c r="Q222" s="27" t="str">
        <f aca="false">IF(OR(G222="",H222=""),"",IFERROR(IF(INDEX('TDS Rates'!$E$6:$E$40,MATCH(G222,'TDS Rates'!$B$6:$B$40,0))="Form 141",EOMONTH(IF(R222="",B222,R222),0)+30,IF(MONTH(IF(R222="",B222,R222))=3,DATE(YEAR(IF(R222="",B222,R222)),4,30),DATE(YEAR(IF(R222="",B222,R222)),MONTH(IF(R222="",B222,R222))+1,7))),""))</f>
        <v/>
      </c>
      <c r="R222" s="17"/>
      <c r="S222" s="17"/>
      <c r="T222" s="5"/>
      <c r="U222" s="28" t="str">
        <f aca="false">IF(OR(G222="",H222=""),"",IF(P222=0,0,IF(IF(R222="",Settings!$C$9,R222)&lt;=B222,0,((YEAR(IF(R222="",Settings!$C$9,R222))-YEAR(B222))*12+MONTH(IF(R222="",Settings!$C$9,R222))-MONTH(B222)+1))))</f>
        <v/>
      </c>
      <c r="V222" s="29" t="str">
        <f aca="false">IF(OR(G222="",H222=""),"",ROUND(P222*Settings!$C$10*U222,0))</f>
        <v/>
      </c>
      <c r="W222" s="28" t="str">
        <f aca="false">IF(OR(G222="",H222=""),"",IF(OR(P222=0,R222=""),0,IF(IF(S222="",Settings!$C$9,S222)&lt;=Q222,0,((YEAR(IF(S222="",Settings!$C$9,S222))-YEAR(R222))*12+MONTH(IF(S222="",Settings!$C$9,S222))-MONTH(R222)+1))))</f>
        <v/>
      </c>
      <c r="X222" s="29" t="str">
        <f aca="false">IF(OR(G222="",H222=""),"",ROUND(P222*Settings!$C$11*W222,0))</f>
        <v/>
      </c>
      <c r="Y222" s="29" t="str">
        <f aca="false">IF(OR(G222="",H222=""),"",V222+X222)</f>
        <v/>
      </c>
      <c r="Z222" s="7" t="str">
        <f aca="false">IF(OR(G222="",H222=""),"",IF(P222=0,"Below threshold",IF(R222="","Not yet deducted",IF(S222="",IF(Settings!$C$9&gt;Q222,"Overdue — pay now","Deducted, due "&amp;TEXT(Q222,"dd-mmm")),IF(S222&lt;=Q222,IF(N(U222)&gt;0,"Deducted late, paid on time","Paid on time"),"Paid late")))))</f>
        <v/>
      </c>
      <c r="AA222" s="35" t="str">
        <f aca="false">IF(OR(G222="",H222=""),"",IF(D222&lt;&gt;"",UPPER(TRIM(D222)),UPPER(TRIM(C222))))</f>
        <v/>
      </c>
    </row>
    <row r="223" customFormat="false" ht="15" hidden="false" customHeight="false" outlineLevel="0" collapsed="false">
      <c r="B223" s="17"/>
      <c r="C223" s="5"/>
      <c r="D223" s="5"/>
      <c r="E223" s="5"/>
      <c r="F223" s="5"/>
      <c r="G223" s="5"/>
      <c r="H223" s="16"/>
      <c r="I223" s="7" t="str">
        <f aca="false">IF(OR(G223="",H223=""),"",IFERROR(INDEX('TDS Rates'!$D$6:$D$40,MATCH(G223,'TDS Rates'!$B$6:$B$40,0)),"Check nature"))</f>
        <v/>
      </c>
      <c r="J223" s="7" t="str">
        <f aca="false">IF(OR(G223="",H223=""),"",IFERROR(INDEX('TDS Rates'!$C$6:$C$40,MATCH(G223,'TDS Rates'!$B$6:$B$40,0)),""))</f>
        <v/>
      </c>
      <c r="K223" s="7" t="str">
        <f aca="false">IF(OR(G223="",H223=""),"",IFERROR(INDEX('TDS Rates'!$E$6:$E$40,MATCH(G223,'TDS Rates'!$B$6:$B$40,0)),""))</f>
        <v/>
      </c>
      <c r="L223" s="29" t="str">
        <f aca="false">IF(OR(G223="",H223=""),"",SUMIFS(H$6:H222,AA$6:AA222,AA223,G$6:G222,G223))</f>
        <v/>
      </c>
      <c r="M223" s="29" t="str">
        <f aca="false">IF(OR(G223="",H223=""),"",SUMIFS(H$6:H222,AA$6:AA222,AA223,G$6:G222,G223,N$6:N222,0))</f>
        <v/>
      </c>
      <c r="N223" s="29" t="str">
        <f aca="false">IF(OR(G223="",H223=""),"",IFERROR(IF(INDEX('TDS Rates'!$F$6:$F$40,MATCH(G223,'TDS Rates'!$B$6:$B$40,0))="NONE",H223,IF(INDEX('TDS Rates'!$F$6:$F$40,MATCH(G223,'TDS Rates'!$B$6:$B$40,0))="PER",IF(H223&gt;INDEX('TDS Rates'!$G$6:$G$40,MATCH(G223,'TDS Rates'!$B$6:$B$40,0)),H223,0),IF(INDEX('TDS Rates'!$F$6:$F$40,MATCH(G223,'TDS Rates'!$B$6:$B$40,0))="EXCESS",MAX(0,L223+H223-INDEX('TDS Rates'!$H$6:$H$40,MATCH(G223,'TDS Rates'!$B$6:$B$40,0)))-MAX(0,L223-INDEX('TDS Rates'!$H$6:$H$40,MATCH(G223,'TDS Rates'!$B$6:$B$40,0))),IF(INDEX('TDS Rates'!$F$6:$F$40,MATCH(G223,'TDS Rates'!$B$6:$B$40,0))="SA",IF(L223+H223&gt;INDEX('TDS Rates'!$H$6:$H$40,MATCH(G223,'TDS Rates'!$B$6:$B$40,0)),H223+M223,IF(H223&gt;INDEX('TDS Rates'!$G$6:$G$40,MATCH(G223,'TDS Rates'!$B$6:$B$40,0)),H223,0)),IF(L223+H223&gt;INDEX('TDS Rates'!$H$6:$H$40,MATCH(G223,'TDS Rates'!$B$6:$B$40,0)),H223+M223,0))))),0))</f>
        <v/>
      </c>
      <c r="O223" s="33" t="str">
        <f aca="false">IF(OR(G223="",H223=""),"",IFERROR(IF(F223="No",IF(INDEX('TDS Rates'!$C$6:$C$40,MATCH(G223,'TDS Rates'!$B$6:$B$40,0))="194Q",Settings!$C$14,MAX(Settings!$C$13,IF(E223="Individual / HUF",INDEX('TDS Rates'!$I$6:$I$40,MATCH(G223,'TDS Rates'!$B$6:$B$40,0)),IF(E223="Company",INDEX('TDS Rates'!$J$6:$J$40,MATCH(G223,'TDS Rates'!$B$6:$B$40,0)),INDEX('TDS Rates'!$K$6:$K$40,MATCH(G223,'TDS Rates'!$B$6:$B$40,0)))))),IF(E223="Individual / HUF",INDEX('TDS Rates'!$I$6:$I$40,MATCH(G223,'TDS Rates'!$B$6:$B$40,0)),IF(E223="Company",INDEX('TDS Rates'!$J$6:$J$40,MATCH(G223,'TDS Rates'!$B$6:$B$40,0)),INDEX('TDS Rates'!$K$6:$K$40,MATCH(G223,'TDS Rates'!$B$6:$B$40,0))))),0))</f>
        <v/>
      </c>
      <c r="P223" s="34" t="str">
        <f aca="false">IF(OR(G223="",H223=""),"",ROUND(N223*O223,0))</f>
        <v/>
      </c>
      <c r="Q223" s="27" t="str">
        <f aca="false">IF(OR(G223="",H223=""),"",IFERROR(IF(INDEX('TDS Rates'!$E$6:$E$40,MATCH(G223,'TDS Rates'!$B$6:$B$40,0))="Form 141",EOMONTH(IF(R223="",B223,R223),0)+30,IF(MONTH(IF(R223="",B223,R223))=3,DATE(YEAR(IF(R223="",B223,R223)),4,30),DATE(YEAR(IF(R223="",B223,R223)),MONTH(IF(R223="",B223,R223))+1,7))),""))</f>
        <v/>
      </c>
      <c r="R223" s="17"/>
      <c r="S223" s="17"/>
      <c r="T223" s="5"/>
      <c r="U223" s="28" t="str">
        <f aca="false">IF(OR(G223="",H223=""),"",IF(P223=0,0,IF(IF(R223="",Settings!$C$9,R223)&lt;=B223,0,((YEAR(IF(R223="",Settings!$C$9,R223))-YEAR(B223))*12+MONTH(IF(R223="",Settings!$C$9,R223))-MONTH(B223)+1))))</f>
        <v/>
      </c>
      <c r="V223" s="29" t="str">
        <f aca="false">IF(OR(G223="",H223=""),"",ROUND(P223*Settings!$C$10*U223,0))</f>
        <v/>
      </c>
      <c r="W223" s="28" t="str">
        <f aca="false">IF(OR(G223="",H223=""),"",IF(OR(P223=0,R223=""),0,IF(IF(S223="",Settings!$C$9,S223)&lt;=Q223,0,((YEAR(IF(S223="",Settings!$C$9,S223))-YEAR(R223))*12+MONTH(IF(S223="",Settings!$C$9,S223))-MONTH(R223)+1))))</f>
        <v/>
      </c>
      <c r="X223" s="29" t="str">
        <f aca="false">IF(OR(G223="",H223=""),"",ROUND(P223*Settings!$C$11*W223,0))</f>
        <v/>
      </c>
      <c r="Y223" s="29" t="str">
        <f aca="false">IF(OR(G223="",H223=""),"",V223+X223)</f>
        <v/>
      </c>
      <c r="Z223" s="7" t="str">
        <f aca="false">IF(OR(G223="",H223=""),"",IF(P223=0,"Below threshold",IF(R223="","Not yet deducted",IF(S223="",IF(Settings!$C$9&gt;Q223,"Overdue — pay now","Deducted, due "&amp;TEXT(Q223,"dd-mmm")),IF(S223&lt;=Q223,IF(N(U223)&gt;0,"Deducted late, paid on time","Paid on time"),"Paid late")))))</f>
        <v/>
      </c>
      <c r="AA223" s="35" t="str">
        <f aca="false">IF(OR(G223="",H223=""),"",IF(D223&lt;&gt;"",UPPER(TRIM(D223)),UPPER(TRIM(C223))))</f>
        <v/>
      </c>
    </row>
    <row r="224" customFormat="false" ht="15" hidden="false" customHeight="false" outlineLevel="0" collapsed="false">
      <c r="B224" s="17"/>
      <c r="C224" s="5"/>
      <c r="D224" s="5"/>
      <c r="E224" s="5"/>
      <c r="F224" s="5"/>
      <c r="G224" s="5"/>
      <c r="H224" s="16"/>
      <c r="I224" s="7" t="str">
        <f aca="false">IF(OR(G224="",H224=""),"",IFERROR(INDEX('TDS Rates'!$D$6:$D$40,MATCH(G224,'TDS Rates'!$B$6:$B$40,0)),"Check nature"))</f>
        <v/>
      </c>
      <c r="J224" s="7" t="str">
        <f aca="false">IF(OR(G224="",H224=""),"",IFERROR(INDEX('TDS Rates'!$C$6:$C$40,MATCH(G224,'TDS Rates'!$B$6:$B$40,0)),""))</f>
        <v/>
      </c>
      <c r="K224" s="7" t="str">
        <f aca="false">IF(OR(G224="",H224=""),"",IFERROR(INDEX('TDS Rates'!$E$6:$E$40,MATCH(G224,'TDS Rates'!$B$6:$B$40,0)),""))</f>
        <v/>
      </c>
      <c r="L224" s="29" t="str">
        <f aca="false">IF(OR(G224="",H224=""),"",SUMIFS(H$6:H223,AA$6:AA223,AA224,G$6:G223,G224))</f>
        <v/>
      </c>
      <c r="M224" s="29" t="str">
        <f aca="false">IF(OR(G224="",H224=""),"",SUMIFS(H$6:H223,AA$6:AA223,AA224,G$6:G223,G224,N$6:N223,0))</f>
        <v/>
      </c>
      <c r="N224" s="29" t="str">
        <f aca="false">IF(OR(G224="",H224=""),"",IFERROR(IF(INDEX('TDS Rates'!$F$6:$F$40,MATCH(G224,'TDS Rates'!$B$6:$B$40,0))="NONE",H224,IF(INDEX('TDS Rates'!$F$6:$F$40,MATCH(G224,'TDS Rates'!$B$6:$B$40,0))="PER",IF(H224&gt;INDEX('TDS Rates'!$G$6:$G$40,MATCH(G224,'TDS Rates'!$B$6:$B$40,0)),H224,0),IF(INDEX('TDS Rates'!$F$6:$F$40,MATCH(G224,'TDS Rates'!$B$6:$B$40,0))="EXCESS",MAX(0,L224+H224-INDEX('TDS Rates'!$H$6:$H$40,MATCH(G224,'TDS Rates'!$B$6:$B$40,0)))-MAX(0,L224-INDEX('TDS Rates'!$H$6:$H$40,MATCH(G224,'TDS Rates'!$B$6:$B$40,0))),IF(INDEX('TDS Rates'!$F$6:$F$40,MATCH(G224,'TDS Rates'!$B$6:$B$40,0))="SA",IF(L224+H224&gt;INDEX('TDS Rates'!$H$6:$H$40,MATCH(G224,'TDS Rates'!$B$6:$B$40,0)),H224+M224,IF(H224&gt;INDEX('TDS Rates'!$G$6:$G$40,MATCH(G224,'TDS Rates'!$B$6:$B$40,0)),H224,0)),IF(L224+H224&gt;INDEX('TDS Rates'!$H$6:$H$40,MATCH(G224,'TDS Rates'!$B$6:$B$40,0)),H224+M224,0))))),0))</f>
        <v/>
      </c>
      <c r="O224" s="33" t="str">
        <f aca="false">IF(OR(G224="",H224=""),"",IFERROR(IF(F224="No",IF(INDEX('TDS Rates'!$C$6:$C$40,MATCH(G224,'TDS Rates'!$B$6:$B$40,0))="194Q",Settings!$C$14,MAX(Settings!$C$13,IF(E224="Individual / HUF",INDEX('TDS Rates'!$I$6:$I$40,MATCH(G224,'TDS Rates'!$B$6:$B$40,0)),IF(E224="Company",INDEX('TDS Rates'!$J$6:$J$40,MATCH(G224,'TDS Rates'!$B$6:$B$40,0)),INDEX('TDS Rates'!$K$6:$K$40,MATCH(G224,'TDS Rates'!$B$6:$B$40,0)))))),IF(E224="Individual / HUF",INDEX('TDS Rates'!$I$6:$I$40,MATCH(G224,'TDS Rates'!$B$6:$B$40,0)),IF(E224="Company",INDEX('TDS Rates'!$J$6:$J$40,MATCH(G224,'TDS Rates'!$B$6:$B$40,0)),INDEX('TDS Rates'!$K$6:$K$40,MATCH(G224,'TDS Rates'!$B$6:$B$40,0))))),0))</f>
        <v/>
      </c>
      <c r="P224" s="34" t="str">
        <f aca="false">IF(OR(G224="",H224=""),"",ROUND(N224*O224,0))</f>
        <v/>
      </c>
      <c r="Q224" s="27" t="str">
        <f aca="false">IF(OR(G224="",H224=""),"",IFERROR(IF(INDEX('TDS Rates'!$E$6:$E$40,MATCH(G224,'TDS Rates'!$B$6:$B$40,0))="Form 141",EOMONTH(IF(R224="",B224,R224),0)+30,IF(MONTH(IF(R224="",B224,R224))=3,DATE(YEAR(IF(R224="",B224,R224)),4,30),DATE(YEAR(IF(R224="",B224,R224)),MONTH(IF(R224="",B224,R224))+1,7))),""))</f>
        <v/>
      </c>
      <c r="R224" s="17"/>
      <c r="S224" s="17"/>
      <c r="T224" s="5"/>
      <c r="U224" s="28" t="str">
        <f aca="false">IF(OR(G224="",H224=""),"",IF(P224=0,0,IF(IF(R224="",Settings!$C$9,R224)&lt;=B224,0,((YEAR(IF(R224="",Settings!$C$9,R224))-YEAR(B224))*12+MONTH(IF(R224="",Settings!$C$9,R224))-MONTH(B224)+1))))</f>
        <v/>
      </c>
      <c r="V224" s="29" t="str">
        <f aca="false">IF(OR(G224="",H224=""),"",ROUND(P224*Settings!$C$10*U224,0))</f>
        <v/>
      </c>
      <c r="W224" s="28" t="str">
        <f aca="false">IF(OR(G224="",H224=""),"",IF(OR(P224=0,R224=""),0,IF(IF(S224="",Settings!$C$9,S224)&lt;=Q224,0,((YEAR(IF(S224="",Settings!$C$9,S224))-YEAR(R224))*12+MONTH(IF(S224="",Settings!$C$9,S224))-MONTH(R224)+1))))</f>
        <v/>
      </c>
      <c r="X224" s="29" t="str">
        <f aca="false">IF(OR(G224="",H224=""),"",ROUND(P224*Settings!$C$11*W224,0))</f>
        <v/>
      </c>
      <c r="Y224" s="29" t="str">
        <f aca="false">IF(OR(G224="",H224=""),"",V224+X224)</f>
        <v/>
      </c>
      <c r="Z224" s="7" t="str">
        <f aca="false">IF(OR(G224="",H224=""),"",IF(P224=0,"Below threshold",IF(R224="","Not yet deducted",IF(S224="",IF(Settings!$C$9&gt;Q224,"Overdue — pay now","Deducted, due "&amp;TEXT(Q224,"dd-mmm")),IF(S224&lt;=Q224,IF(N(U224)&gt;0,"Deducted late, paid on time","Paid on time"),"Paid late")))))</f>
        <v/>
      </c>
      <c r="AA224" s="35" t="str">
        <f aca="false">IF(OR(G224="",H224=""),"",IF(D224&lt;&gt;"",UPPER(TRIM(D224)),UPPER(TRIM(C224))))</f>
        <v/>
      </c>
    </row>
    <row r="225" customFormat="false" ht="15" hidden="false" customHeight="false" outlineLevel="0" collapsed="false">
      <c r="B225" s="17"/>
      <c r="C225" s="5"/>
      <c r="D225" s="5"/>
      <c r="E225" s="5"/>
      <c r="F225" s="5"/>
      <c r="G225" s="5"/>
      <c r="H225" s="16"/>
      <c r="I225" s="7" t="str">
        <f aca="false">IF(OR(G225="",H225=""),"",IFERROR(INDEX('TDS Rates'!$D$6:$D$40,MATCH(G225,'TDS Rates'!$B$6:$B$40,0)),"Check nature"))</f>
        <v/>
      </c>
      <c r="J225" s="7" t="str">
        <f aca="false">IF(OR(G225="",H225=""),"",IFERROR(INDEX('TDS Rates'!$C$6:$C$40,MATCH(G225,'TDS Rates'!$B$6:$B$40,0)),""))</f>
        <v/>
      </c>
      <c r="K225" s="7" t="str">
        <f aca="false">IF(OR(G225="",H225=""),"",IFERROR(INDEX('TDS Rates'!$E$6:$E$40,MATCH(G225,'TDS Rates'!$B$6:$B$40,0)),""))</f>
        <v/>
      </c>
      <c r="L225" s="29" t="str">
        <f aca="false">IF(OR(G225="",H225=""),"",SUMIFS(H$6:H224,AA$6:AA224,AA225,G$6:G224,G225))</f>
        <v/>
      </c>
      <c r="M225" s="29" t="str">
        <f aca="false">IF(OR(G225="",H225=""),"",SUMIFS(H$6:H224,AA$6:AA224,AA225,G$6:G224,G225,N$6:N224,0))</f>
        <v/>
      </c>
      <c r="N225" s="29" t="str">
        <f aca="false">IF(OR(G225="",H225=""),"",IFERROR(IF(INDEX('TDS Rates'!$F$6:$F$40,MATCH(G225,'TDS Rates'!$B$6:$B$40,0))="NONE",H225,IF(INDEX('TDS Rates'!$F$6:$F$40,MATCH(G225,'TDS Rates'!$B$6:$B$40,0))="PER",IF(H225&gt;INDEX('TDS Rates'!$G$6:$G$40,MATCH(G225,'TDS Rates'!$B$6:$B$40,0)),H225,0),IF(INDEX('TDS Rates'!$F$6:$F$40,MATCH(G225,'TDS Rates'!$B$6:$B$40,0))="EXCESS",MAX(0,L225+H225-INDEX('TDS Rates'!$H$6:$H$40,MATCH(G225,'TDS Rates'!$B$6:$B$40,0)))-MAX(0,L225-INDEX('TDS Rates'!$H$6:$H$40,MATCH(G225,'TDS Rates'!$B$6:$B$40,0))),IF(INDEX('TDS Rates'!$F$6:$F$40,MATCH(G225,'TDS Rates'!$B$6:$B$40,0))="SA",IF(L225+H225&gt;INDEX('TDS Rates'!$H$6:$H$40,MATCH(G225,'TDS Rates'!$B$6:$B$40,0)),H225+M225,IF(H225&gt;INDEX('TDS Rates'!$G$6:$G$40,MATCH(G225,'TDS Rates'!$B$6:$B$40,0)),H225,0)),IF(L225+H225&gt;INDEX('TDS Rates'!$H$6:$H$40,MATCH(G225,'TDS Rates'!$B$6:$B$40,0)),H225+M225,0))))),0))</f>
        <v/>
      </c>
      <c r="O225" s="33" t="str">
        <f aca="false">IF(OR(G225="",H225=""),"",IFERROR(IF(F225="No",IF(INDEX('TDS Rates'!$C$6:$C$40,MATCH(G225,'TDS Rates'!$B$6:$B$40,0))="194Q",Settings!$C$14,MAX(Settings!$C$13,IF(E225="Individual / HUF",INDEX('TDS Rates'!$I$6:$I$40,MATCH(G225,'TDS Rates'!$B$6:$B$40,0)),IF(E225="Company",INDEX('TDS Rates'!$J$6:$J$40,MATCH(G225,'TDS Rates'!$B$6:$B$40,0)),INDEX('TDS Rates'!$K$6:$K$40,MATCH(G225,'TDS Rates'!$B$6:$B$40,0)))))),IF(E225="Individual / HUF",INDEX('TDS Rates'!$I$6:$I$40,MATCH(G225,'TDS Rates'!$B$6:$B$40,0)),IF(E225="Company",INDEX('TDS Rates'!$J$6:$J$40,MATCH(G225,'TDS Rates'!$B$6:$B$40,0)),INDEX('TDS Rates'!$K$6:$K$40,MATCH(G225,'TDS Rates'!$B$6:$B$40,0))))),0))</f>
        <v/>
      </c>
      <c r="P225" s="34" t="str">
        <f aca="false">IF(OR(G225="",H225=""),"",ROUND(N225*O225,0))</f>
        <v/>
      </c>
      <c r="Q225" s="27" t="str">
        <f aca="false">IF(OR(G225="",H225=""),"",IFERROR(IF(INDEX('TDS Rates'!$E$6:$E$40,MATCH(G225,'TDS Rates'!$B$6:$B$40,0))="Form 141",EOMONTH(IF(R225="",B225,R225),0)+30,IF(MONTH(IF(R225="",B225,R225))=3,DATE(YEAR(IF(R225="",B225,R225)),4,30),DATE(YEAR(IF(R225="",B225,R225)),MONTH(IF(R225="",B225,R225))+1,7))),""))</f>
        <v/>
      </c>
      <c r="R225" s="17"/>
      <c r="S225" s="17"/>
      <c r="T225" s="5"/>
      <c r="U225" s="28" t="str">
        <f aca="false">IF(OR(G225="",H225=""),"",IF(P225=0,0,IF(IF(R225="",Settings!$C$9,R225)&lt;=B225,0,((YEAR(IF(R225="",Settings!$C$9,R225))-YEAR(B225))*12+MONTH(IF(R225="",Settings!$C$9,R225))-MONTH(B225)+1))))</f>
        <v/>
      </c>
      <c r="V225" s="29" t="str">
        <f aca="false">IF(OR(G225="",H225=""),"",ROUND(P225*Settings!$C$10*U225,0))</f>
        <v/>
      </c>
      <c r="W225" s="28" t="str">
        <f aca="false">IF(OR(G225="",H225=""),"",IF(OR(P225=0,R225=""),0,IF(IF(S225="",Settings!$C$9,S225)&lt;=Q225,0,((YEAR(IF(S225="",Settings!$C$9,S225))-YEAR(R225))*12+MONTH(IF(S225="",Settings!$C$9,S225))-MONTH(R225)+1))))</f>
        <v/>
      </c>
      <c r="X225" s="29" t="str">
        <f aca="false">IF(OR(G225="",H225=""),"",ROUND(P225*Settings!$C$11*W225,0))</f>
        <v/>
      </c>
      <c r="Y225" s="29" t="str">
        <f aca="false">IF(OR(G225="",H225=""),"",V225+X225)</f>
        <v/>
      </c>
      <c r="Z225" s="7" t="str">
        <f aca="false">IF(OR(G225="",H225=""),"",IF(P225=0,"Below threshold",IF(R225="","Not yet deducted",IF(S225="",IF(Settings!$C$9&gt;Q225,"Overdue — pay now","Deducted, due "&amp;TEXT(Q225,"dd-mmm")),IF(S225&lt;=Q225,IF(N(U225)&gt;0,"Deducted late, paid on time","Paid on time"),"Paid late")))))</f>
        <v/>
      </c>
      <c r="AA225" s="35" t="str">
        <f aca="false">IF(OR(G225="",H225=""),"",IF(D225&lt;&gt;"",UPPER(TRIM(D225)),UPPER(TRIM(C225))))</f>
        <v/>
      </c>
    </row>
    <row r="226" customFormat="false" ht="15" hidden="false" customHeight="false" outlineLevel="0" collapsed="false">
      <c r="B226" s="17"/>
      <c r="C226" s="5"/>
      <c r="D226" s="5"/>
      <c r="E226" s="5"/>
      <c r="F226" s="5"/>
      <c r="G226" s="5"/>
      <c r="H226" s="16"/>
      <c r="I226" s="7" t="str">
        <f aca="false">IF(OR(G226="",H226=""),"",IFERROR(INDEX('TDS Rates'!$D$6:$D$40,MATCH(G226,'TDS Rates'!$B$6:$B$40,0)),"Check nature"))</f>
        <v/>
      </c>
      <c r="J226" s="7" t="str">
        <f aca="false">IF(OR(G226="",H226=""),"",IFERROR(INDEX('TDS Rates'!$C$6:$C$40,MATCH(G226,'TDS Rates'!$B$6:$B$40,0)),""))</f>
        <v/>
      </c>
      <c r="K226" s="7" t="str">
        <f aca="false">IF(OR(G226="",H226=""),"",IFERROR(INDEX('TDS Rates'!$E$6:$E$40,MATCH(G226,'TDS Rates'!$B$6:$B$40,0)),""))</f>
        <v/>
      </c>
      <c r="L226" s="29" t="str">
        <f aca="false">IF(OR(G226="",H226=""),"",SUMIFS(H$6:H225,AA$6:AA225,AA226,G$6:G225,G226))</f>
        <v/>
      </c>
      <c r="M226" s="29" t="str">
        <f aca="false">IF(OR(G226="",H226=""),"",SUMIFS(H$6:H225,AA$6:AA225,AA226,G$6:G225,G226,N$6:N225,0))</f>
        <v/>
      </c>
      <c r="N226" s="29" t="str">
        <f aca="false">IF(OR(G226="",H226=""),"",IFERROR(IF(INDEX('TDS Rates'!$F$6:$F$40,MATCH(G226,'TDS Rates'!$B$6:$B$40,0))="NONE",H226,IF(INDEX('TDS Rates'!$F$6:$F$40,MATCH(G226,'TDS Rates'!$B$6:$B$40,0))="PER",IF(H226&gt;INDEX('TDS Rates'!$G$6:$G$40,MATCH(G226,'TDS Rates'!$B$6:$B$40,0)),H226,0),IF(INDEX('TDS Rates'!$F$6:$F$40,MATCH(G226,'TDS Rates'!$B$6:$B$40,0))="EXCESS",MAX(0,L226+H226-INDEX('TDS Rates'!$H$6:$H$40,MATCH(G226,'TDS Rates'!$B$6:$B$40,0)))-MAX(0,L226-INDEX('TDS Rates'!$H$6:$H$40,MATCH(G226,'TDS Rates'!$B$6:$B$40,0))),IF(INDEX('TDS Rates'!$F$6:$F$40,MATCH(G226,'TDS Rates'!$B$6:$B$40,0))="SA",IF(L226+H226&gt;INDEX('TDS Rates'!$H$6:$H$40,MATCH(G226,'TDS Rates'!$B$6:$B$40,0)),H226+M226,IF(H226&gt;INDEX('TDS Rates'!$G$6:$G$40,MATCH(G226,'TDS Rates'!$B$6:$B$40,0)),H226,0)),IF(L226+H226&gt;INDEX('TDS Rates'!$H$6:$H$40,MATCH(G226,'TDS Rates'!$B$6:$B$40,0)),H226+M226,0))))),0))</f>
        <v/>
      </c>
      <c r="O226" s="33" t="str">
        <f aca="false">IF(OR(G226="",H226=""),"",IFERROR(IF(F226="No",IF(INDEX('TDS Rates'!$C$6:$C$40,MATCH(G226,'TDS Rates'!$B$6:$B$40,0))="194Q",Settings!$C$14,MAX(Settings!$C$13,IF(E226="Individual / HUF",INDEX('TDS Rates'!$I$6:$I$40,MATCH(G226,'TDS Rates'!$B$6:$B$40,0)),IF(E226="Company",INDEX('TDS Rates'!$J$6:$J$40,MATCH(G226,'TDS Rates'!$B$6:$B$40,0)),INDEX('TDS Rates'!$K$6:$K$40,MATCH(G226,'TDS Rates'!$B$6:$B$40,0)))))),IF(E226="Individual / HUF",INDEX('TDS Rates'!$I$6:$I$40,MATCH(G226,'TDS Rates'!$B$6:$B$40,0)),IF(E226="Company",INDEX('TDS Rates'!$J$6:$J$40,MATCH(G226,'TDS Rates'!$B$6:$B$40,0)),INDEX('TDS Rates'!$K$6:$K$40,MATCH(G226,'TDS Rates'!$B$6:$B$40,0))))),0))</f>
        <v/>
      </c>
      <c r="P226" s="34" t="str">
        <f aca="false">IF(OR(G226="",H226=""),"",ROUND(N226*O226,0))</f>
        <v/>
      </c>
      <c r="Q226" s="27" t="str">
        <f aca="false">IF(OR(G226="",H226=""),"",IFERROR(IF(INDEX('TDS Rates'!$E$6:$E$40,MATCH(G226,'TDS Rates'!$B$6:$B$40,0))="Form 141",EOMONTH(IF(R226="",B226,R226),0)+30,IF(MONTH(IF(R226="",B226,R226))=3,DATE(YEAR(IF(R226="",B226,R226)),4,30),DATE(YEAR(IF(R226="",B226,R226)),MONTH(IF(R226="",B226,R226))+1,7))),""))</f>
        <v/>
      </c>
      <c r="R226" s="17"/>
      <c r="S226" s="17"/>
      <c r="T226" s="5"/>
      <c r="U226" s="28" t="str">
        <f aca="false">IF(OR(G226="",H226=""),"",IF(P226=0,0,IF(IF(R226="",Settings!$C$9,R226)&lt;=B226,0,((YEAR(IF(R226="",Settings!$C$9,R226))-YEAR(B226))*12+MONTH(IF(R226="",Settings!$C$9,R226))-MONTH(B226)+1))))</f>
        <v/>
      </c>
      <c r="V226" s="29" t="str">
        <f aca="false">IF(OR(G226="",H226=""),"",ROUND(P226*Settings!$C$10*U226,0))</f>
        <v/>
      </c>
      <c r="W226" s="28" t="str">
        <f aca="false">IF(OR(G226="",H226=""),"",IF(OR(P226=0,R226=""),0,IF(IF(S226="",Settings!$C$9,S226)&lt;=Q226,0,((YEAR(IF(S226="",Settings!$C$9,S226))-YEAR(R226))*12+MONTH(IF(S226="",Settings!$C$9,S226))-MONTH(R226)+1))))</f>
        <v/>
      </c>
      <c r="X226" s="29" t="str">
        <f aca="false">IF(OR(G226="",H226=""),"",ROUND(P226*Settings!$C$11*W226,0))</f>
        <v/>
      </c>
      <c r="Y226" s="29" t="str">
        <f aca="false">IF(OR(G226="",H226=""),"",V226+X226)</f>
        <v/>
      </c>
      <c r="Z226" s="7" t="str">
        <f aca="false">IF(OR(G226="",H226=""),"",IF(P226=0,"Below threshold",IF(R226="","Not yet deducted",IF(S226="",IF(Settings!$C$9&gt;Q226,"Overdue — pay now","Deducted, due "&amp;TEXT(Q226,"dd-mmm")),IF(S226&lt;=Q226,IF(N(U226)&gt;0,"Deducted late, paid on time","Paid on time"),"Paid late")))))</f>
        <v/>
      </c>
      <c r="AA226" s="35" t="str">
        <f aca="false">IF(OR(G226="",H226=""),"",IF(D226&lt;&gt;"",UPPER(TRIM(D226)),UPPER(TRIM(C226))))</f>
        <v/>
      </c>
    </row>
    <row r="227" customFormat="false" ht="15" hidden="false" customHeight="false" outlineLevel="0" collapsed="false">
      <c r="B227" s="17"/>
      <c r="C227" s="5"/>
      <c r="D227" s="5"/>
      <c r="E227" s="5"/>
      <c r="F227" s="5"/>
      <c r="G227" s="5"/>
      <c r="H227" s="16"/>
      <c r="I227" s="7" t="str">
        <f aca="false">IF(OR(G227="",H227=""),"",IFERROR(INDEX('TDS Rates'!$D$6:$D$40,MATCH(G227,'TDS Rates'!$B$6:$B$40,0)),"Check nature"))</f>
        <v/>
      </c>
      <c r="J227" s="7" t="str">
        <f aca="false">IF(OR(G227="",H227=""),"",IFERROR(INDEX('TDS Rates'!$C$6:$C$40,MATCH(G227,'TDS Rates'!$B$6:$B$40,0)),""))</f>
        <v/>
      </c>
      <c r="K227" s="7" t="str">
        <f aca="false">IF(OR(G227="",H227=""),"",IFERROR(INDEX('TDS Rates'!$E$6:$E$40,MATCH(G227,'TDS Rates'!$B$6:$B$40,0)),""))</f>
        <v/>
      </c>
      <c r="L227" s="29" t="str">
        <f aca="false">IF(OR(G227="",H227=""),"",SUMIFS(H$6:H226,AA$6:AA226,AA227,G$6:G226,G227))</f>
        <v/>
      </c>
      <c r="M227" s="29" t="str">
        <f aca="false">IF(OR(G227="",H227=""),"",SUMIFS(H$6:H226,AA$6:AA226,AA227,G$6:G226,G227,N$6:N226,0))</f>
        <v/>
      </c>
      <c r="N227" s="29" t="str">
        <f aca="false">IF(OR(G227="",H227=""),"",IFERROR(IF(INDEX('TDS Rates'!$F$6:$F$40,MATCH(G227,'TDS Rates'!$B$6:$B$40,0))="NONE",H227,IF(INDEX('TDS Rates'!$F$6:$F$40,MATCH(G227,'TDS Rates'!$B$6:$B$40,0))="PER",IF(H227&gt;INDEX('TDS Rates'!$G$6:$G$40,MATCH(G227,'TDS Rates'!$B$6:$B$40,0)),H227,0),IF(INDEX('TDS Rates'!$F$6:$F$40,MATCH(G227,'TDS Rates'!$B$6:$B$40,0))="EXCESS",MAX(0,L227+H227-INDEX('TDS Rates'!$H$6:$H$40,MATCH(G227,'TDS Rates'!$B$6:$B$40,0)))-MAX(0,L227-INDEX('TDS Rates'!$H$6:$H$40,MATCH(G227,'TDS Rates'!$B$6:$B$40,0))),IF(INDEX('TDS Rates'!$F$6:$F$40,MATCH(G227,'TDS Rates'!$B$6:$B$40,0))="SA",IF(L227+H227&gt;INDEX('TDS Rates'!$H$6:$H$40,MATCH(G227,'TDS Rates'!$B$6:$B$40,0)),H227+M227,IF(H227&gt;INDEX('TDS Rates'!$G$6:$G$40,MATCH(G227,'TDS Rates'!$B$6:$B$40,0)),H227,0)),IF(L227+H227&gt;INDEX('TDS Rates'!$H$6:$H$40,MATCH(G227,'TDS Rates'!$B$6:$B$40,0)),H227+M227,0))))),0))</f>
        <v/>
      </c>
      <c r="O227" s="33" t="str">
        <f aca="false">IF(OR(G227="",H227=""),"",IFERROR(IF(F227="No",IF(INDEX('TDS Rates'!$C$6:$C$40,MATCH(G227,'TDS Rates'!$B$6:$B$40,0))="194Q",Settings!$C$14,MAX(Settings!$C$13,IF(E227="Individual / HUF",INDEX('TDS Rates'!$I$6:$I$40,MATCH(G227,'TDS Rates'!$B$6:$B$40,0)),IF(E227="Company",INDEX('TDS Rates'!$J$6:$J$40,MATCH(G227,'TDS Rates'!$B$6:$B$40,0)),INDEX('TDS Rates'!$K$6:$K$40,MATCH(G227,'TDS Rates'!$B$6:$B$40,0)))))),IF(E227="Individual / HUF",INDEX('TDS Rates'!$I$6:$I$40,MATCH(G227,'TDS Rates'!$B$6:$B$40,0)),IF(E227="Company",INDEX('TDS Rates'!$J$6:$J$40,MATCH(G227,'TDS Rates'!$B$6:$B$40,0)),INDEX('TDS Rates'!$K$6:$K$40,MATCH(G227,'TDS Rates'!$B$6:$B$40,0))))),0))</f>
        <v/>
      </c>
      <c r="P227" s="34" t="str">
        <f aca="false">IF(OR(G227="",H227=""),"",ROUND(N227*O227,0))</f>
        <v/>
      </c>
      <c r="Q227" s="27" t="str">
        <f aca="false">IF(OR(G227="",H227=""),"",IFERROR(IF(INDEX('TDS Rates'!$E$6:$E$40,MATCH(G227,'TDS Rates'!$B$6:$B$40,0))="Form 141",EOMONTH(IF(R227="",B227,R227),0)+30,IF(MONTH(IF(R227="",B227,R227))=3,DATE(YEAR(IF(R227="",B227,R227)),4,30),DATE(YEAR(IF(R227="",B227,R227)),MONTH(IF(R227="",B227,R227))+1,7))),""))</f>
        <v/>
      </c>
      <c r="R227" s="17"/>
      <c r="S227" s="17"/>
      <c r="T227" s="5"/>
      <c r="U227" s="28" t="str">
        <f aca="false">IF(OR(G227="",H227=""),"",IF(P227=0,0,IF(IF(R227="",Settings!$C$9,R227)&lt;=B227,0,((YEAR(IF(R227="",Settings!$C$9,R227))-YEAR(B227))*12+MONTH(IF(R227="",Settings!$C$9,R227))-MONTH(B227)+1))))</f>
        <v/>
      </c>
      <c r="V227" s="29" t="str">
        <f aca="false">IF(OR(G227="",H227=""),"",ROUND(P227*Settings!$C$10*U227,0))</f>
        <v/>
      </c>
      <c r="W227" s="28" t="str">
        <f aca="false">IF(OR(G227="",H227=""),"",IF(OR(P227=0,R227=""),0,IF(IF(S227="",Settings!$C$9,S227)&lt;=Q227,0,((YEAR(IF(S227="",Settings!$C$9,S227))-YEAR(R227))*12+MONTH(IF(S227="",Settings!$C$9,S227))-MONTH(R227)+1))))</f>
        <v/>
      </c>
      <c r="X227" s="29" t="str">
        <f aca="false">IF(OR(G227="",H227=""),"",ROUND(P227*Settings!$C$11*W227,0))</f>
        <v/>
      </c>
      <c r="Y227" s="29" t="str">
        <f aca="false">IF(OR(G227="",H227=""),"",V227+X227)</f>
        <v/>
      </c>
      <c r="Z227" s="7" t="str">
        <f aca="false">IF(OR(G227="",H227=""),"",IF(P227=0,"Below threshold",IF(R227="","Not yet deducted",IF(S227="",IF(Settings!$C$9&gt;Q227,"Overdue — pay now","Deducted, due "&amp;TEXT(Q227,"dd-mmm")),IF(S227&lt;=Q227,IF(N(U227)&gt;0,"Deducted late, paid on time","Paid on time"),"Paid late")))))</f>
        <v/>
      </c>
      <c r="AA227" s="35" t="str">
        <f aca="false">IF(OR(G227="",H227=""),"",IF(D227&lt;&gt;"",UPPER(TRIM(D227)),UPPER(TRIM(C227))))</f>
        <v/>
      </c>
    </row>
    <row r="228" customFormat="false" ht="15" hidden="false" customHeight="false" outlineLevel="0" collapsed="false">
      <c r="B228" s="17"/>
      <c r="C228" s="5"/>
      <c r="D228" s="5"/>
      <c r="E228" s="5"/>
      <c r="F228" s="5"/>
      <c r="G228" s="5"/>
      <c r="H228" s="16"/>
      <c r="I228" s="7" t="str">
        <f aca="false">IF(OR(G228="",H228=""),"",IFERROR(INDEX('TDS Rates'!$D$6:$D$40,MATCH(G228,'TDS Rates'!$B$6:$B$40,0)),"Check nature"))</f>
        <v/>
      </c>
      <c r="J228" s="7" t="str">
        <f aca="false">IF(OR(G228="",H228=""),"",IFERROR(INDEX('TDS Rates'!$C$6:$C$40,MATCH(G228,'TDS Rates'!$B$6:$B$40,0)),""))</f>
        <v/>
      </c>
      <c r="K228" s="7" t="str">
        <f aca="false">IF(OR(G228="",H228=""),"",IFERROR(INDEX('TDS Rates'!$E$6:$E$40,MATCH(G228,'TDS Rates'!$B$6:$B$40,0)),""))</f>
        <v/>
      </c>
      <c r="L228" s="29" t="str">
        <f aca="false">IF(OR(G228="",H228=""),"",SUMIFS(H$6:H227,AA$6:AA227,AA228,G$6:G227,G228))</f>
        <v/>
      </c>
      <c r="M228" s="29" t="str">
        <f aca="false">IF(OR(G228="",H228=""),"",SUMIFS(H$6:H227,AA$6:AA227,AA228,G$6:G227,G228,N$6:N227,0))</f>
        <v/>
      </c>
      <c r="N228" s="29" t="str">
        <f aca="false">IF(OR(G228="",H228=""),"",IFERROR(IF(INDEX('TDS Rates'!$F$6:$F$40,MATCH(G228,'TDS Rates'!$B$6:$B$40,0))="NONE",H228,IF(INDEX('TDS Rates'!$F$6:$F$40,MATCH(G228,'TDS Rates'!$B$6:$B$40,0))="PER",IF(H228&gt;INDEX('TDS Rates'!$G$6:$G$40,MATCH(G228,'TDS Rates'!$B$6:$B$40,0)),H228,0),IF(INDEX('TDS Rates'!$F$6:$F$40,MATCH(G228,'TDS Rates'!$B$6:$B$40,0))="EXCESS",MAX(0,L228+H228-INDEX('TDS Rates'!$H$6:$H$40,MATCH(G228,'TDS Rates'!$B$6:$B$40,0)))-MAX(0,L228-INDEX('TDS Rates'!$H$6:$H$40,MATCH(G228,'TDS Rates'!$B$6:$B$40,0))),IF(INDEX('TDS Rates'!$F$6:$F$40,MATCH(G228,'TDS Rates'!$B$6:$B$40,0))="SA",IF(L228+H228&gt;INDEX('TDS Rates'!$H$6:$H$40,MATCH(G228,'TDS Rates'!$B$6:$B$40,0)),H228+M228,IF(H228&gt;INDEX('TDS Rates'!$G$6:$G$40,MATCH(G228,'TDS Rates'!$B$6:$B$40,0)),H228,0)),IF(L228+H228&gt;INDEX('TDS Rates'!$H$6:$H$40,MATCH(G228,'TDS Rates'!$B$6:$B$40,0)),H228+M228,0))))),0))</f>
        <v/>
      </c>
      <c r="O228" s="33" t="str">
        <f aca="false">IF(OR(G228="",H228=""),"",IFERROR(IF(F228="No",IF(INDEX('TDS Rates'!$C$6:$C$40,MATCH(G228,'TDS Rates'!$B$6:$B$40,0))="194Q",Settings!$C$14,MAX(Settings!$C$13,IF(E228="Individual / HUF",INDEX('TDS Rates'!$I$6:$I$40,MATCH(G228,'TDS Rates'!$B$6:$B$40,0)),IF(E228="Company",INDEX('TDS Rates'!$J$6:$J$40,MATCH(G228,'TDS Rates'!$B$6:$B$40,0)),INDEX('TDS Rates'!$K$6:$K$40,MATCH(G228,'TDS Rates'!$B$6:$B$40,0)))))),IF(E228="Individual / HUF",INDEX('TDS Rates'!$I$6:$I$40,MATCH(G228,'TDS Rates'!$B$6:$B$40,0)),IF(E228="Company",INDEX('TDS Rates'!$J$6:$J$40,MATCH(G228,'TDS Rates'!$B$6:$B$40,0)),INDEX('TDS Rates'!$K$6:$K$40,MATCH(G228,'TDS Rates'!$B$6:$B$40,0))))),0))</f>
        <v/>
      </c>
      <c r="P228" s="34" t="str">
        <f aca="false">IF(OR(G228="",H228=""),"",ROUND(N228*O228,0))</f>
        <v/>
      </c>
      <c r="Q228" s="27" t="str">
        <f aca="false">IF(OR(G228="",H228=""),"",IFERROR(IF(INDEX('TDS Rates'!$E$6:$E$40,MATCH(G228,'TDS Rates'!$B$6:$B$40,0))="Form 141",EOMONTH(IF(R228="",B228,R228),0)+30,IF(MONTH(IF(R228="",B228,R228))=3,DATE(YEAR(IF(R228="",B228,R228)),4,30),DATE(YEAR(IF(R228="",B228,R228)),MONTH(IF(R228="",B228,R228))+1,7))),""))</f>
        <v/>
      </c>
      <c r="R228" s="17"/>
      <c r="S228" s="17"/>
      <c r="T228" s="5"/>
      <c r="U228" s="28" t="str">
        <f aca="false">IF(OR(G228="",H228=""),"",IF(P228=0,0,IF(IF(R228="",Settings!$C$9,R228)&lt;=B228,0,((YEAR(IF(R228="",Settings!$C$9,R228))-YEAR(B228))*12+MONTH(IF(R228="",Settings!$C$9,R228))-MONTH(B228)+1))))</f>
        <v/>
      </c>
      <c r="V228" s="29" t="str">
        <f aca="false">IF(OR(G228="",H228=""),"",ROUND(P228*Settings!$C$10*U228,0))</f>
        <v/>
      </c>
      <c r="W228" s="28" t="str">
        <f aca="false">IF(OR(G228="",H228=""),"",IF(OR(P228=0,R228=""),0,IF(IF(S228="",Settings!$C$9,S228)&lt;=Q228,0,((YEAR(IF(S228="",Settings!$C$9,S228))-YEAR(R228))*12+MONTH(IF(S228="",Settings!$C$9,S228))-MONTH(R228)+1))))</f>
        <v/>
      </c>
      <c r="X228" s="29" t="str">
        <f aca="false">IF(OR(G228="",H228=""),"",ROUND(P228*Settings!$C$11*W228,0))</f>
        <v/>
      </c>
      <c r="Y228" s="29" t="str">
        <f aca="false">IF(OR(G228="",H228=""),"",V228+X228)</f>
        <v/>
      </c>
      <c r="Z228" s="7" t="str">
        <f aca="false">IF(OR(G228="",H228=""),"",IF(P228=0,"Below threshold",IF(R228="","Not yet deducted",IF(S228="",IF(Settings!$C$9&gt;Q228,"Overdue — pay now","Deducted, due "&amp;TEXT(Q228,"dd-mmm")),IF(S228&lt;=Q228,IF(N(U228)&gt;0,"Deducted late, paid on time","Paid on time"),"Paid late")))))</f>
        <v/>
      </c>
      <c r="AA228" s="35" t="str">
        <f aca="false">IF(OR(G228="",H228=""),"",IF(D228&lt;&gt;"",UPPER(TRIM(D228)),UPPER(TRIM(C228))))</f>
        <v/>
      </c>
    </row>
    <row r="229" customFormat="false" ht="15" hidden="false" customHeight="false" outlineLevel="0" collapsed="false">
      <c r="B229" s="17"/>
      <c r="C229" s="5"/>
      <c r="D229" s="5"/>
      <c r="E229" s="5"/>
      <c r="F229" s="5"/>
      <c r="G229" s="5"/>
      <c r="H229" s="16"/>
      <c r="I229" s="7" t="str">
        <f aca="false">IF(OR(G229="",H229=""),"",IFERROR(INDEX('TDS Rates'!$D$6:$D$40,MATCH(G229,'TDS Rates'!$B$6:$B$40,0)),"Check nature"))</f>
        <v/>
      </c>
      <c r="J229" s="7" t="str">
        <f aca="false">IF(OR(G229="",H229=""),"",IFERROR(INDEX('TDS Rates'!$C$6:$C$40,MATCH(G229,'TDS Rates'!$B$6:$B$40,0)),""))</f>
        <v/>
      </c>
      <c r="K229" s="7" t="str">
        <f aca="false">IF(OR(G229="",H229=""),"",IFERROR(INDEX('TDS Rates'!$E$6:$E$40,MATCH(G229,'TDS Rates'!$B$6:$B$40,0)),""))</f>
        <v/>
      </c>
      <c r="L229" s="29" t="str">
        <f aca="false">IF(OR(G229="",H229=""),"",SUMIFS(H$6:H228,AA$6:AA228,AA229,G$6:G228,G229))</f>
        <v/>
      </c>
      <c r="M229" s="29" t="str">
        <f aca="false">IF(OR(G229="",H229=""),"",SUMIFS(H$6:H228,AA$6:AA228,AA229,G$6:G228,G229,N$6:N228,0))</f>
        <v/>
      </c>
      <c r="N229" s="29" t="str">
        <f aca="false">IF(OR(G229="",H229=""),"",IFERROR(IF(INDEX('TDS Rates'!$F$6:$F$40,MATCH(G229,'TDS Rates'!$B$6:$B$40,0))="NONE",H229,IF(INDEX('TDS Rates'!$F$6:$F$40,MATCH(G229,'TDS Rates'!$B$6:$B$40,0))="PER",IF(H229&gt;INDEX('TDS Rates'!$G$6:$G$40,MATCH(G229,'TDS Rates'!$B$6:$B$40,0)),H229,0),IF(INDEX('TDS Rates'!$F$6:$F$40,MATCH(G229,'TDS Rates'!$B$6:$B$40,0))="EXCESS",MAX(0,L229+H229-INDEX('TDS Rates'!$H$6:$H$40,MATCH(G229,'TDS Rates'!$B$6:$B$40,0)))-MAX(0,L229-INDEX('TDS Rates'!$H$6:$H$40,MATCH(G229,'TDS Rates'!$B$6:$B$40,0))),IF(INDEX('TDS Rates'!$F$6:$F$40,MATCH(G229,'TDS Rates'!$B$6:$B$40,0))="SA",IF(L229+H229&gt;INDEX('TDS Rates'!$H$6:$H$40,MATCH(G229,'TDS Rates'!$B$6:$B$40,0)),H229+M229,IF(H229&gt;INDEX('TDS Rates'!$G$6:$G$40,MATCH(G229,'TDS Rates'!$B$6:$B$40,0)),H229,0)),IF(L229+H229&gt;INDEX('TDS Rates'!$H$6:$H$40,MATCH(G229,'TDS Rates'!$B$6:$B$40,0)),H229+M229,0))))),0))</f>
        <v/>
      </c>
      <c r="O229" s="33" t="str">
        <f aca="false">IF(OR(G229="",H229=""),"",IFERROR(IF(F229="No",IF(INDEX('TDS Rates'!$C$6:$C$40,MATCH(G229,'TDS Rates'!$B$6:$B$40,0))="194Q",Settings!$C$14,MAX(Settings!$C$13,IF(E229="Individual / HUF",INDEX('TDS Rates'!$I$6:$I$40,MATCH(G229,'TDS Rates'!$B$6:$B$40,0)),IF(E229="Company",INDEX('TDS Rates'!$J$6:$J$40,MATCH(G229,'TDS Rates'!$B$6:$B$40,0)),INDEX('TDS Rates'!$K$6:$K$40,MATCH(G229,'TDS Rates'!$B$6:$B$40,0)))))),IF(E229="Individual / HUF",INDEX('TDS Rates'!$I$6:$I$40,MATCH(G229,'TDS Rates'!$B$6:$B$40,0)),IF(E229="Company",INDEX('TDS Rates'!$J$6:$J$40,MATCH(G229,'TDS Rates'!$B$6:$B$40,0)),INDEX('TDS Rates'!$K$6:$K$40,MATCH(G229,'TDS Rates'!$B$6:$B$40,0))))),0))</f>
        <v/>
      </c>
      <c r="P229" s="34" t="str">
        <f aca="false">IF(OR(G229="",H229=""),"",ROUND(N229*O229,0))</f>
        <v/>
      </c>
      <c r="Q229" s="27" t="str">
        <f aca="false">IF(OR(G229="",H229=""),"",IFERROR(IF(INDEX('TDS Rates'!$E$6:$E$40,MATCH(G229,'TDS Rates'!$B$6:$B$40,0))="Form 141",EOMONTH(IF(R229="",B229,R229),0)+30,IF(MONTH(IF(R229="",B229,R229))=3,DATE(YEAR(IF(R229="",B229,R229)),4,30),DATE(YEAR(IF(R229="",B229,R229)),MONTH(IF(R229="",B229,R229))+1,7))),""))</f>
        <v/>
      </c>
      <c r="R229" s="17"/>
      <c r="S229" s="17"/>
      <c r="T229" s="5"/>
      <c r="U229" s="28" t="str">
        <f aca="false">IF(OR(G229="",H229=""),"",IF(P229=0,0,IF(IF(R229="",Settings!$C$9,R229)&lt;=B229,0,((YEAR(IF(R229="",Settings!$C$9,R229))-YEAR(B229))*12+MONTH(IF(R229="",Settings!$C$9,R229))-MONTH(B229)+1))))</f>
        <v/>
      </c>
      <c r="V229" s="29" t="str">
        <f aca="false">IF(OR(G229="",H229=""),"",ROUND(P229*Settings!$C$10*U229,0))</f>
        <v/>
      </c>
      <c r="W229" s="28" t="str">
        <f aca="false">IF(OR(G229="",H229=""),"",IF(OR(P229=0,R229=""),0,IF(IF(S229="",Settings!$C$9,S229)&lt;=Q229,0,((YEAR(IF(S229="",Settings!$C$9,S229))-YEAR(R229))*12+MONTH(IF(S229="",Settings!$C$9,S229))-MONTH(R229)+1))))</f>
        <v/>
      </c>
      <c r="X229" s="29" t="str">
        <f aca="false">IF(OR(G229="",H229=""),"",ROUND(P229*Settings!$C$11*W229,0))</f>
        <v/>
      </c>
      <c r="Y229" s="29" t="str">
        <f aca="false">IF(OR(G229="",H229=""),"",V229+X229)</f>
        <v/>
      </c>
      <c r="Z229" s="7" t="str">
        <f aca="false">IF(OR(G229="",H229=""),"",IF(P229=0,"Below threshold",IF(R229="","Not yet deducted",IF(S229="",IF(Settings!$C$9&gt;Q229,"Overdue — pay now","Deducted, due "&amp;TEXT(Q229,"dd-mmm")),IF(S229&lt;=Q229,IF(N(U229)&gt;0,"Deducted late, paid on time","Paid on time"),"Paid late")))))</f>
        <v/>
      </c>
      <c r="AA229" s="35" t="str">
        <f aca="false">IF(OR(G229="",H229=""),"",IF(D229&lt;&gt;"",UPPER(TRIM(D229)),UPPER(TRIM(C229))))</f>
        <v/>
      </c>
    </row>
    <row r="230" customFormat="false" ht="15" hidden="false" customHeight="false" outlineLevel="0" collapsed="false">
      <c r="B230" s="17"/>
      <c r="C230" s="5"/>
      <c r="D230" s="5"/>
      <c r="E230" s="5"/>
      <c r="F230" s="5"/>
      <c r="G230" s="5"/>
      <c r="H230" s="16"/>
      <c r="I230" s="7" t="str">
        <f aca="false">IF(OR(G230="",H230=""),"",IFERROR(INDEX('TDS Rates'!$D$6:$D$40,MATCH(G230,'TDS Rates'!$B$6:$B$40,0)),"Check nature"))</f>
        <v/>
      </c>
      <c r="J230" s="7" t="str">
        <f aca="false">IF(OR(G230="",H230=""),"",IFERROR(INDEX('TDS Rates'!$C$6:$C$40,MATCH(G230,'TDS Rates'!$B$6:$B$40,0)),""))</f>
        <v/>
      </c>
      <c r="K230" s="7" t="str">
        <f aca="false">IF(OR(G230="",H230=""),"",IFERROR(INDEX('TDS Rates'!$E$6:$E$40,MATCH(G230,'TDS Rates'!$B$6:$B$40,0)),""))</f>
        <v/>
      </c>
      <c r="L230" s="29" t="str">
        <f aca="false">IF(OR(G230="",H230=""),"",SUMIFS(H$6:H229,AA$6:AA229,AA230,G$6:G229,G230))</f>
        <v/>
      </c>
      <c r="M230" s="29" t="str">
        <f aca="false">IF(OR(G230="",H230=""),"",SUMIFS(H$6:H229,AA$6:AA229,AA230,G$6:G229,G230,N$6:N229,0))</f>
        <v/>
      </c>
      <c r="N230" s="29" t="str">
        <f aca="false">IF(OR(G230="",H230=""),"",IFERROR(IF(INDEX('TDS Rates'!$F$6:$F$40,MATCH(G230,'TDS Rates'!$B$6:$B$40,0))="NONE",H230,IF(INDEX('TDS Rates'!$F$6:$F$40,MATCH(G230,'TDS Rates'!$B$6:$B$40,0))="PER",IF(H230&gt;INDEX('TDS Rates'!$G$6:$G$40,MATCH(G230,'TDS Rates'!$B$6:$B$40,0)),H230,0),IF(INDEX('TDS Rates'!$F$6:$F$40,MATCH(G230,'TDS Rates'!$B$6:$B$40,0))="EXCESS",MAX(0,L230+H230-INDEX('TDS Rates'!$H$6:$H$40,MATCH(G230,'TDS Rates'!$B$6:$B$40,0)))-MAX(0,L230-INDEX('TDS Rates'!$H$6:$H$40,MATCH(G230,'TDS Rates'!$B$6:$B$40,0))),IF(INDEX('TDS Rates'!$F$6:$F$40,MATCH(G230,'TDS Rates'!$B$6:$B$40,0))="SA",IF(L230+H230&gt;INDEX('TDS Rates'!$H$6:$H$40,MATCH(G230,'TDS Rates'!$B$6:$B$40,0)),H230+M230,IF(H230&gt;INDEX('TDS Rates'!$G$6:$G$40,MATCH(G230,'TDS Rates'!$B$6:$B$40,0)),H230,0)),IF(L230+H230&gt;INDEX('TDS Rates'!$H$6:$H$40,MATCH(G230,'TDS Rates'!$B$6:$B$40,0)),H230+M230,0))))),0))</f>
        <v/>
      </c>
      <c r="O230" s="33" t="str">
        <f aca="false">IF(OR(G230="",H230=""),"",IFERROR(IF(F230="No",IF(INDEX('TDS Rates'!$C$6:$C$40,MATCH(G230,'TDS Rates'!$B$6:$B$40,0))="194Q",Settings!$C$14,MAX(Settings!$C$13,IF(E230="Individual / HUF",INDEX('TDS Rates'!$I$6:$I$40,MATCH(G230,'TDS Rates'!$B$6:$B$40,0)),IF(E230="Company",INDEX('TDS Rates'!$J$6:$J$40,MATCH(G230,'TDS Rates'!$B$6:$B$40,0)),INDEX('TDS Rates'!$K$6:$K$40,MATCH(G230,'TDS Rates'!$B$6:$B$40,0)))))),IF(E230="Individual / HUF",INDEX('TDS Rates'!$I$6:$I$40,MATCH(G230,'TDS Rates'!$B$6:$B$40,0)),IF(E230="Company",INDEX('TDS Rates'!$J$6:$J$40,MATCH(G230,'TDS Rates'!$B$6:$B$40,0)),INDEX('TDS Rates'!$K$6:$K$40,MATCH(G230,'TDS Rates'!$B$6:$B$40,0))))),0))</f>
        <v/>
      </c>
      <c r="P230" s="34" t="str">
        <f aca="false">IF(OR(G230="",H230=""),"",ROUND(N230*O230,0))</f>
        <v/>
      </c>
      <c r="Q230" s="27" t="str">
        <f aca="false">IF(OR(G230="",H230=""),"",IFERROR(IF(INDEX('TDS Rates'!$E$6:$E$40,MATCH(G230,'TDS Rates'!$B$6:$B$40,0))="Form 141",EOMONTH(IF(R230="",B230,R230),0)+30,IF(MONTH(IF(R230="",B230,R230))=3,DATE(YEAR(IF(R230="",B230,R230)),4,30),DATE(YEAR(IF(R230="",B230,R230)),MONTH(IF(R230="",B230,R230))+1,7))),""))</f>
        <v/>
      </c>
      <c r="R230" s="17"/>
      <c r="S230" s="17"/>
      <c r="T230" s="5"/>
      <c r="U230" s="28" t="str">
        <f aca="false">IF(OR(G230="",H230=""),"",IF(P230=0,0,IF(IF(R230="",Settings!$C$9,R230)&lt;=B230,0,((YEAR(IF(R230="",Settings!$C$9,R230))-YEAR(B230))*12+MONTH(IF(R230="",Settings!$C$9,R230))-MONTH(B230)+1))))</f>
        <v/>
      </c>
      <c r="V230" s="29" t="str">
        <f aca="false">IF(OR(G230="",H230=""),"",ROUND(P230*Settings!$C$10*U230,0))</f>
        <v/>
      </c>
      <c r="W230" s="28" t="str">
        <f aca="false">IF(OR(G230="",H230=""),"",IF(OR(P230=0,R230=""),0,IF(IF(S230="",Settings!$C$9,S230)&lt;=Q230,0,((YEAR(IF(S230="",Settings!$C$9,S230))-YEAR(R230))*12+MONTH(IF(S230="",Settings!$C$9,S230))-MONTH(R230)+1))))</f>
        <v/>
      </c>
      <c r="X230" s="29" t="str">
        <f aca="false">IF(OR(G230="",H230=""),"",ROUND(P230*Settings!$C$11*W230,0))</f>
        <v/>
      </c>
      <c r="Y230" s="29" t="str">
        <f aca="false">IF(OR(G230="",H230=""),"",V230+X230)</f>
        <v/>
      </c>
      <c r="Z230" s="7" t="str">
        <f aca="false">IF(OR(G230="",H230=""),"",IF(P230=0,"Below threshold",IF(R230="","Not yet deducted",IF(S230="",IF(Settings!$C$9&gt;Q230,"Overdue — pay now","Deducted, due "&amp;TEXT(Q230,"dd-mmm")),IF(S230&lt;=Q230,IF(N(U230)&gt;0,"Deducted late, paid on time","Paid on time"),"Paid late")))))</f>
        <v/>
      </c>
      <c r="AA230" s="35" t="str">
        <f aca="false">IF(OR(G230="",H230=""),"",IF(D230&lt;&gt;"",UPPER(TRIM(D230)),UPPER(TRIM(C230))))</f>
        <v/>
      </c>
    </row>
    <row r="231" customFormat="false" ht="15" hidden="false" customHeight="false" outlineLevel="0" collapsed="false">
      <c r="B231" s="17"/>
      <c r="C231" s="5"/>
      <c r="D231" s="5"/>
      <c r="E231" s="5"/>
      <c r="F231" s="5"/>
      <c r="G231" s="5"/>
      <c r="H231" s="16"/>
      <c r="I231" s="7" t="str">
        <f aca="false">IF(OR(G231="",H231=""),"",IFERROR(INDEX('TDS Rates'!$D$6:$D$40,MATCH(G231,'TDS Rates'!$B$6:$B$40,0)),"Check nature"))</f>
        <v/>
      </c>
      <c r="J231" s="7" t="str">
        <f aca="false">IF(OR(G231="",H231=""),"",IFERROR(INDEX('TDS Rates'!$C$6:$C$40,MATCH(G231,'TDS Rates'!$B$6:$B$40,0)),""))</f>
        <v/>
      </c>
      <c r="K231" s="7" t="str">
        <f aca="false">IF(OR(G231="",H231=""),"",IFERROR(INDEX('TDS Rates'!$E$6:$E$40,MATCH(G231,'TDS Rates'!$B$6:$B$40,0)),""))</f>
        <v/>
      </c>
      <c r="L231" s="29" t="str">
        <f aca="false">IF(OR(G231="",H231=""),"",SUMIFS(H$6:H230,AA$6:AA230,AA231,G$6:G230,G231))</f>
        <v/>
      </c>
      <c r="M231" s="29" t="str">
        <f aca="false">IF(OR(G231="",H231=""),"",SUMIFS(H$6:H230,AA$6:AA230,AA231,G$6:G230,G231,N$6:N230,0))</f>
        <v/>
      </c>
      <c r="N231" s="29" t="str">
        <f aca="false">IF(OR(G231="",H231=""),"",IFERROR(IF(INDEX('TDS Rates'!$F$6:$F$40,MATCH(G231,'TDS Rates'!$B$6:$B$40,0))="NONE",H231,IF(INDEX('TDS Rates'!$F$6:$F$40,MATCH(G231,'TDS Rates'!$B$6:$B$40,0))="PER",IF(H231&gt;INDEX('TDS Rates'!$G$6:$G$40,MATCH(G231,'TDS Rates'!$B$6:$B$40,0)),H231,0),IF(INDEX('TDS Rates'!$F$6:$F$40,MATCH(G231,'TDS Rates'!$B$6:$B$40,0))="EXCESS",MAX(0,L231+H231-INDEX('TDS Rates'!$H$6:$H$40,MATCH(G231,'TDS Rates'!$B$6:$B$40,0)))-MAX(0,L231-INDEX('TDS Rates'!$H$6:$H$40,MATCH(G231,'TDS Rates'!$B$6:$B$40,0))),IF(INDEX('TDS Rates'!$F$6:$F$40,MATCH(G231,'TDS Rates'!$B$6:$B$40,0))="SA",IF(L231+H231&gt;INDEX('TDS Rates'!$H$6:$H$40,MATCH(G231,'TDS Rates'!$B$6:$B$40,0)),H231+M231,IF(H231&gt;INDEX('TDS Rates'!$G$6:$G$40,MATCH(G231,'TDS Rates'!$B$6:$B$40,0)),H231,0)),IF(L231+H231&gt;INDEX('TDS Rates'!$H$6:$H$40,MATCH(G231,'TDS Rates'!$B$6:$B$40,0)),H231+M231,0))))),0))</f>
        <v/>
      </c>
      <c r="O231" s="33" t="str">
        <f aca="false">IF(OR(G231="",H231=""),"",IFERROR(IF(F231="No",IF(INDEX('TDS Rates'!$C$6:$C$40,MATCH(G231,'TDS Rates'!$B$6:$B$40,0))="194Q",Settings!$C$14,MAX(Settings!$C$13,IF(E231="Individual / HUF",INDEX('TDS Rates'!$I$6:$I$40,MATCH(G231,'TDS Rates'!$B$6:$B$40,0)),IF(E231="Company",INDEX('TDS Rates'!$J$6:$J$40,MATCH(G231,'TDS Rates'!$B$6:$B$40,0)),INDEX('TDS Rates'!$K$6:$K$40,MATCH(G231,'TDS Rates'!$B$6:$B$40,0)))))),IF(E231="Individual / HUF",INDEX('TDS Rates'!$I$6:$I$40,MATCH(G231,'TDS Rates'!$B$6:$B$40,0)),IF(E231="Company",INDEX('TDS Rates'!$J$6:$J$40,MATCH(G231,'TDS Rates'!$B$6:$B$40,0)),INDEX('TDS Rates'!$K$6:$K$40,MATCH(G231,'TDS Rates'!$B$6:$B$40,0))))),0))</f>
        <v/>
      </c>
      <c r="P231" s="34" t="str">
        <f aca="false">IF(OR(G231="",H231=""),"",ROUND(N231*O231,0))</f>
        <v/>
      </c>
      <c r="Q231" s="27" t="str">
        <f aca="false">IF(OR(G231="",H231=""),"",IFERROR(IF(INDEX('TDS Rates'!$E$6:$E$40,MATCH(G231,'TDS Rates'!$B$6:$B$40,0))="Form 141",EOMONTH(IF(R231="",B231,R231),0)+30,IF(MONTH(IF(R231="",B231,R231))=3,DATE(YEAR(IF(R231="",B231,R231)),4,30),DATE(YEAR(IF(R231="",B231,R231)),MONTH(IF(R231="",B231,R231))+1,7))),""))</f>
        <v/>
      </c>
      <c r="R231" s="17"/>
      <c r="S231" s="17"/>
      <c r="T231" s="5"/>
      <c r="U231" s="28" t="str">
        <f aca="false">IF(OR(G231="",H231=""),"",IF(P231=0,0,IF(IF(R231="",Settings!$C$9,R231)&lt;=B231,0,((YEAR(IF(R231="",Settings!$C$9,R231))-YEAR(B231))*12+MONTH(IF(R231="",Settings!$C$9,R231))-MONTH(B231)+1))))</f>
        <v/>
      </c>
      <c r="V231" s="29" t="str">
        <f aca="false">IF(OR(G231="",H231=""),"",ROUND(P231*Settings!$C$10*U231,0))</f>
        <v/>
      </c>
      <c r="W231" s="28" t="str">
        <f aca="false">IF(OR(G231="",H231=""),"",IF(OR(P231=0,R231=""),0,IF(IF(S231="",Settings!$C$9,S231)&lt;=Q231,0,((YEAR(IF(S231="",Settings!$C$9,S231))-YEAR(R231))*12+MONTH(IF(S231="",Settings!$C$9,S231))-MONTH(R231)+1))))</f>
        <v/>
      </c>
      <c r="X231" s="29" t="str">
        <f aca="false">IF(OR(G231="",H231=""),"",ROUND(P231*Settings!$C$11*W231,0))</f>
        <v/>
      </c>
      <c r="Y231" s="29" t="str">
        <f aca="false">IF(OR(G231="",H231=""),"",V231+X231)</f>
        <v/>
      </c>
      <c r="Z231" s="7" t="str">
        <f aca="false">IF(OR(G231="",H231=""),"",IF(P231=0,"Below threshold",IF(R231="","Not yet deducted",IF(S231="",IF(Settings!$C$9&gt;Q231,"Overdue — pay now","Deducted, due "&amp;TEXT(Q231,"dd-mmm")),IF(S231&lt;=Q231,IF(N(U231)&gt;0,"Deducted late, paid on time","Paid on time"),"Paid late")))))</f>
        <v/>
      </c>
      <c r="AA231" s="35" t="str">
        <f aca="false">IF(OR(G231="",H231=""),"",IF(D231&lt;&gt;"",UPPER(TRIM(D231)),UPPER(TRIM(C231))))</f>
        <v/>
      </c>
    </row>
    <row r="232" customFormat="false" ht="15" hidden="false" customHeight="false" outlineLevel="0" collapsed="false">
      <c r="B232" s="17"/>
      <c r="C232" s="5"/>
      <c r="D232" s="5"/>
      <c r="E232" s="5"/>
      <c r="F232" s="5"/>
      <c r="G232" s="5"/>
      <c r="H232" s="16"/>
      <c r="I232" s="7" t="str">
        <f aca="false">IF(OR(G232="",H232=""),"",IFERROR(INDEX('TDS Rates'!$D$6:$D$40,MATCH(G232,'TDS Rates'!$B$6:$B$40,0)),"Check nature"))</f>
        <v/>
      </c>
      <c r="J232" s="7" t="str">
        <f aca="false">IF(OR(G232="",H232=""),"",IFERROR(INDEX('TDS Rates'!$C$6:$C$40,MATCH(G232,'TDS Rates'!$B$6:$B$40,0)),""))</f>
        <v/>
      </c>
      <c r="K232" s="7" t="str">
        <f aca="false">IF(OR(G232="",H232=""),"",IFERROR(INDEX('TDS Rates'!$E$6:$E$40,MATCH(G232,'TDS Rates'!$B$6:$B$40,0)),""))</f>
        <v/>
      </c>
      <c r="L232" s="29" t="str">
        <f aca="false">IF(OR(G232="",H232=""),"",SUMIFS(H$6:H231,AA$6:AA231,AA232,G$6:G231,G232))</f>
        <v/>
      </c>
      <c r="M232" s="29" t="str">
        <f aca="false">IF(OR(G232="",H232=""),"",SUMIFS(H$6:H231,AA$6:AA231,AA232,G$6:G231,G232,N$6:N231,0))</f>
        <v/>
      </c>
      <c r="N232" s="29" t="str">
        <f aca="false">IF(OR(G232="",H232=""),"",IFERROR(IF(INDEX('TDS Rates'!$F$6:$F$40,MATCH(G232,'TDS Rates'!$B$6:$B$40,0))="NONE",H232,IF(INDEX('TDS Rates'!$F$6:$F$40,MATCH(G232,'TDS Rates'!$B$6:$B$40,0))="PER",IF(H232&gt;INDEX('TDS Rates'!$G$6:$G$40,MATCH(G232,'TDS Rates'!$B$6:$B$40,0)),H232,0),IF(INDEX('TDS Rates'!$F$6:$F$40,MATCH(G232,'TDS Rates'!$B$6:$B$40,0))="EXCESS",MAX(0,L232+H232-INDEX('TDS Rates'!$H$6:$H$40,MATCH(G232,'TDS Rates'!$B$6:$B$40,0)))-MAX(0,L232-INDEX('TDS Rates'!$H$6:$H$40,MATCH(G232,'TDS Rates'!$B$6:$B$40,0))),IF(INDEX('TDS Rates'!$F$6:$F$40,MATCH(G232,'TDS Rates'!$B$6:$B$40,0))="SA",IF(L232+H232&gt;INDEX('TDS Rates'!$H$6:$H$40,MATCH(G232,'TDS Rates'!$B$6:$B$40,0)),H232+M232,IF(H232&gt;INDEX('TDS Rates'!$G$6:$G$40,MATCH(G232,'TDS Rates'!$B$6:$B$40,0)),H232,0)),IF(L232+H232&gt;INDEX('TDS Rates'!$H$6:$H$40,MATCH(G232,'TDS Rates'!$B$6:$B$40,0)),H232+M232,0))))),0))</f>
        <v/>
      </c>
      <c r="O232" s="33" t="str">
        <f aca="false">IF(OR(G232="",H232=""),"",IFERROR(IF(F232="No",IF(INDEX('TDS Rates'!$C$6:$C$40,MATCH(G232,'TDS Rates'!$B$6:$B$40,0))="194Q",Settings!$C$14,MAX(Settings!$C$13,IF(E232="Individual / HUF",INDEX('TDS Rates'!$I$6:$I$40,MATCH(G232,'TDS Rates'!$B$6:$B$40,0)),IF(E232="Company",INDEX('TDS Rates'!$J$6:$J$40,MATCH(G232,'TDS Rates'!$B$6:$B$40,0)),INDEX('TDS Rates'!$K$6:$K$40,MATCH(G232,'TDS Rates'!$B$6:$B$40,0)))))),IF(E232="Individual / HUF",INDEX('TDS Rates'!$I$6:$I$40,MATCH(G232,'TDS Rates'!$B$6:$B$40,0)),IF(E232="Company",INDEX('TDS Rates'!$J$6:$J$40,MATCH(G232,'TDS Rates'!$B$6:$B$40,0)),INDEX('TDS Rates'!$K$6:$K$40,MATCH(G232,'TDS Rates'!$B$6:$B$40,0))))),0))</f>
        <v/>
      </c>
      <c r="P232" s="34" t="str">
        <f aca="false">IF(OR(G232="",H232=""),"",ROUND(N232*O232,0))</f>
        <v/>
      </c>
      <c r="Q232" s="27" t="str">
        <f aca="false">IF(OR(G232="",H232=""),"",IFERROR(IF(INDEX('TDS Rates'!$E$6:$E$40,MATCH(G232,'TDS Rates'!$B$6:$B$40,0))="Form 141",EOMONTH(IF(R232="",B232,R232),0)+30,IF(MONTH(IF(R232="",B232,R232))=3,DATE(YEAR(IF(R232="",B232,R232)),4,30),DATE(YEAR(IF(R232="",B232,R232)),MONTH(IF(R232="",B232,R232))+1,7))),""))</f>
        <v/>
      </c>
      <c r="R232" s="17"/>
      <c r="S232" s="17"/>
      <c r="T232" s="5"/>
      <c r="U232" s="28" t="str">
        <f aca="false">IF(OR(G232="",H232=""),"",IF(P232=0,0,IF(IF(R232="",Settings!$C$9,R232)&lt;=B232,0,((YEAR(IF(R232="",Settings!$C$9,R232))-YEAR(B232))*12+MONTH(IF(R232="",Settings!$C$9,R232))-MONTH(B232)+1))))</f>
        <v/>
      </c>
      <c r="V232" s="29" t="str">
        <f aca="false">IF(OR(G232="",H232=""),"",ROUND(P232*Settings!$C$10*U232,0))</f>
        <v/>
      </c>
      <c r="W232" s="28" t="str">
        <f aca="false">IF(OR(G232="",H232=""),"",IF(OR(P232=0,R232=""),0,IF(IF(S232="",Settings!$C$9,S232)&lt;=Q232,0,((YEAR(IF(S232="",Settings!$C$9,S232))-YEAR(R232))*12+MONTH(IF(S232="",Settings!$C$9,S232))-MONTH(R232)+1))))</f>
        <v/>
      </c>
      <c r="X232" s="29" t="str">
        <f aca="false">IF(OR(G232="",H232=""),"",ROUND(P232*Settings!$C$11*W232,0))</f>
        <v/>
      </c>
      <c r="Y232" s="29" t="str">
        <f aca="false">IF(OR(G232="",H232=""),"",V232+X232)</f>
        <v/>
      </c>
      <c r="Z232" s="7" t="str">
        <f aca="false">IF(OR(G232="",H232=""),"",IF(P232=0,"Below threshold",IF(R232="","Not yet deducted",IF(S232="",IF(Settings!$C$9&gt;Q232,"Overdue — pay now","Deducted, due "&amp;TEXT(Q232,"dd-mmm")),IF(S232&lt;=Q232,IF(N(U232)&gt;0,"Deducted late, paid on time","Paid on time"),"Paid late")))))</f>
        <v/>
      </c>
      <c r="AA232" s="35" t="str">
        <f aca="false">IF(OR(G232="",H232=""),"",IF(D232&lt;&gt;"",UPPER(TRIM(D232)),UPPER(TRIM(C232))))</f>
        <v/>
      </c>
    </row>
    <row r="233" customFormat="false" ht="15" hidden="false" customHeight="false" outlineLevel="0" collapsed="false">
      <c r="B233" s="17"/>
      <c r="C233" s="5"/>
      <c r="D233" s="5"/>
      <c r="E233" s="5"/>
      <c r="F233" s="5"/>
      <c r="G233" s="5"/>
      <c r="H233" s="16"/>
      <c r="I233" s="7" t="str">
        <f aca="false">IF(OR(G233="",H233=""),"",IFERROR(INDEX('TDS Rates'!$D$6:$D$40,MATCH(G233,'TDS Rates'!$B$6:$B$40,0)),"Check nature"))</f>
        <v/>
      </c>
      <c r="J233" s="7" t="str">
        <f aca="false">IF(OR(G233="",H233=""),"",IFERROR(INDEX('TDS Rates'!$C$6:$C$40,MATCH(G233,'TDS Rates'!$B$6:$B$40,0)),""))</f>
        <v/>
      </c>
      <c r="K233" s="7" t="str">
        <f aca="false">IF(OR(G233="",H233=""),"",IFERROR(INDEX('TDS Rates'!$E$6:$E$40,MATCH(G233,'TDS Rates'!$B$6:$B$40,0)),""))</f>
        <v/>
      </c>
      <c r="L233" s="29" t="str">
        <f aca="false">IF(OR(G233="",H233=""),"",SUMIFS(H$6:H232,AA$6:AA232,AA233,G$6:G232,G233))</f>
        <v/>
      </c>
      <c r="M233" s="29" t="str">
        <f aca="false">IF(OR(G233="",H233=""),"",SUMIFS(H$6:H232,AA$6:AA232,AA233,G$6:G232,G233,N$6:N232,0))</f>
        <v/>
      </c>
      <c r="N233" s="29" t="str">
        <f aca="false">IF(OR(G233="",H233=""),"",IFERROR(IF(INDEX('TDS Rates'!$F$6:$F$40,MATCH(G233,'TDS Rates'!$B$6:$B$40,0))="NONE",H233,IF(INDEX('TDS Rates'!$F$6:$F$40,MATCH(G233,'TDS Rates'!$B$6:$B$40,0))="PER",IF(H233&gt;INDEX('TDS Rates'!$G$6:$G$40,MATCH(G233,'TDS Rates'!$B$6:$B$40,0)),H233,0),IF(INDEX('TDS Rates'!$F$6:$F$40,MATCH(G233,'TDS Rates'!$B$6:$B$40,0))="EXCESS",MAX(0,L233+H233-INDEX('TDS Rates'!$H$6:$H$40,MATCH(G233,'TDS Rates'!$B$6:$B$40,0)))-MAX(0,L233-INDEX('TDS Rates'!$H$6:$H$40,MATCH(G233,'TDS Rates'!$B$6:$B$40,0))),IF(INDEX('TDS Rates'!$F$6:$F$40,MATCH(G233,'TDS Rates'!$B$6:$B$40,0))="SA",IF(L233+H233&gt;INDEX('TDS Rates'!$H$6:$H$40,MATCH(G233,'TDS Rates'!$B$6:$B$40,0)),H233+M233,IF(H233&gt;INDEX('TDS Rates'!$G$6:$G$40,MATCH(G233,'TDS Rates'!$B$6:$B$40,0)),H233,0)),IF(L233+H233&gt;INDEX('TDS Rates'!$H$6:$H$40,MATCH(G233,'TDS Rates'!$B$6:$B$40,0)),H233+M233,0))))),0))</f>
        <v/>
      </c>
      <c r="O233" s="33" t="str">
        <f aca="false">IF(OR(G233="",H233=""),"",IFERROR(IF(F233="No",IF(INDEX('TDS Rates'!$C$6:$C$40,MATCH(G233,'TDS Rates'!$B$6:$B$40,0))="194Q",Settings!$C$14,MAX(Settings!$C$13,IF(E233="Individual / HUF",INDEX('TDS Rates'!$I$6:$I$40,MATCH(G233,'TDS Rates'!$B$6:$B$40,0)),IF(E233="Company",INDEX('TDS Rates'!$J$6:$J$40,MATCH(G233,'TDS Rates'!$B$6:$B$40,0)),INDEX('TDS Rates'!$K$6:$K$40,MATCH(G233,'TDS Rates'!$B$6:$B$40,0)))))),IF(E233="Individual / HUF",INDEX('TDS Rates'!$I$6:$I$40,MATCH(G233,'TDS Rates'!$B$6:$B$40,0)),IF(E233="Company",INDEX('TDS Rates'!$J$6:$J$40,MATCH(G233,'TDS Rates'!$B$6:$B$40,0)),INDEX('TDS Rates'!$K$6:$K$40,MATCH(G233,'TDS Rates'!$B$6:$B$40,0))))),0))</f>
        <v/>
      </c>
      <c r="P233" s="34" t="str">
        <f aca="false">IF(OR(G233="",H233=""),"",ROUND(N233*O233,0))</f>
        <v/>
      </c>
      <c r="Q233" s="27" t="str">
        <f aca="false">IF(OR(G233="",H233=""),"",IFERROR(IF(INDEX('TDS Rates'!$E$6:$E$40,MATCH(G233,'TDS Rates'!$B$6:$B$40,0))="Form 141",EOMONTH(IF(R233="",B233,R233),0)+30,IF(MONTH(IF(R233="",B233,R233))=3,DATE(YEAR(IF(R233="",B233,R233)),4,30),DATE(YEAR(IF(R233="",B233,R233)),MONTH(IF(R233="",B233,R233))+1,7))),""))</f>
        <v/>
      </c>
      <c r="R233" s="17"/>
      <c r="S233" s="17"/>
      <c r="T233" s="5"/>
      <c r="U233" s="28" t="str">
        <f aca="false">IF(OR(G233="",H233=""),"",IF(P233=0,0,IF(IF(R233="",Settings!$C$9,R233)&lt;=B233,0,((YEAR(IF(R233="",Settings!$C$9,R233))-YEAR(B233))*12+MONTH(IF(R233="",Settings!$C$9,R233))-MONTH(B233)+1))))</f>
        <v/>
      </c>
      <c r="V233" s="29" t="str">
        <f aca="false">IF(OR(G233="",H233=""),"",ROUND(P233*Settings!$C$10*U233,0))</f>
        <v/>
      </c>
      <c r="W233" s="28" t="str">
        <f aca="false">IF(OR(G233="",H233=""),"",IF(OR(P233=0,R233=""),0,IF(IF(S233="",Settings!$C$9,S233)&lt;=Q233,0,((YEAR(IF(S233="",Settings!$C$9,S233))-YEAR(R233))*12+MONTH(IF(S233="",Settings!$C$9,S233))-MONTH(R233)+1))))</f>
        <v/>
      </c>
      <c r="X233" s="29" t="str">
        <f aca="false">IF(OR(G233="",H233=""),"",ROUND(P233*Settings!$C$11*W233,0))</f>
        <v/>
      </c>
      <c r="Y233" s="29" t="str">
        <f aca="false">IF(OR(G233="",H233=""),"",V233+X233)</f>
        <v/>
      </c>
      <c r="Z233" s="7" t="str">
        <f aca="false">IF(OR(G233="",H233=""),"",IF(P233=0,"Below threshold",IF(R233="","Not yet deducted",IF(S233="",IF(Settings!$C$9&gt;Q233,"Overdue — pay now","Deducted, due "&amp;TEXT(Q233,"dd-mmm")),IF(S233&lt;=Q233,IF(N(U233)&gt;0,"Deducted late, paid on time","Paid on time"),"Paid late")))))</f>
        <v/>
      </c>
      <c r="AA233" s="35" t="str">
        <f aca="false">IF(OR(G233="",H233=""),"",IF(D233&lt;&gt;"",UPPER(TRIM(D233)),UPPER(TRIM(C233))))</f>
        <v/>
      </c>
    </row>
    <row r="234" customFormat="false" ht="15" hidden="false" customHeight="false" outlineLevel="0" collapsed="false">
      <c r="B234" s="17"/>
      <c r="C234" s="5"/>
      <c r="D234" s="5"/>
      <c r="E234" s="5"/>
      <c r="F234" s="5"/>
      <c r="G234" s="5"/>
      <c r="H234" s="16"/>
      <c r="I234" s="7" t="str">
        <f aca="false">IF(OR(G234="",H234=""),"",IFERROR(INDEX('TDS Rates'!$D$6:$D$40,MATCH(G234,'TDS Rates'!$B$6:$B$40,0)),"Check nature"))</f>
        <v/>
      </c>
      <c r="J234" s="7" t="str">
        <f aca="false">IF(OR(G234="",H234=""),"",IFERROR(INDEX('TDS Rates'!$C$6:$C$40,MATCH(G234,'TDS Rates'!$B$6:$B$40,0)),""))</f>
        <v/>
      </c>
      <c r="K234" s="7" t="str">
        <f aca="false">IF(OR(G234="",H234=""),"",IFERROR(INDEX('TDS Rates'!$E$6:$E$40,MATCH(G234,'TDS Rates'!$B$6:$B$40,0)),""))</f>
        <v/>
      </c>
      <c r="L234" s="29" t="str">
        <f aca="false">IF(OR(G234="",H234=""),"",SUMIFS(H$6:H233,AA$6:AA233,AA234,G$6:G233,G234))</f>
        <v/>
      </c>
      <c r="M234" s="29" t="str">
        <f aca="false">IF(OR(G234="",H234=""),"",SUMIFS(H$6:H233,AA$6:AA233,AA234,G$6:G233,G234,N$6:N233,0))</f>
        <v/>
      </c>
      <c r="N234" s="29" t="str">
        <f aca="false">IF(OR(G234="",H234=""),"",IFERROR(IF(INDEX('TDS Rates'!$F$6:$F$40,MATCH(G234,'TDS Rates'!$B$6:$B$40,0))="NONE",H234,IF(INDEX('TDS Rates'!$F$6:$F$40,MATCH(G234,'TDS Rates'!$B$6:$B$40,0))="PER",IF(H234&gt;INDEX('TDS Rates'!$G$6:$G$40,MATCH(G234,'TDS Rates'!$B$6:$B$40,0)),H234,0),IF(INDEX('TDS Rates'!$F$6:$F$40,MATCH(G234,'TDS Rates'!$B$6:$B$40,0))="EXCESS",MAX(0,L234+H234-INDEX('TDS Rates'!$H$6:$H$40,MATCH(G234,'TDS Rates'!$B$6:$B$40,0)))-MAX(0,L234-INDEX('TDS Rates'!$H$6:$H$40,MATCH(G234,'TDS Rates'!$B$6:$B$40,0))),IF(INDEX('TDS Rates'!$F$6:$F$40,MATCH(G234,'TDS Rates'!$B$6:$B$40,0))="SA",IF(L234+H234&gt;INDEX('TDS Rates'!$H$6:$H$40,MATCH(G234,'TDS Rates'!$B$6:$B$40,0)),H234+M234,IF(H234&gt;INDEX('TDS Rates'!$G$6:$G$40,MATCH(G234,'TDS Rates'!$B$6:$B$40,0)),H234,0)),IF(L234+H234&gt;INDEX('TDS Rates'!$H$6:$H$40,MATCH(G234,'TDS Rates'!$B$6:$B$40,0)),H234+M234,0))))),0))</f>
        <v/>
      </c>
      <c r="O234" s="33" t="str">
        <f aca="false">IF(OR(G234="",H234=""),"",IFERROR(IF(F234="No",IF(INDEX('TDS Rates'!$C$6:$C$40,MATCH(G234,'TDS Rates'!$B$6:$B$40,0))="194Q",Settings!$C$14,MAX(Settings!$C$13,IF(E234="Individual / HUF",INDEX('TDS Rates'!$I$6:$I$40,MATCH(G234,'TDS Rates'!$B$6:$B$40,0)),IF(E234="Company",INDEX('TDS Rates'!$J$6:$J$40,MATCH(G234,'TDS Rates'!$B$6:$B$40,0)),INDEX('TDS Rates'!$K$6:$K$40,MATCH(G234,'TDS Rates'!$B$6:$B$40,0)))))),IF(E234="Individual / HUF",INDEX('TDS Rates'!$I$6:$I$40,MATCH(G234,'TDS Rates'!$B$6:$B$40,0)),IF(E234="Company",INDEX('TDS Rates'!$J$6:$J$40,MATCH(G234,'TDS Rates'!$B$6:$B$40,0)),INDEX('TDS Rates'!$K$6:$K$40,MATCH(G234,'TDS Rates'!$B$6:$B$40,0))))),0))</f>
        <v/>
      </c>
      <c r="P234" s="34" t="str">
        <f aca="false">IF(OR(G234="",H234=""),"",ROUND(N234*O234,0))</f>
        <v/>
      </c>
      <c r="Q234" s="27" t="str">
        <f aca="false">IF(OR(G234="",H234=""),"",IFERROR(IF(INDEX('TDS Rates'!$E$6:$E$40,MATCH(G234,'TDS Rates'!$B$6:$B$40,0))="Form 141",EOMONTH(IF(R234="",B234,R234),0)+30,IF(MONTH(IF(R234="",B234,R234))=3,DATE(YEAR(IF(R234="",B234,R234)),4,30),DATE(YEAR(IF(R234="",B234,R234)),MONTH(IF(R234="",B234,R234))+1,7))),""))</f>
        <v/>
      </c>
      <c r="R234" s="17"/>
      <c r="S234" s="17"/>
      <c r="T234" s="5"/>
      <c r="U234" s="28" t="str">
        <f aca="false">IF(OR(G234="",H234=""),"",IF(P234=0,0,IF(IF(R234="",Settings!$C$9,R234)&lt;=B234,0,((YEAR(IF(R234="",Settings!$C$9,R234))-YEAR(B234))*12+MONTH(IF(R234="",Settings!$C$9,R234))-MONTH(B234)+1))))</f>
        <v/>
      </c>
      <c r="V234" s="29" t="str">
        <f aca="false">IF(OR(G234="",H234=""),"",ROUND(P234*Settings!$C$10*U234,0))</f>
        <v/>
      </c>
      <c r="W234" s="28" t="str">
        <f aca="false">IF(OR(G234="",H234=""),"",IF(OR(P234=0,R234=""),0,IF(IF(S234="",Settings!$C$9,S234)&lt;=Q234,0,((YEAR(IF(S234="",Settings!$C$9,S234))-YEAR(R234))*12+MONTH(IF(S234="",Settings!$C$9,S234))-MONTH(R234)+1))))</f>
        <v/>
      </c>
      <c r="X234" s="29" t="str">
        <f aca="false">IF(OR(G234="",H234=""),"",ROUND(P234*Settings!$C$11*W234,0))</f>
        <v/>
      </c>
      <c r="Y234" s="29" t="str">
        <f aca="false">IF(OR(G234="",H234=""),"",V234+X234)</f>
        <v/>
      </c>
      <c r="Z234" s="7" t="str">
        <f aca="false">IF(OR(G234="",H234=""),"",IF(P234=0,"Below threshold",IF(R234="","Not yet deducted",IF(S234="",IF(Settings!$C$9&gt;Q234,"Overdue — pay now","Deducted, due "&amp;TEXT(Q234,"dd-mmm")),IF(S234&lt;=Q234,IF(N(U234)&gt;0,"Deducted late, paid on time","Paid on time"),"Paid late")))))</f>
        <v/>
      </c>
      <c r="AA234" s="35" t="str">
        <f aca="false">IF(OR(G234="",H234=""),"",IF(D234&lt;&gt;"",UPPER(TRIM(D234)),UPPER(TRIM(C234))))</f>
        <v/>
      </c>
    </row>
    <row r="235" customFormat="false" ht="15" hidden="false" customHeight="false" outlineLevel="0" collapsed="false">
      <c r="B235" s="17"/>
      <c r="C235" s="5"/>
      <c r="D235" s="5"/>
      <c r="E235" s="5"/>
      <c r="F235" s="5"/>
      <c r="G235" s="5"/>
      <c r="H235" s="16"/>
      <c r="I235" s="7" t="str">
        <f aca="false">IF(OR(G235="",H235=""),"",IFERROR(INDEX('TDS Rates'!$D$6:$D$40,MATCH(G235,'TDS Rates'!$B$6:$B$40,0)),"Check nature"))</f>
        <v/>
      </c>
      <c r="J235" s="7" t="str">
        <f aca="false">IF(OR(G235="",H235=""),"",IFERROR(INDEX('TDS Rates'!$C$6:$C$40,MATCH(G235,'TDS Rates'!$B$6:$B$40,0)),""))</f>
        <v/>
      </c>
      <c r="K235" s="7" t="str">
        <f aca="false">IF(OR(G235="",H235=""),"",IFERROR(INDEX('TDS Rates'!$E$6:$E$40,MATCH(G235,'TDS Rates'!$B$6:$B$40,0)),""))</f>
        <v/>
      </c>
      <c r="L235" s="29" t="str">
        <f aca="false">IF(OR(G235="",H235=""),"",SUMIFS(H$6:H234,AA$6:AA234,AA235,G$6:G234,G235))</f>
        <v/>
      </c>
      <c r="M235" s="29" t="str">
        <f aca="false">IF(OR(G235="",H235=""),"",SUMIFS(H$6:H234,AA$6:AA234,AA235,G$6:G234,G235,N$6:N234,0))</f>
        <v/>
      </c>
      <c r="N235" s="29" t="str">
        <f aca="false">IF(OR(G235="",H235=""),"",IFERROR(IF(INDEX('TDS Rates'!$F$6:$F$40,MATCH(G235,'TDS Rates'!$B$6:$B$40,0))="NONE",H235,IF(INDEX('TDS Rates'!$F$6:$F$40,MATCH(G235,'TDS Rates'!$B$6:$B$40,0))="PER",IF(H235&gt;INDEX('TDS Rates'!$G$6:$G$40,MATCH(G235,'TDS Rates'!$B$6:$B$40,0)),H235,0),IF(INDEX('TDS Rates'!$F$6:$F$40,MATCH(G235,'TDS Rates'!$B$6:$B$40,0))="EXCESS",MAX(0,L235+H235-INDEX('TDS Rates'!$H$6:$H$40,MATCH(G235,'TDS Rates'!$B$6:$B$40,0)))-MAX(0,L235-INDEX('TDS Rates'!$H$6:$H$40,MATCH(G235,'TDS Rates'!$B$6:$B$40,0))),IF(INDEX('TDS Rates'!$F$6:$F$40,MATCH(G235,'TDS Rates'!$B$6:$B$40,0))="SA",IF(L235+H235&gt;INDEX('TDS Rates'!$H$6:$H$40,MATCH(G235,'TDS Rates'!$B$6:$B$40,0)),H235+M235,IF(H235&gt;INDEX('TDS Rates'!$G$6:$G$40,MATCH(G235,'TDS Rates'!$B$6:$B$40,0)),H235,0)),IF(L235+H235&gt;INDEX('TDS Rates'!$H$6:$H$40,MATCH(G235,'TDS Rates'!$B$6:$B$40,0)),H235+M235,0))))),0))</f>
        <v/>
      </c>
      <c r="O235" s="33" t="str">
        <f aca="false">IF(OR(G235="",H235=""),"",IFERROR(IF(F235="No",IF(INDEX('TDS Rates'!$C$6:$C$40,MATCH(G235,'TDS Rates'!$B$6:$B$40,0))="194Q",Settings!$C$14,MAX(Settings!$C$13,IF(E235="Individual / HUF",INDEX('TDS Rates'!$I$6:$I$40,MATCH(G235,'TDS Rates'!$B$6:$B$40,0)),IF(E235="Company",INDEX('TDS Rates'!$J$6:$J$40,MATCH(G235,'TDS Rates'!$B$6:$B$40,0)),INDEX('TDS Rates'!$K$6:$K$40,MATCH(G235,'TDS Rates'!$B$6:$B$40,0)))))),IF(E235="Individual / HUF",INDEX('TDS Rates'!$I$6:$I$40,MATCH(G235,'TDS Rates'!$B$6:$B$40,0)),IF(E235="Company",INDEX('TDS Rates'!$J$6:$J$40,MATCH(G235,'TDS Rates'!$B$6:$B$40,0)),INDEX('TDS Rates'!$K$6:$K$40,MATCH(G235,'TDS Rates'!$B$6:$B$40,0))))),0))</f>
        <v/>
      </c>
      <c r="P235" s="34" t="str">
        <f aca="false">IF(OR(G235="",H235=""),"",ROUND(N235*O235,0))</f>
        <v/>
      </c>
      <c r="Q235" s="27" t="str">
        <f aca="false">IF(OR(G235="",H235=""),"",IFERROR(IF(INDEX('TDS Rates'!$E$6:$E$40,MATCH(G235,'TDS Rates'!$B$6:$B$40,0))="Form 141",EOMONTH(IF(R235="",B235,R235),0)+30,IF(MONTH(IF(R235="",B235,R235))=3,DATE(YEAR(IF(R235="",B235,R235)),4,30),DATE(YEAR(IF(R235="",B235,R235)),MONTH(IF(R235="",B235,R235))+1,7))),""))</f>
        <v/>
      </c>
      <c r="R235" s="17"/>
      <c r="S235" s="17"/>
      <c r="T235" s="5"/>
      <c r="U235" s="28" t="str">
        <f aca="false">IF(OR(G235="",H235=""),"",IF(P235=0,0,IF(IF(R235="",Settings!$C$9,R235)&lt;=B235,0,((YEAR(IF(R235="",Settings!$C$9,R235))-YEAR(B235))*12+MONTH(IF(R235="",Settings!$C$9,R235))-MONTH(B235)+1))))</f>
        <v/>
      </c>
      <c r="V235" s="29" t="str">
        <f aca="false">IF(OR(G235="",H235=""),"",ROUND(P235*Settings!$C$10*U235,0))</f>
        <v/>
      </c>
      <c r="W235" s="28" t="str">
        <f aca="false">IF(OR(G235="",H235=""),"",IF(OR(P235=0,R235=""),0,IF(IF(S235="",Settings!$C$9,S235)&lt;=Q235,0,((YEAR(IF(S235="",Settings!$C$9,S235))-YEAR(R235))*12+MONTH(IF(S235="",Settings!$C$9,S235))-MONTH(R235)+1))))</f>
        <v/>
      </c>
      <c r="X235" s="29" t="str">
        <f aca="false">IF(OR(G235="",H235=""),"",ROUND(P235*Settings!$C$11*W235,0))</f>
        <v/>
      </c>
      <c r="Y235" s="29" t="str">
        <f aca="false">IF(OR(G235="",H235=""),"",V235+X235)</f>
        <v/>
      </c>
      <c r="Z235" s="7" t="str">
        <f aca="false">IF(OR(G235="",H235=""),"",IF(P235=0,"Below threshold",IF(R235="","Not yet deducted",IF(S235="",IF(Settings!$C$9&gt;Q235,"Overdue — pay now","Deducted, due "&amp;TEXT(Q235,"dd-mmm")),IF(S235&lt;=Q235,IF(N(U235)&gt;0,"Deducted late, paid on time","Paid on time"),"Paid late")))))</f>
        <v/>
      </c>
      <c r="AA235" s="35" t="str">
        <f aca="false">IF(OR(G235="",H235=""),"",IF(D235&lt;&gt;"",UPPER(TRIM(D235)),UPPER(TRIM(C235))))</f>
        <v/>
      </c>
    </row>
    <row r="236" customFormat="false" ht="15" hidden="false" customHeight="false" outlineLevel="0" collapsed="false">
      <c r="B236" s="17"/>
      <c r="C236" s="5"/>
      <c r="D236" s="5"/>
      <c r="E236" s="5"/>
      <c r="F236" s="5"/>
      <c r="G236" s="5"/>
      <c r="H236" s="16"/>
      <c r="I236" s="7" t="str">
        <f aca="false">IF(OR(G236="",H236=""),"",IFERROR(INDEX('TDS Rates'!$D$6:$D$40,MATCH(G236,'TDS Rates'!$B$6:$B$40,0)),"Check nature"))</f>
        <v/>
      </c>
      <c r="J236" s="7" t="str">
        <f aca="false">IF(OR(G236="",H236=""),"",IFERROR(INDEX('TDS Rates'!$C$6:$C$40,MATCH(G236,'TDS Rates'!$B$6:$B$40,0)),""))</f>
        <v/>
      </c>
      <c r="K236" s="7" t="str">
        <f aca="false">IF(OR(G236="",H236=""),"",IFERROR(INDEX('TDS Rates'!$E$6:$E$40,MATCH(G236,'TDS Rates'!$B$6:$B$40,0)),""))</f>
        <v/>
      </c>
      <c r="L236" s="29" t="str">
        <f aca="false">IF(OR(G236="",H236=""),"",SUMIFS(H$6:H235,AA$6:AA235,AA236,G$6:G235,G236))</f>
        <v/>
      </c>
      <c r="M236" s="29" t="str">
        <f aca="false">IF(OR(G236="",H236=""),"",SUMIFS(H$6:H235,AA$6:AA235,AA236,G$6:G235,G236,N$6:N235,0))</f>
        <v/>
      </c>
      <c r="N236" s="29" t="str">
        <f aca="false">IF(OR(G236="",H236=""),"",IFERROR(IF(INDEX('TDS Rates'!$F$6:$F$40,MATCH(G236,'TDS Rates'!$B$6:$B$40,0))="NONE",H236,IF(INDEX('TDS Rates'!$F$6:$F$40,MATCH(G236,'TDS Rates'!$B$6:$B$40,0))="PER",IF(H236&gt;INDEX('TDS Rates'!$G$6:$G$40,MATCH(G236,'TDS Rates'!$B$6:$B$40,0)),H236,0),IF(INDEX('TDS Rates'!$F$6:$F$40,MATCH(G236,'TDS Rates'!$B$6:$B$40,0))="EXCESS",MAX(0,L236+H236-INDEX('TDS Rates'!$H$6:$H$40,MATCH(G236,'TDS Rates'!$B$6:$B$40,0)))-MAX(0,L236-INDEX('TDS Rates'!$H$6:$H$40,MATCH(G236,'TDS Rates'!$B$6:$B$40,0))),IF(INDEX('TDS Rates'!$F$6:$F$40,MATCH(G236,'TDS Rates'!$B$6:$B$40,0))="SA",IF(L236+H236&gt;INDEX('TDS Rates'!$H$6:$H$40,MATCH(G236,'TDS Rates'!$B$6:$B$40,0)),H236+M236,IF(H236&gt;INDEX('TDS Rates'!$G$6:$G$40,MATCH(G236,'TDS Rates'!$B$6:$B$40,0)),H236,0)),IF(L236+H236&gt;INDEX('TDS Rates'!$H$6:$H$40,MATCH(G236,'TDS Rates'!$B$6:$B$40,0)),H236+M236,0))))),0))</f>
        <v/>
      </c>
      <c r="O236" s="33" t="str">
        <f aca="false">IF(OR(G236="",H236=""),"",IFERROR(IF(F236="No",IF(INDEX('TDS Rates'!$C$6:$C$40,MATCH(G236,'TDS Rates'!$B$6:$B$40,0))="194Q",Settings!$C$14,MAX(Settings!$C$13,IF(E236="Individual / HUF",INDEX('TDS Rates'!$I$6:$I$40,MATCH(G236,'TDS Rates'!$B$6:$B$40,0)),IF(E236="Company",INDEX('TDS Rates'!$J$6:$J$40,MATCH(G236,'TDS Rates'!$B$6:$B$40,0)),INDEX('TDS Rates'!$K$6:$K$40,MATCH(G236,'TDS Rates'!$B$6:$B$40,0)))))),IF(E236="Individual / HUF",INDEX('TDS Rates'!$I$6:$I$40,MATCH(G236,'TDS Rates'!$B$6:$B$40,0)),IF(E236="Company",INDEX('TDS Rates'!$J$6:$J$40,MATCH(G236,'TDS Rates'!$B$6:$B$40,0)),INDEX('TDS Rates'!$K$6:$K$40,MATCH(G236,'TDS Rates'!$B$6:$B$40,0))))),0))</f>
        <v/>
      </c>
      <c r="P236" s="34" t="str">
        <f aca="false">IF(OR(G236="",H236=""),"",ROUND(N236*O236,0))</f>
        <v/>
      </c>
      <c r="Q236" s="27" t="str">
        <f aca="false">IF(OR(G236="",H236=""),"",IFERROR(IF(INDEX('TDS Rates'!$E$6:$E$40,MATCH(G236,'TDS Rates'!$B$6:$B$40,0))="Form 141",EOMONTH(IF(R236="",B236,R236),0)+30,IF(MONTH(IF(R236="",B236,R236))=3,DATE(YEAR(IF(R236="",B236,R236)),4,30),DATE(YEAR(IF(R236="",B236,R236)),MONTH(IF(R236="",B236,R236))+1,7))),""))</f>
        <v/>
      </c>
      <c r="R236" s="17"/>
      <c r="S236" s="17"/>
      <c r="T236" s="5"/>
      <c r="U236" s="28" t="str">
        <f aca="false">IF(OR(G236="",H236=""),"",IF(P236=0,0,IF(IF(R236="",Settings!$C$9,R236)&lt;=B236,0,((YEAR(IF(R236="",Settings!$C$9,R236))-YEAR(B236))*12+MONTH(IF(R236="",Settings!$C$9,R236))-MONTH(B236)+1))))</f>
        <v/>
      </c>
      <c r="V236" s="29" t="str">
        <f aca="false">IF(OR(G236="",H236=""),"",ROUND(P236*Settings!$C$10*U236,0))</f>
        <v/>
      </c>
      <c r="W236" s="28" t="str">
        <f aca="false">IF(OR(G236="",H236=""),"",IF(OR(P236=0,R236=""),0,IF(IF(S236="",Settings!$C$9,S236)&lt;=Q236,0,((YEAR(IF(S236="",Settings!$C$9,S236))-YEAR(R236))*12+MONTH(IF(S236="",Settings!$C$9,S236))-MONTH(R236)+1))))</f>
        <v/>
      </c>
      <c r="X236" s="29" t="str">
        <f aca="false">IF(OR(G236="",H236=""),"",ROUND(P236*Settings!$C$11*W236,0))</f>
        <v/>
      </c>
      <c r="Y236" s="29" t="str">
        <f aca="false">IF(OR(G236="",H236=""),"",V236+X236)</f>
        <v/>
      </c>
      <c r="Z236" s="7" t="str">
        <f aca="false">IF(OR(G236="",H236=""),"",IF(P236=0,"Below threshold",IF(R236="","Not yet deducted",IF(S236="",IF(Settings!$C$9&gt;Q236,"Overdue — pay now","Deducted, due "&amp;TEXT(Q236,"dd-mmm")),IF(S236&lt;=Q236,IF(N(U236)&gt;0,"Deducted late, paid on time","Paid on time"),"Paid late")))))</f>
        <v/>
      </c>
      <c r="AA236" s="35" t="str">
        <f aca="false">IF(OR(G236="",H236=""),"",IF(D236&lt;&gt;"",UPPER(TRIM(D236)),UPPER(TRIM(C236))))</f>
        <v/>
      </c>
    </row>
    <row r="237" customFormat="false" ht="15" hidden="false" customHeight="false" outlineLevel="0" collapsed="false">
      <c r="B237" s="17"/>
      <c r="C237" s="5"/>
      <c r="D237" s="5"/>
      <c r="E237" s="5"/>
      <c r="F237" s="5"/>
      <c r="G237" s="5"/>
      <c r="H237" s="16"/>
      <c r="I237" s="7" t="str">
        <f aca="false">IF(OR(G237="",H237=""),"",IFERROR(INDEX('TDS Rates'!$D$6:$D$40,MATCH(G237,'TDS Rates'!$B$6:$B$40,0)),"Check nature"))</f>
        <v/>
      </c>
      <c r="J237" s="7" t="str">
        <f aca="false">IF(OR(G237="",H237=""),"",IFERROR(INDEX('TDS Rates'!$C$6:$C$40,MATCH(G237,'TDS Rates'!$B$6:$B$40,0)),""))</f>
        <v/>
      </c>
      <c r="K237" s="7" t="str">
        <f aca="false">IF(OR(G237="",H237=""),"",IFERROR(INDEX('TDS Rates'!$E$6:$E$40,MATCH(G237,'TDS Rates'!$B$6:$B$40,0)),""))</f>
        <v/>
      </c>
      <c r="L237" s="29" t="str">
        <f aca="false">IF(OR(G237="",H237=""),"",SUMIFS(H$6:H236,AA$6:AA236,AA237,G$6:G236,G237))</f>
        <v/>
      </c>
      <c r="M237" s="29" t="str">
        <f aca="false">IF(OR(G237="",H237=""),"",SUMIFS(H$6:H236,AA$6:AA236,AA237,G$6:G236,G237,N$6:N236,0))</f>
        <v/>
      </c>
      <c r="N237" s="29" t="str">
        <f aca="false">IF(OR(G237="",H237=""),"",IFERROR(IF(INDEX('TDS Rates'!$F$6:$F$40,MATCH(G237,'TDS Rates'!$B$6:$B$40,0))="NONE",H237,IF(INDEX('TDS Rates'!$F$6:$F$40,MATCH(G237,'TDS Rates'!$B$6:$B$40,0))="PER",IF(H237&gt;INDEX('TDS Rates'!$G$6:$G$40,MATCH(G237,'TDS Rates'!$B$6:$B$40,0)),H237,0),IF(INDEX('TDS Rates'!$F$6:$F$40,MATCH(G237,'TDS Rates'!$B$6:$B$40,0))="EXCESS",MAX(0,L237+H237-INDEX('TDS Rates'!$H$6:$H$40,MATCH(G237,'TDS Rates'!$B$6:$B$40,0)))-MAX(0,L237-INDEX('TDS Rates'!$H$6:$H$40,MATCH(G237,'TDS Rates'!$B$6:$B$40,0))),IF(INDEX('TDS Rates'!$F$6:$F$40,MATCH(G237,'TDS Rates'!$B$6:$B$40,0))="SA",IF(L237+H237&gt;INDEX('TDS Rates'!$H$6:$H$40,MATCH(G237,'TDS Rates'!$B$6:$B$40,0)),H237+M237,IF(H237&gt;INDEX('TDS Rates'!$G$6:$G$40,MATCH(G237,'TDS Rates'!$B$6:$B$40,0)),H237,0)),IF(L237+H237&gt;INDEX('TDS Rates'!$H$6:$H$40,MATCH(G237,'TDS Rates'!$B$6:$B$40,0)),H237+M237,0))))),0))</f>
        <v/>
      </c>
      <c r="O237" s="33" t="str">
        <f aca="false">IF(OR(G237="",H237=""),"",IFERROR(IF(F237="No",IF(INDEX('TDS Rates'!$C$6:$C$40,MATCH(G237,'TDS Rates'!$B$6:$B$40,0))="194Q",Settings!$C$14,MAX(Settings!$C$13,IF(E237="Individual / HUF",INDEX('TDS Rates'!$I$6:$I$40,MATCH(G237,'TDS Rates'!$B$6:$B$40,0)),IF(E237="Company",INDEX('TDS Rates'!$J$6:$J$40,MATCH(G237,'TDS Rates'!$B$6:$B$40,0)),INDEX('TDS Rates'!$K$6:$K$40,MATCH(G237,'TDS Rates'!$B$6:$B$40,0)))))),IF(E237="Individual / HUF",INDEX('TDS Rates'!$I$6:$I$40,MATCH(G237,'TDS Rates'!$B$6:$B$40,0)),IF(E237="Company",INDEX('TDS Rates'!$J$6:$J$40,MATCH(G237,'TDS Rates'!$B$6:$B$40,0)),INDEX('TDS Rates'!$K$6:$K$40,MATCH(G237,'TDS Rates'!$B$6:$B$40,0))))),0))</f>
        <v/>
      </c>
      <c r="P237" s="34" t="str">
        <f aca="false">IF(OR(G237="",H237=""),"",ROUND(N237*O237,0))</f>
        <v/>
      </c>
      <c r="Q237" s="27" t="str">
        <f aca="false">IF(OR(G237="",H237=""),"",IFERROR(IF(INDEX('TDS Rates'!$E$6:$E$40,MATCH(G237,'TDS Rates'!$B$6:$B$40,0))="Form 141",EOMONTH(IF(R237="",B237,R237),0)+30,IF(MONTH(IF(R237="",B237,R237))=3,DATE(YEAR(IF(R237="",B237,R237)),4,30),DATE(YEAR(IF(R237="",B237,R237)),MONTH(IF(R237="",B237,R237))+1,7))),""))</f>
        <v/>
      </c>
      <c r="R237" s="17"/>
      <c r="S237" s="17"/>
      <c r="T237" s="5"/>
      <c r="U237" s="28" t="str">
        <f aca="false">IF(OR(G237="",H237=""),"",IF(P237=0,0,IF(IF(R237="",Settings!$C$9,R237)&lt;=B237,0,((YEAR(IF(R237="",Settings!$C$9,R237))-YEAR(B237))*12+MONTH(IF(R237="",Settings!$C$9,R237))-MONTH(B237)+1))))</f>
        <v/>
      </c>
      <c r="V237" s="29" t="str">
        <f aca="false">IF(OR(G237="",H237=""),"",ROUND(P237*Settings!$C$10*U237,0))</f>
        <v/>
      </c>
      <c r="W237" s="28" t="str">
        <f aca="false">IF(OR(G237="",H237=""),"",IF(OR(P237=0,R237=""),0,IF(IF(S237="",Settings!$C$9,S237)&lt;=Q237,0,((YEAR(IF(S237="",Settings!$C$9,S237))-YEAR(R237))*12+MONTH(IF(S237="",Settings!$C$9,S237))-MONTH(R237)+1))))</f>
        <v/>
      </c>
      <c r="X237" s="29" t="str">
        <f aca="false">IF(OR(G237="",H237=""),"",ROUND(P237*Settings!$C$11*W237,0))</f>
        <v/>
      </c>
      <c r="Y237" s="29" t="str">
        <f aca="false">IF(OR(G237="",H237=""),"",V237+X237)</f>
        <v/>
      </c>
      <c r="Z237" s="7" t="str">
        <f aca="false">IF(OR(G237="",H237=""),"",IF(P237=0,"Below threshold",IF(R237="","Not yet deducted",IF(S237="",IF(Settings!$C$9&gt;Q237,"Overdue — pay now","Deducted, due "&amp;TEXT(Q237,"dd-mmm")),IF(S237&lt;=Q237,IF(N(U237)&gt;0,"Deducted late, paid on time","Paid on time"),"Paid late")))))</f>
        <v/>
      </c>
      <c r="AA237" s="35" t="str">
        <f aca="false">IF(OR(G237="",H237=""),"",IF(D237&lt;&gt;"",UPPER(TRIM(D237)),UPPER(TRIM(C237))))</f>
        <v/>
      </c>
    </row>
    <row r="238" customFormat="false" ht="15" hidden="false" customHeight="false" outlineLevel="0" collapsed="false">
      <c r="B238" s="17"/>
      <c r="C238" s="5"/>
      <c r="D238" s="5"/>
      <c r="E238" s="5"/>
      <c r="F238" s="5"/>
      <c r="G238" s="5"/>
      <c r="H238" s="16"/>
      <c r="I238" s="7" t="str">
        <f aca="false">IF(OR(G238="",H238=""),"",IFERROR(INDEX('TDS Rates'!$D$6:$D$40,MATCH(G238,'TDS Rates'!$B$6:$B$40,0)),"Check nature"))</f>
        <v/>
      </c>
      <c r="J238" s="7" t="str">
        <f aca="false">IF(OR(G238="",H238=""),"",IFERROR(INDEX('TDS Rates'!$C$6:$C$40,MATCH(G238,'TDS Rates'!$B$6:$B$40,0)),""))</f>
        <v/>
      </c>
      <c r="K238" s="7" t="str">
        <f aca="false">IF(OR(G238="",H238=""),"",IFERROR(INDEX('TDS Rates'!$E$6:$E$40,MATCH(G238,'TDS Rates'!$B$6:$B$40,0)),""))</f>
        <v/>
      </c>
      <c r="L238" s="29" t="str">
        <f aca="false">IF(OR(G238="",H238=""),"",SUMIFS(H$6:H237,AA$6:AA237,AA238,G$6:G237,G238))</f>
        <v/>
      </c>
      <c r="M238" s="29" t="str">
        <f aca="false">IF(OR(G238="",H238=""),"",SUMIFS(H$6:H237,AA$6:AA237,AA238,G$6:G237,G238,N$6:N237,0))</f>
        <v/>
      </c>
      <c r="N238" s="29" t="str">
        <f aca="false">IF(OR(G238="",H238=""),"",IFERROR(IF(INDEX('TDS Rates'!$F$6:$F$40,MATCH(G238,'TDS Rates'!$B$6:$B$40,0))="NONE",H238,IF(INDEX('TDS Rates'!$F$6:$F$40,MATCH(G238,'TDS Rates'!$B$6:$B$40,0))="PER",IF(H238&gt;INDEX('TDS Rates'!$G$6:$G$40,MATCH(G238,'TDS Rates'!$B$6:$B$40,0)),H238,0),IF(INDEX('TDS Rates'!$F$6:$F$40,MATCH(G238,'TDS Rates'!$B$6:$B$40,0))="EXCESS",MAX(0,L238+H238-INDEX('TDS Rates'!$H$6:$H$40,MATCH(G238,'TDS Rates'!$B$6:$B$40,0)))-MAX(0,L238-INDEX('TDS Rates'!$H$6:$H$40,MATCH(G238,'TDS Rates'!$B$6:$B$40,0))),IF(INDEX('TDS Rates'!$F$6:$F$40,MATCH(G238,'TDS Rates'!$B$6:$B$40,0))="SA",IF(L238+H238&gt;INDEX('TDS Rates'!$H$6:$H$40,MATCH(G238,'TDS Rates'!$B$6:$B$40,0)),H238+M238,IF(H238&gt;INDEX('TDS Rates'!$G$6:$G$40,MATCH(G238,'TDS Rates'!$B$6:$B$40,0)),H238,0)),IF(L238+H238&gt;INDEX('TDS Rates'!$H$6:$H$40,MATCH(G238,'TDS Rates'!$B$6:$B$40,0)),H238+M238,0))))),0))</f>
        <v/>
      </c>
      <c r="O238" s="33" t="str">
        <f aca="false">IF(OR(G238="",H238=""),"",IFERROR(IF(F238="No",IF(INDEX('TDS Rates'!$C$6:$C$40,MATCH(G238,'TDS Rates'!$B$6:$B$40,0))="194Q",Settings!$C$14,MAX(Settings!$C$13,IF(E238="Individual / HUF",INDEX('TDS Rates'!$I$6:$I$40,MATCH(G238,'TDS Rates'!$B$6:$B$40,0)),IF(E238="Company",INDEX('TDS Rates'!$J$6:$J$40,MATCH(G238,'TDS Rates'!$B$6:$B$40,0)),INDEX('TDS Rates'!$K$6:$K$40,MATCH(G238,'TDS Rates'!$B$6:$B$40,0)))))),IF(E238="Individual / HUF",INDEX('TDS Rates'!$I$6:$I$40,MATCH(G238,'TDS Rates'!$B$6:$B$40,0)),IF(E238="Company",INDEX('TDS Rates'!$J$6:$J$40,MATCH(G238,'TDS Rates'!$B$6:$B$40,0)),INDEX('TDS Rates'!$K$6:$K$40,MATCH(G238,'TDS Rates'!$B$6:$B$40,0))))),0))</f>
        <v/>
      </c>
      <c r="P238" s="34" t="str">
        <f aca="false">IF(OR(G238="",H238=""),"",ROUND(N238*O238,0))</f>
        <v/>
      </c>
      <c r="Q238" s="27" t="str">
        <f aca="false">IF(OR(G238="",H238=""),"",IFERROR(IF(INDEX('TDS Rates'!$E$6:$E$40,MATCH(G238,'TDS Rates'!$B$6:$B$40,0))="Form 141",EOMONTH(IF(R238="",B238,R238),0)+30,IF(MONTH(IF(R238="",B238,R238))=3,DATE(YEAR(IF(R238="",B238,R238)),4,30),DATE(YEAR(IF(R238="",B238,R238)),MONTH(IF(R238="",B238,R238))+1,7))),""))</f>
        <v/>
      </c>
      <c r="R238" s="17"/>
      <c r="S238" s="17"/>
      <c r="T238" s="5"/>
      <c r="U238" s="28" t="str">
        <f aca="false">IF(OR(G238="",H238=""),"",IF(P238=0,0,IF(IF(R238="",Settings!$C$9,R238)&lt;=B238,0,((YEAR(IF(R238="",Settings!$C$9,R238))-YEAR(B238))*12+MONTH(IF(R238="",Settings!$C$9,R238))-MONTH(B238)+1))))</f>
        <v/>
      </c>
      <c r="V238" s="29" t="str">
        <f aca="false">IF(OR(G238="",H238=""),"",ROUND(P238*Settings!$C$10*U238,0))</f>
        <v/>
      </c>
      <c r="W238" s="28" t="str">
        <f aca="false">IF(OR(G238="",H238=""),"",IF(OR(P238=0,R238=""),0,IF(IF(S238="",Settings!$C$9,S238)&lt;=Q238,0,((YEAR(IF(S238="",Settings!$C$9,S238))-YEAR(R238))*12+MONTH(IF(S238="",Settings!$C$9,S238))-MONTH(R238)+1))))</f>
        <v/>
      </c>
      <c r="X238" s="29" t="str">
        <f aca="false">IF(OR(G238="",H238=""),"",ROUND(P238*Settings!$C$11*W238,0))</f>
        <v/>
      </c>
      <c r="Y238" s="29" t="str">
        <f aca="false">IF(OR(G238="",H238=""),"",V238+X238)</f>
        <v/>
      </c>
      <c r="Z238" s="7" t="str">
        <f aca="false">IF(OR(G238="",H238=""),"",IF(P238=0,"Below threshold",IF(R238="","Not yet deducted",IF(S238="",IF(Settings!$C$9&gt;Q238,"Overdue — pay now","Deducted, due "&amp;TEXT(Q238,"dd-mmm")),IF(S238&lt;=Q238,IF(N(U238)&gt;0,"Deducted late, paid on time","Paid on time"),"Paid late")))))</f>
        <v/>
      </c>
      <c r="AA238" s="35" t="str">
        <f aca="false">IF(OR(G238="",H238=""),"",IF(D238&lt;&gt;"",UPPER(TRIM(D238)),UPPER(TRIM(C238))))</f>
        <v/>
      </c>
    </row>
    <row r="239" customFormat="false" ht="15" hidden="false" customHeight="false" outlineLevel="0" collapsed="false">
      <c r="B239" s="17"/>
      <c r="C239" s="5"/>
      <c r="D239" s="5"/>
      <c r="E239" s="5"/>
      <c r="F239" s="5"/>
      <c r="G239" s="5"/>
      <c r="H239" s="16"/>
      <c r="I239" s="7" t="str">
        <f aca="false">IF(OR(G239="",H239=""),"",IFERROR(INDEX('TDS Rates'!$D$6:$D$40,MATCH(G239,'TDS Rates'!$B$6:$B$40,0)),"Check nature"))</f>
        <v/>
      </c>
      <c r="J239" s="7" t="str">
        <f aca="false">IF(OR(G239="",H239=""),"",IFERROR(INDEX('TDS Rates'!$C$6:$C$40,MATCH(G239,'TDS Rates'!$B$6:$B$40,0)),""))</f>
        <v/>
      </c>
      <c r="K239" s="7" t="str">
        <f aca="false">IF(OR(G239="",H239=""),"",IFERROR(INDEX('TDS Rates'!$E$6:$E$40,MATCH(G239,'TDS Rates'!$B$6:$B$40,0)),""))</f>
        <v/>
      </c>
      <c r="L239" s="29" t="str">
        <f aca="false">IF(OR(G239="",H239=""),"",SUMIFS(H$6:H238,AA$6:AA238,AA239,G$6:G238,G239))</f>
        <v/>
      </c>
      <c r="M239" s="29" t="str">
        <f aca="false">IF(OR(G239="",H239=""),"",SUMIFS(H$6:H238,AA$6:AA238,AA239,G$6:G238,G239,N$6:N238,0))</f>
        <v/>
      </c>
      <c r="N239" s="29" t="str">
        <f aca="false">IF(OR(G239="",H239=""),"",IFERROR(IF(INDEX('TDS Rates'!$F$6:$F$40,MATCH(G239,'TDS Rates'!$B$6:$B$40,0))="NONE",H239,IF(INDEX('TDS Rates'!$F$6:$F$40,MATCH(G239,'TDS Rates'!$B$6:$B$40,0))="PER",IF(H239&gt;INDEX('TDS Rates'!$G$6:$G$40,MATCH(G239,'TDS Rates'!$B$6:$B$40,0)),H239,0),IF(INDEX('TDS Rates'!$F$6:$F$40,MATCH(G239,'TDS Rates'!$B$6:$B$40,0))="EXCESS",MAX(0,L239+H239-INDEX('TDS Rates'!$H$6:$H$40,MATCH(G239,'TDS Rates'!$B$6:$B$40,0)))-MAX(0,L239-INDEX('TDS Rates'!$H$6:$H$40,MATCH(G239,'TDS Rates'!$B$6:$B$40,0))),IF(INDEX('TDS Rates'!$F$6:$F$40,MATCH(G239,'TDS Rates'!$B$6:$B$40,0))="SA",IF(L239+H239&gt;INDEX('TDS Rates'!$H$6:$H$40,MATCH(G239,'TDS Rates'!$B$6:$B$40,0)),H239+M239,IF(H239&gt;INDEX('TDS Rates'!$G$6:$G$40,MATCH(G239,'TDS Rates'!$B$6:$B$40,0)),H239,0)),IF(L239+H239&gt;INDEX('TDS Rates'!$H$6:$H$40,MATCH(G239,'TDS Rates'!$B$6:$B$40,0)),H239+M239,0))))),0))</f>
        <v/>
      </c>
      <c r="O239" s="33" t="str">
        <f aca="false">IF(OR(G239="",H239=""),"",IFERROR(IF(F239="No",IF(INDEX('TDS Rates'!$C$6:$C$40,MATCH(G239,'TDS Rates'!$B$6:$B$40,0))="194Q",Settings!$C$14,MAX(Settings!$C$13,IF(E239="Individual / HUF",INDEX('TDS Rates'!$I$6:$I$40,MATCH(G239,'TDS Rates'!$B$6:$B$40,0)),IF(E239="Company",INDEX('TDS Rates'!$J$6:$J$40,MATCH(G239,'TDS Rates'!$B$6:$B$40,0)),INDEX('TDS Rates'!$K$6:$K$40,MATCH(G239,'TDS Rates'!$B$6:$B$40,0)))))),IF(E239="Individual / HUF",INDEX('TDS Rates'!$I$6:$I$40,MATCH(G239,'TDS Rates'!$B$6:$B$40,0)),IF(E239="Company",INDEX('TDS Rates'!$J$6:$J$40,MATCH(G239,'TDS Rates'!$B$6:$B$40,0)),INDEX('TDS Rates'!$K$6:$K$40,MATCH(G239,'TDS Rates'!$B$6:$B$40,0))))),0))</f>
        <v/>
      </c>
      <c r="P239" s="34" t="str">
        <f aca="false">IF(OR(G239="",H239=""),"",ROUND(N239*O239,0))</f>
        <v/>
      </c>
      <c r="Q239" s="27" t="str">
        <f aca="false">IF(OR(G239="",H239=""),"",IFERROR(IF(INDEX('TDS Rates'!$E$6:$E$40,MATCH(G239,'TDS Rates'!$B$6:$B$40,0))="Form 141",EOMONTH(IF(R239="",B239,R239),0)+30,IF(MONTH(IF(R239="",B239,R239))=3,DATE(YEAR(IF(R239="",B239,R239)),4,30),DATE(YEAR(IF(R239="",B239,R239)),MONTH(IF(R239="",B239,R239))+1,7))),""))</f>
        <v/>
      </c>
      <c r="R239" s="17"/>
      <c r="S239" s="17"/>
      <c r="T239" s="5"/>
      <c r="U239" s="28" t="str">
        <f aca="false">IF(OR(G239="",H239=""),"",IF(P239=0,0,IF(IF(R239="",Settings!$C$9,R239)&lt;=B239,0,((YEAR(IF(R239="",Settings!$C$9,R239))-YEAR(B239))*12+MONTH(IF(R239="",Settings!$C$9,R239))-MONTH(B239)+1))))</f>
        <v/>
      </c>
      <c r="V239" s="29" t="str">
        <f aca="false">IF(OR(G239="",H239=""),"",ROUND(P239*Settings!$C$10*U239,0))</f>
        <v/>
      </c>
      <c r="W239" s="28" t="str">
        <f aca="false">IF(OR(G239="",H239=""),"",IF(OR(P239=0,R239=""),0,IF(IF(S239="",Settings!$C$9,S239)&lt;=Q239,0,((YEAR(IF(S239="",Settings!$C$9,S239))-YEAR(R239))*12+MONTH(IF(S239="",Settings!$C$9,S239))-MONTH(R239)+1))))</f>
        <v/>
      </c>
      <c r="X239" s="29" t="str">
        <f aca="false">IF(OR(G239="",H239=""),"",ROUND(P239*Settings!$C$11*W239,0))</f>
        <v/>
      </c>
      <c r="Y239" s="29" t="str">
        <f aca="false">IF(OR(G239="",H239=""),"",V239+X239)</f>
        <v/>
      </c>
      <c r="Z239" s="7" t="str">
        <f aca="false">IF(OR(G239="",H239=""),"",IF(P239=0,"Below threshold",IF(R239="","Not yet deducted",IF(S239="",IF(Settings!$C$9&gt;Q239,"Overdue — pay now","Deducted, due "&amp;TEXT(Q239,"dd-mmm")),IF(S239&lt;=Q239,IF(N(U239)&gt;0,"Deducted late, paid on time","Paid on time"),"Paid late")))))</f>
        <v/>
      </c>
      <c r="AA239" s="35" t="str">
        <f aca="false">IF(OR(G239="",H239=""),"",IF(D239&lt;&gt;"",UPPER(TRIM(D239)),UPPER(TRIM(C239))))</f>
        <v/>
      </c>
    </row>
    <row r="240" customFormat="false" ht="15" hidden="false" customHeight="false" outlineLevel="0" collapsed="false">
      <c r="B240" s="17"/>
      <c r="C240" s="5"/>
      <c r="D240" s="5"/>
      <c r="E240" s="5"/>
      <c r="F240" s="5"/>
      <c r="G240" s="5"/>
      <c r="H240" s="16"/>
      <c r="I240" s="7" t="str">
        <f aca="false">IF(OR(G240="",H240=""),"",IFERROR(INDEX('TDS Rates'!$D$6:$D$40,MATCH(G240,'TDS Rates'!$B$6:$B$40,0)),"Check nature"))</f>
        <v/>
      </c>
      <c r="J240" s="7" t="str">
        <f aca="false">IF(OR(G240="",H240=""),"",IFERROR(INDEX('TDS Rates'!$C$6:$C$40,MATCH(G240,'TDS Rates'!$B$6:$B$40,0)),""))</f>
        <v/>
      </c>
      <c r="K240" s="7" t="str">
        <f aca="false">IF(OR(G240="",H240=""),"",IFERROR(INDEX('TDS Rates'!$E$6:$E$40,MATCH(G240,'TDS Rates'!$B$6:$B$40,0)),""))</f>
        <v/>
      </c>
      <c r="L240" s="29" t="str">
        <f aca="false">IF(OR(G240="",H240=""),"",SUMIFS(H$6:H239,AA$6:AA239,AA240,G$6:G239,G240))</f>
        <v/>
      </c>
      <c r="M240" s="29" t="str">
        <f aca="false">IF(OR(G240="",H240=""),"",SUMIFS(H$6:H239,AA$6:AA239,AA240,G$6:G239,G240,N$6:N239,0))</f>
        <v/>
      </c>
      <c r="N240" s="29" t="str">
        <f aca="false">IF(OR(G240="",H240=""),"",IFERROR(IF(INDEX('TDS Rates'!$F$6:$F$40,MATCH(G240,'TDS Rates'!$B$6:$B$40,0))="NONE",H240,IF(INDEX('TDS Rates'!$F$6:$F$40,MATCH(G240,'TDS Rates'!$B$6:$B$40,0))="PER",IF(H240&gt;INDEX('TDS Rates'!$G$6:$G$40,MATCH(G240,'TDS Rates'!$B$6:$B$40,0)),H240,0),IF(INDEX('TDS Rates'!$F$6:$F$40,MATCH(G240,'TDS Rates'!$B$6:$B$40,0))="EXCESS",MAX(0,L240+H240-INDEX('TDS Rates'!$H$6:$H$40,MATCH(G240,'TDS Rates'!$B$6:$B$40,0)))-MAX(0,L240-INDEX('TDS Rates'!$H$6:$H$40,MATCH(G240,'TDS Rates'!$B$6:$B$40,0))),IF(INDEX('TDS Rates'!$F$6:$F$40,MATCH(G240,'TDS Rates'!$B$6:$B$40,0))="SA",IF(L240+H240&gt;INDEX('TDS Rates'!$H$6:$H$40,MATCH(G240,'TDS Rates'!$B$6:$B$40,0)),H240+M240,IF(H240&gt;INDEX('TDS Rates'!$G$6:$G$40,MATCH(G240,'TDS Rates'!$B$6:$B$40,0)),H240,0)),IF(L240+H240&gt;INDEX('TDS Rates'!$H$6:$H$40,MATCH(G240,'TDS Rates'!$B$6:$B$40,0)),H240+M240,0))))),0))</f>
        <v/>
      </c>
      <c r="O240" s="33" t="str">
        <f aca="false">IF(OR(G240="",H240=""),"",IFERROR(IF(F240="No",IF(INDEX('TDS Rates'!$C$6:$C$40,MATCH(G240,'TDS Rates'!$B$6:$B$40,0))="194Q",Settings!$C$14,MAX(Settings!$C$13,IF(E240="Individual / HUF",INDEX('TDS Rates'!$I$6:$I$40,MATCH(G240,'TDS Rates'!$B$6:$B$40,0)),IF(E240="Company",INDEX('TDS Rates'!$J$6:$J$40,MATCH(G240,'TDS Rates'!$B$6:$B$40,0)),INDEX('TDS Rates'!$K$6:$K$40,MATCH(G240,'TDS Rates'!$B$6:$B$40,0)))))),IF(E240="Individual / HUF",INDEX('TDS Rates'!$I$6:$I$40,MATCH(G240,'TDS Rates'!$B$6:$B$40,0)),IF(E240="Company",INDEX('TDS Rates'!$J$6:$J$40,MATCH(G240,'TDS Rates'!$B$6:$B$40,0)),INDEX('TDS Rates'!$K$6:$K$40,MATCH(G240,'TDS Rates'!$B$6:$B$40,0))))),0))</f>
        <v/>
      </c>
      <c r="P240" s="34" t="str">
        <f aca="false">IF(OR(G240="",H240=""),"",ROUND(N240*O240,0))</f>
        <v/>
      </c>
      <c r="Q240" s="27" t="str">
        <f aca="false">IF(OR(G240="",H240=""),"",IFERROR(IF(INDEX('TDS Rates'!$E$6:$E$40,MATCH(G240,'TDS Rates'!$B$6:$B$40,0))="Form 141",EOMONTH(IF(R240="",B240,R240),0)+30,IF(MONTH(IF(R240="",B240,R240))=3,DATE(YEAR(IF(R240="",B240,R240)),4,30),DATE(YEAR(IF(R240="",B240,R240)),MONTH(IF(R240="",B240,R240))+1,7))),""))</f>
        <v/>
      </c>
      <c r="R240" s="17"/>
      <c r="S240" s="17"/>
      <c r="T240" s="5"/>
      <c r="U240" s="28" t="str">
        <f aca="false">IF(OR(G240="",H240=""),"",IF(P240=0,0,IF(IF(R240="",Settings!$C$9,R240)&lt;=B240,0,((YEAR(IF(R240="",Settings!$C$9,R240))-YEAR(B240))*12+MONTH(IF(R240="",Settings!$C$9,R240))-MONTH(B240)+1))))</f>
        <v/>
      </c>
      <c r="V240" s="29" t="str">
        <f aca="false">IF(OR(G240="",H240=""),"",ROUND(P240*Settings!$C$10*U240,0))</f>
        <v/>
      </c>
      <c r="W240" s="28" t="str">
        <f aca="false">IF(OR(G240="",H240=""),"",IF(OR(P240=0,R240=""),0,IF(IF(S240="",Settings!$C$9,S240)&lt;=Q240,0,((YEAR(IF(S240="",Settings!$C$9,S240))-YEAR(R240))*12+MONTH(IF(S240="",Settings!$C$9,S240))-MONTH(R240)+1))))</f>
        <v/>
      </c>
      <c r="X240" s="29" t="str">
        <f aca="false">IF(OR(G240="",H240=""),"",ROUND(P240*Settings!$C$11*W240,0))</f>
        <v/>
      </c>
      <c r="Y240" s="29" t="str">
        <f aca="false">IF(OR(G240="",H240=""),"",V240+X240)</f>
        <v/>
      </c>
      <c r="Z240" s="7" t="str">
        <f aca="false">IF(OR(G240="",H240=""),"",IF(P240=0,"Below threshold",IF(R240="","Not yet deducted",IF(S240="",IF(Settings!$C$9&gt;Q240,"Overdue — pay now","Deducted, due "&amp;TEXT(Q240,"dd-mmm")),IF(S240&lt;=Q240,IF(N(U240)&gt;0,"Deducted late, paid on time","Paid on time"),"Paid late")))))</f>
        <v/>
      </c>
      <c r="AA240" s="35" t="str">
        <f aca="false">IF(OR(G240="",H240=""),"",IF(D240&lt;&gt;"",UPPER(TRIM(D240)),UPPER(TRIM(C240))))</f>
        <v/>
      </c>
    </row>
    <row r="241" customFormat="false" ht="15" hidden="false" customHeight="false" outlineLevel="0" collapsed="false">
      <c r="B241" s="17"/>
      <c r="C241" s="5"/>
      <c r="D241" s="5"/>
      <c r="E241" s="5"/>
      <c r="F241" s="5"/>
      <c r="G241" s="5"/>
      <c r="H241" s="16"/>
      <c r="I241" s="7" t="str">
        <f aca="false">IF(OR(G241="",H241=""),"",IFERROR(INDEX('TDS Rates'!$D$6:$D$40,MATCH(G241,'TDS Rates'!$B$6:$B$40,0)),"Check nature"))</f>
        <v/>
      </c>
      <c r="J241" s="7" t="str">
        <f aca="false">IF(OR(G241="",H241=""),"",IFERROR(INDEX('TDS Rates'!$C$6:$C$40,MATCH(G241,'TDS Rates'!$B$6:$B$40,0)),""))</f>
        <v/>
      </c>
      <c r="K241" s="7" t="str">
        <f aca="false">IF(OR(G241="",H241=""),"",IFERROR(INDEX('TDS Rates'!$E$6:$E$40,MATCH(G241,'TDS Rates'!$B$6:$B$40,0)),""))</f>
        <v/>
      </c>
      <c r="L241" s="29" t="str">
        <f aca="false">IF(OR(G241="",H241=""),"",SUMIFS(H$6:H240,AA$6:AA240,AA241,G$6:G240,G241))</f>
        <v/>
      </c>
      <c r="M241" s="29" t="str">
        <f aca="false">IF(OR(G241="",H241=""),"",SUMIFS(H$6:H240,AA$6:AA240,AA241,G$6:G240,G241,N$6:N240,0))</f>
        <v/>
      </c>
      <c r="N241" s="29" t="str">
        <f aca="false">IF(OR(G241="",H241=""),"",IFERROR(IF(INDEX('TDS Rates'!$F$6:$F$40,MATCH(G241,'TDS Rates'!$B$6:$B$40,0))="NONE",H241,IF(INDEX('TDS Rates'!$F$6:$F$40,MATCH(G241,'TDS Rates'!$B$6:$B$40,0))="PER",IF(H241&gt;INDEX('TDS Rates'!$G$6:$G$40,MATCH(G241,'TDS Rates'!$B$6:$B$40,0)),H241,0),IF(INDEX('TDS Rates'!$F$6:$F$40,MATCH(G241,'TDS Rates'!$B$6:$B$40,0))="EXCESS",MAX(0,L241+H241-INDEX('TDS Rates'!$H$6:$H$40,MATCH(G241,'TDS Rates'!$B$6:$B$40,0)))-MAX(0,L241-INDEX('TDS Rates'!$H$6:$H$40,MATCH(G241,'TDS Rates'!$B$6:$B$40,0))),IF(INDEX('TDS Rates'!$F$6:$F$40,MATCH(G241,'TDS Rates'!$B$6:$B$40,0))="SA",IF(L241+H241&gt;INDEX('TDS Rates'!$H$6:$H$40,MATCH(G241,'TDS Rates'!$B$6:$B$40,0)),H241+M241,IF(H241&gt;INDEX('TDS Rates'!$G$6:$G$40,MATCH(G241,'TDS Rates'!$B$6:$B$40,0)),H241,0)),IF(L241+H241&gt;INDEX('TDS Rates'!$H$6:$H$40,MATCH(G241,'TDS Rates'!$B$6:$B$40,0)),H241+M241,0))))),0))</f>
        <v/>
      </c>
      <c r="O241" s="33" t="str">
        <f aca="false">IF(OR(G241="",H241=""),"",IFERROR(IF(F241="No",IF(INDEX('TDS Rates'!$C$6:$C$40,MATCH(G241,'TDS Rates'!$B$6:$B$40,0))="194Q",Settings!$C$14,MAX(Settings!$C$13,IF(E241="Individual / HUF",INDEX('TDS Rates'!$I$6:$I$40,MATCH(G241,'TDS Rates'!$B$6:$B$40,0)),IF(E241="Company",INDEX('TDS Rates'!$J$6:$J$40,MATCH(G241,'TDS Rates'!$B$6:$B$40,0)),INDEX('TDS Rates'!$K$6:$K$40,MATCH(G241,'TDS Rates'!$B$6:$B$40,0)))))),IF(E241="Individual / HUF",INDEX('TDS Rates'!$I$6:$I$40,MATCH(G241,'TDS Rates'!$B$6:$B$40,0)),IF(E241="Company",INDEX('TDS Rates'!$J$6:$J$40,MATCH(G241,'TDS Rates'!$B$6:$B$40,0)),INDEX('TDS Rates'!$K$6:$K$40,MATCH(G241,'TDS Rates'!$B$6:$B$40,0))))),0))</f>
        <v/>
      </c>
      <c r="P241" s="34" t="str">
        <f aca="false">IF(OR(G241="",H241=""),"",ROUND(N241*O241,0))</f>
        <v/>
      </c>
      <c r="Q241" s="27" t="str">
        <f aca="false">IF(OR(G241="",H241=""),"",IFERROR(IF(INDEX('TDS Rates'!$E$6:$E$40,MATCH(G241,'TDS Rates'!$B$6:$B$40,0))="Form 141",EOMONTH(IF(R241="",B241,R241),0)+30,IF(MONTH(IF(R241="",B241,R241))=3,DATE(YEAR(IF(R241="",B241,R241)),4,30),DATE(YEAR(IF(R241="",B241,R241)),MONTH(IF(R241="",B241,R241))+1,7))),""))</f>
        <v/>
      </c>
      <c r="R241" s="17"/>
      <c r="S241" s="17"/>
      <c r="T241" s="5"/>
      <c r="U241" s="28" t="str">
        <f aca="false">IF(OR(G241="",H241=""),"",IF(P241=0,0,IF(IF(R241="",Settings!$C$9,R241)&lt;=B241,0,((YEAR(IF(R241="",Settings!$C$9,R241))-YEAR(B241))*12+MONTH(IF(R241="",Settings!$C$9,R241))-MONTH(B241)+1))))</f>
        <v/>
      </c>
      <c r="V241" s="29" t="str">
        <f aca="false">IF(OR(G241="",H241=""),"",ROUND(P241*Settings!$C$10*U241,0))</f>
        <v/>
      </c>
      <c r="W241" s="28" t="str">
        <f aca="false">IF(OR(G241="",H241=""),"",IF(OR(P241=0,R241=""),0,IF(IF(S241="",Settings!$C$9,S241)&lt;=Q241,0,((YEAR(IF(S241="",Settings!$C$9,S241))-YEAR(R241))*12+MONTH(IF(S241="",Settings!$C$9,S241))-MONTH(R241)+1))))</f>
        <v/>
      </c>
      <c r="X241" s="29" t="str">
        <f aca="false">IF(OR(G241="",H241=""),"",ROUND(P241*Settings!$C$11*W241,0))</f>
        <v/>
      </c>
      <c r="Y241" s="29" t="str">
        <f aca="false">IF(OR(G241="",H241=""),"",V241+X241)</f>
        <v/>
      </c>
      <c r="Z241" s="7" t="str">
        <f aca="false">IF(OR(G241="",H241=""),"",IF(P241=0,"Below threshold",IF(R241="","Not yet deducted",IF(S241="",IF(Settings!$C$9&gt;Q241,"Overdue — pay now","Deducted, due "&amp;TEXT(Q241,"dd-mmm")),IF(S241&lt;=Q241,IF(N(U241)&gt;0,"Deducted late, paid on time","Paid on time"),"Paid late")))))</f>
        <v/>
      </c>
      <c r="AA241" s="35" t="str">
        <f aca="false">IF(OR(G241="",H241=""),"",IF(D241&lt;&gt;"",UPPER(TRIM(D241)),UPPER(TRIM(C241))))</f>
        <v/>
      </c>
    </row>
    <row r="242" customFormat="false" ht="15" hidden="false" customHeight="false" outlineLevel="0" collapsed="false">
      <c r="B242" s="17"/>
      <c r="C242" s="5"/>
      <c r="D242" s="5"/>
      <c r="E242" s="5"/>
      <c r="F242" s="5"/>
      <c r="G242" s="5"/>
      <c r="H242" s="16"/>
      <c r="I242" s="7" t="str">
        <f aca="false">IF(OR(G242="",H242=""),"",IFERROR(INDEX('TDS Rates'!$D$6:$D$40,MATCH(G242,'TDS Rates'!$B$6:$B$40,0)),"Check nature"))</f>
        <v/>
      </c>
      <c r="J242" s="7" t="str">
        <f aca="false">IF(OR(G242="",H242=""),"",IFERROR(INDEX('TDS Rates'!$C$6:$C$40,MATCH(G242,'TDS Rates'!$B$6:$B$40,0)),""))</f>
        <v/>
      </c>
      <c r="K242" s="7" t="str">
        <f aca="false">IF(OR(G242="",H242=""),"",IFERROR(INDEX('TDS Rates'!$E$6:$E$40,MATCH(G242,'TDS Rates'!$B$6:$B$40,0)),""))</f>
        <v/>
      </c>
      <c r="L242" s="29" t="str">
        <f aca="false">IF(OR(G242="",H242=""),"",SUMIFS(H$6:H241,AA$6:AA241,AA242,G$6:G241,G242))</f>
        <v/>
      </c>
      <c r="M242" s="29" t="str">
        <f aca="false">IF(OR(G242="",H242=""),"",SUMIFS(H$6:H241,AA$6:AA241,AA242,G$6:G241,G242,N$6:N241,0))</f>
        <v/>
      </c>
      <c r="N242" s="29" t="str">
        <f aca="false">IF(OR(G242="",H242=""),"",IFERROR(IF(INDEX('TDS Rates'!$F$6:$F$40,MATCH(G242,'TDS Rates'!$B$6:$B$40,0))="NONE",H242,IF(INDEX('TDS Rates'!$F$6:$F$40,MATCH(G242,'TDS Rates'!$B$6:$B$40,0))="PER",IF(H242&gt;INDEX('TDS Rates'!$G$6:$G$40,MATCH(G242,'TDS Rates'!$B$6:$B$40,0)),H242,0),IF(INDEX('TDS Rates'!$F$6:$F$40,MATCH(G242,'TDS Rates'!$B$6:$B$40,0))="EXCESS",MAX(0,L242+H242-INDEX('TDS Rates'!$H$6:$H$40,MATCH(G242,'TDS Rates'!$B$6:$B$40,0)))-MAX(0,L242-INDEX('TDS Rates'!$H$6:$H$40,MATCH(G242,'TDS Rates'!$B$6:$B$40,0))),IF(INDEX('TDS Rates'!$F$6:$F$40,MATCH(G242,'TDS Rates'!$B$6:$B$40,0))="SA",IF(L242+H242&gt;INDEX('TDS Rates'!$H$6:$H$40,MATCH(G242,'TDS Rates'!$B$6:$B$40,0)),H242+M242,IF(H242&gt;INDEX('TDS Rates'!$G$6:$G$40,MATCH(G242,'TDS Rates'!$B$6:$B$40,0)),H242,0)),IF(L242+H242&gt;INDEX('TDS Rates'!$H$6:$H$40,MATCH(G242,'TDS Rates'!$B$6:$B$40,0)),H242+M242,0))))),0))</f>
        <v/>
      </c>
      <c r="O242" s="33" t="str">
        <f aca="false">IF(OR(G242="",H242=""),"",IFERROR(IF(F242="No",IF(INDEX('TDS Rates'!$C$6:$C$40,MATCH(G242,'TDS Rates'!$B$6:$B$40,0))="194Q",Settings!$C$14,MAX(Settings!$C$13,IF(E242="Individual / HUF",INDEX('TDS Rates'!$I$6:$I$40,MATCH(G242,'TDS Rates'!$B$6:$B$40,0)),IF(E242="Company",INDEX('TDS Rates'!$J$6:$J$40,MATCH(G242,'TDS Rates'!$B$6:$B$40,0)),INDEX('TDS Rates'!$K$6:$K$40,MATCH(G242,'TDS Rates'!$B$6:$B$40,0)))))),IF(E242="Individual / HUF",INDEX('TDS Rates'!$I$6:$I$40,MATCH(G242,'TDS Rates'!$B$6:$B$40,0)),IF(E242="Company",INDEX('TDS Rates'!$J$6:$J$40,MATCH(G242,'TDS Rates'!$B$6:$B$40,0)),INDEX('TDS Rates'!$K$6:$K$40,MATCH(G242,'TDS Rates'!$B$6:$B$40,0))))),0))</f>
        <v/>
      </c>
      <c r="P242" s="34" t="str">
        <f aca="false">IF(OR(G242="",H242=""),"",ROUND(N242*O242,0))</f>
        <v/>
      </c>
      <c r="Q242" s="27" t="str">
        <f aca="false">IF(OR(G242="",H242=""),"",IFERROR(IF(INDEX('TDS Rates'!$E$6:$E$40,MATCH(G242,'TDS Rates'!$B$6:$B$40,0))="Form 141",EOMONTH(IF(R242="",B242,R242),0)+30,IF(MONTH(IF(R242="",B242,R242))=3,DATE(YEAR(IF(R242="",B242,R242)),4,30),DATE(YEAR(IF(R242="",B242,R242)),MONTH(IF(R242="",B242,R242))+1,7))),""))</f>
        <v/>
      </c>
      <c r="R242" s="17"/>
      <c r="S242" s="17"/>
      <c r="T242" s="5"/>
      <c r="U242" s="28" t="str">
        <f aca="false">IF(OR(G242="",H242=""),"",IF(P242=0,0,IF(IF(R242="",Settings!$C$9,R242)&lt;=B242,0,((YEAR(IF(R242="",Settings!$C$9,R242))-YEAR(B242))*12+MONTH(IF(R242="",Settings!$C$9,R242))-MONTH(B242)+1))))</f>
        <v/>
      </c>
      <c r="V242" s="29" t="str">
        <f aca="false">IF(OR(G242="",H242=""),"",ROUND(P242*Settings!$C$10*U242,0))</f>
        <v/>
      </c>
      <c r="W242" s="28" t="str">
        <f aca="false">IF(OR(G242="",H242=""),"",IF(OR(P242=0,R242=""),0,IF(IF(S242="",Settings!$C$9,S242)&lt;=Q242,0,((YEAR(IF(S242="",Settings!$C$9,S242))-YEAR(R242))*12+MONTH(IF(S242="",Settings!$C$9,S242))-MONTH(R242)+1))))</f>
        <v/>
      </c>
      <c r="X242" s="29" t="str">
        <f aca="false">IF(OR(G242="",H242=""),"",ROUND(P242*Settings!$C$11*W242,0))</f>
        <v/>
      </c>
      <c r="Y242" s="29" t="str">
        <f aca="false">IF(OR(G242="",H242=""),"",V242+X242)</f>
        <v/>
      </c>
      <c r="Z242" s="7" t="str">
        <f aca="false">IF(OR(G242="",H242=""),"",IF(P242=0,"Below threshold",IF(R242="","Not yet deducted",IF(S242="",IF(Settings!$C$9&gt;Q242,"Overdue — pay now","Deducted, due "&amp;TEXT(Q242,"dd-mmm")),IF(S242&lt;=Q242,IF(N(U242)&gt;0,"Deducted late, paid on time","Paid on time"),"Paid late")))))</f>
        <v/>
      </c>
      <c r="AA242" s="35" t="str">
        <f aca="false">IF(OR(G242="",H242=""),"",IF(D242&lt;&gt;"",UPPER(TRIM(D242)),UPPER(TRIM(C242))))</f>
        <v/>
      </c>
    </row>
    <row r="243" customFormat="false" ht="15" hidden="false" customHeight="false" outlineLevel="0" collapsed="false">
      <c r="B243" s="17"/>
      <c r="C243" s="5"/>
      <c r="D243" s="5"/>
      <c r="E243" s="5"/>
      <c r="F243" s="5"/>
      <c r="G243" s="5"/>
      <c r="H243" s="16"/>
      <c r="I243" s="7" t="str">
        <f aca="false">IF(OR(G243="",H243=""),"",IFERROR(INDEX('TDS Rates'!$D$6:$D$40,MATCH(G243,'TDS Rates'!$B$6:$B$40,0)),"Check nature"))</f>
        <v/>
      </c>
      <c r="J243" s="7" t="str">
        <f aca="false">IF(OR(G243="",H243=""),"",IFERROR(INDEX('TDS Rates'!$C$6:$C$40,MATCH(G243,'TDS Rates'!$B$6:$B$40,0)),""))</f>
        <v/>
      </c>
      <c r="K243" s="7" t="str">
        <f aca="false">IF(OR(G243="",H243=""),"",IFERROR(INDEX('TDS Rates'!$E$6:$E$40,MATCH(G243,'TDS Rates'!$B$6:$B$40,0)),""))</f>
        <v/>
      </c>
      <c r="L243" s="29" t="str">
        <f aca="false">IF(OR(G243="",H243=""),"",SUMIFS(H$6:H242,AA$6:AA242,AA243,G$6:G242,G243))</f>
        <v/>
      </c>
      <c r="M243" s="29" t="str">
        <f aca="false">IF(OR(G243="",H243=""),"",SUMIFS(H$6:H242,AA$6:AA242,AA243,G$6:G242,G243,N$6:N242,0))</f>
        <v/>
      </c>
      <c r="N243" s="29" t="str">
        <f aca="false">IF(OR(G243="",H243=""),"",IFERROR(IF(INDEX('TDS Rates'!$F$6:$F$40,MATCH(G243,'TDS Rates'!$B$6:$B$40,0))="NONE",H243,IF(INDEX('TDS Rates'!$F$6:$F$40,MATCH(G243,'TDS Rates'!$B$6:$B$40,0))="PER",IF(H243&gt;INDEX('TDS Rates'!$G$6:$G$40,MATCH(G243,'TDS Rates'!$B$6:$B$40,0)),H243,0),IF(INDEX('TDS Rates'!$F$6:$F$40,MATCH(G243,'TDS Rates'!$B$6:$B$40,0))="EXCESS",MAX(0,L243+H243-INDEX('TDS Rates'!$H$6:$H$40,MATCH(G243,'TDS Rates'!$B$6:$B$40,0)))-MAX(0,L243-INDEX('TDS Rates'!$H$6:$H$40,MATCH(G243,'TDS Rates'!$B$6:$B$40,0))),IF(INDEX('TDS Rates'!$F$6:$F$40,MATCH(G243,'TDS Rates'!$B$6:$B$40,0))="SA",IF(L243+H243&gt;INDEX('TDS Rates'!$H$6:$H$40,MATCH(G243,'TDS Rates'!$B$6:$B$40,0)),H243+M243,IF(H243&gt;INDEX('TDS Rates'!$G$6:$G$40,MATCH(G243,'TDS Rates'!$B$6:$B$40,0)),H243,0)),IF(L243+H243&gt;INDEX('TDS Rates'!$H$6:$H$40,MATCH(G243,'TDS Rates'!$B$6:$B$40,0)),H243+M243,0))))),0))</f>
        <v/>
      </c>
      <c r="O243" s="33" t="str">
        <f aca="false">IF(OR(G243="",H243=""),"",IFERROR(IF(F243="No",IF(INDEX('TDS Rates'!$C$6:$C$40,MATCH(G243,'TDS Rates'!$B$6:$B$40,0))="194Q",Settings!$C$14,MAX(Settings!$C$13,IF(E243="Individual / HUF",INDEX('TDS Rates'!$I$6:$I$40,MATCH(G243,'TDS Rates'!$B$6:$B$40,0)),IF(E243="Company",INDEX('TDS Rates'!$J$6:$J$40,MATCH(G243,'TDS Rates'!$B$6:$B$40,0)),INDEX('TDS Rates'!$K$6:$K$40,MATCH(G243,'TDS Rates'!$B$6:$B$40,0)))))),IF(E243="Individual / HUF",INDEX('TDS Rates'!$I$6:$I$40,MATCH(G243,'TDS Rates'!$B$6:$B$40,0)),IF(E243="Company",INDEX('TDS Rates'!$J$6:$J$40,MATCH(G243,'TDS Rates'!$B$6:$B$40,0)),INDEX('TDS Rates'!$K$6:$K$40,MATCH(G243,'TDS Rates'!$B$6:$B$40,0))))),0))</f>
        <v/>
      </c>
      <c r="P243" s="34" t="str">
        <f aca="false">IF(OR(G243="",H243=""),"",ROUND(N243*O243,0))</f>
        <v/>
      </c>
      <c r="Q243" s="27" t="str">
        <f aca="false">IF(OR(G243="",H243=""),"",IFERROR(IF(INDEX('TDS Rates'!$E$6:$E$40,MATCH(G243,'TDS Rates'!$B$6:$B$40,0))="Form 141",EOMONTH(IF(R243="",B243,R243),0)+30,IF(MONTH(IF(R243="",B243,R243))=3,DATE(YEAR(IF(R243="",B243,R243)),4,30),DATE(YEAR(IF(R243="",B243,R243)),MONTH(IF(R243="",B243,R243))+1,7))),""))</f>
        <v/>
      </c>
      <c r="R243" s="17"/>
      <c r="S243" s="17"/>
      <c r="T243" s="5"/>
      <c r="U243" s="28" t="str">
        <f aca="false">IF(OR(G243="",H243=""),"",IF(P243=0,0,IF(IF(R243="",Settings!$C$9,R243)&lt;=B243,0,((YEAR(IF(R243="",Settings!$C$9,R243))-YEAR(B243))*12+MONTH(IF(R243="",Settings!$C$9,R243))-MONTH(B243)+1))))</f>
        <v/>
      </c>
      <c r="V243" s="29" t="str">
        <f aca="false">IF(OR(G243="",H243=""),"",ROUND(P243*Settings!$C$10*U243,0))</f>
        <v/>
      </c>
      <c r="W243" s="28" t="str">
        <f aca="false">IF(OR(G243="",H243=""),"",IF(OR(P243=0,R243=""),0,IF(IF(S243="",Settings!$C$9,S243)&lt;=Q243,0,((YEAR(IF(S243="",Settings!$C$9,S243))-YEAR(R243))*12+MONTH(IF(S243="",Settings!$C$9,S243))-MONTH(R243)+1))))</f>
        <v/>
      </c>
      <c r="X243" s="29" t="str">
        <f aca="false">IF(OR(G243="",H243=""),"",ROUND(P243*Settings!$C$11*W243,0))</f>
        <v/>
      </c>
      <c r="Y243" s="29" t="str">
        <f aca="false">IF(OR(G243="",H243=""),"",V243+X243)</f>
        <v/>
      </c>
      <c r="Z243" s="7" t="str">
        <f aca="false">IF(OR(G243="",H243=""),"",IF(P243=0,"Below threshold",IF(R243="","Not yet deducted",IF(S243="",IF(Settings!$C$9&gt;Q243,"Overdue — pay now","Deducted, due "&amp;TEXT(Q243,"dd-mmm")),IF(S243&lt;=Q243,IF(N(U243)&gt;0,"Deducted late, paid on time","Paid on time"),"Paid late")))))</f>
        <v/>
      </c>
      <c r="AA243" s="35" t="str">
        <f aca="false">IF(OR(G243="",H243=""),"",IF(D243&lt;&gt;"",UPPER(TRIM(D243)),UPPER(TRIM(C243))))</f>
        <v/>
      </c>
    </row>
    <row r="244" customFormat="false" ht="15" hidden="false" customHeight="false" outlineLevel="0" collapsed="false">
      <c r="B244" s="17"/>
      <c r="C244" s="5"/>
      <c r="D244" s="5"/>
      <c r="E244" s="5"/>
      <c r="F244" s="5"/>
      <c r="G244" s="5"/>
      <c r="H244" s="16"/>
      <c r="I244" s="7" t="str">
        <f aca="false">IF(OR(G244="",H244=""),"",IFERROR(INDEX('TDS Rates'!$D$6:$D$40,MATCH(G244,'TDS Rates'!$B$6:$B$40,0)),"Check nature"))</f>
        <v/>
      </c>
      <c r="J244" s="7" t="str">
        <f aca="false">IF(OR(G244="",H244=""),"",IFERROR(INDEX('TDS Rates'!$C$6:$C$40,MATCH(G244,'TDS Rates'!$B$6:$B$40,0)),""))</f>
        <v/>
      </c>
      <c r="K244" s="7" t="str">
        <f aca="false">IF(OR(G244="",H244=""),"",IFERROR(INDEX('TDS Rates'!$E$6:$E$40,MATCH(G244,'TDS Rates'!$B$6:$B$40,0)),""))</f>
        <v/>
      </c>
      <c r="L244" s="29" t="str">
        <f aca="false">IF(OR(G244="",H244=""),"",SUMIFS(H$6:H243,AA$6:AA243,AA244,G$6:G243,G244))</f>
        <v/>
      </c>
      <c r="M244" s="29" t="str">
        <f aca="false">IF(OR(G244="",H244=""),"",SUMIFS(H$6:H243,AA$6:AA243,AA244,G$6:G243,G244,N$6:N243,0))</f>
        <v/>
      </c>
      <c r="N244" s="29" t="str">
        <f aca="false">IF(OR(G244="",H244=""),"",IFERROR(IF(INDEX('TDS Rates'!$F$6:$F$40,MATCH(G244,'TDS Rates'!$B$6:$B$40,0))="NONE",H244,IF(INDEX('TDS Rates'!$F$6:$F$40,MATCH(G244,'TDS Rates'!$B$6:$B$40,0))="PER",IF(H244&gt;INDEX('TDS Rates'!$G$6:$G$40,MATCH(G244,'TDS Rates'!$B$6:$B$40,0)),H244,0),IF(INDEX('TDS Rates'!$F$6:$F$40,MATCH(G244,'TDS Rates'!$B$6:$B$40,0))="EXCESS",MAX(0,L244+H244-INDEX('TDS Rates'!$H$6:$H$40,MATCH(G244,'TDS Rates'!$B$6:$B$40,0)))-MAX(0,L244-INDEX('TDS Rates'!$H$6:$H$40,MATCH(G244,'TDS Rates'!$B$6:$B$40,0))),IF(INDEX('TDS Rates'!$F$6:$F$40,MATCH(G244,'TDS Rates'!$B$6:$B$40,0))="SA",IF(L244+H244&gt;INDEX('TDS Rates'!$H$6:$H$40,MATCH(G244,'TDS Rates'!$B$6:$B$40,0)),H244+M244,IF(H244&gt;INDEX('TDS Rates'!$G$6:$G$40,MATCH(G244,'TDS Rates'!$B$6:$B$40,0)),H244,0)),IF(L244+H244&gt;INDEX('TDS Rates'!$H$6:$H$40,MATCH(G244,'TDS Rates'!$B$6:$B$40,0)),H244+M244,0))))),0))</f>
        <v/>
      </c>
      <c r="O244" s="33" t="str">
        <f aca="false">IF(OR(G244="",H244=""),"",IFERROR(IF(F244="No",IF(INDEX('TDS Rates'!$C$6:$C$40,MATCH(G244,'TDS Rates'!$B$6:$B$40,0))="194Q",Settings!$C$14,MAX(Settings!$C$13,IF(E244="Individual / HUF",INDEX('TDS Rates'!$I$6:$I$40,MATCH(G244,'TDS Rates'!$B$6:$B$40,0)),IF(E244="Company",INDEX('TDS Rates'!$J$6:$J$40,MATCH(G244,'TDS Rates'!$B$6:$B$40,0)),INDEX('TDS Rates'!$K$6:$K$40,MATCH(G244,'TDS Rates'!$B$6:$B$40,0)))))),IF(E244="Individual / HUF",INDEX('TDS Rates'!$I$6:$I$40,MATCH(G244,'TDS Rates'!$B$6:$B$40,0)),IF(E244="Company",INDEX('TDS Rates'!$J$6:$J$40,MATCH(G244,'TDS Rates'!$B$6:$B$40,0)),INDEX('TDS Rates'!$K$6:$K$40,MATCH(G244,'TDS Rates'!$B$6:$B$40,0))))),0))</f>
        <v/>
      </c>
      <c r="P244" s="34" t="str">
        <f aca="false">IF(OR(G244="",H244=""),"",ROUND(N244*O244,0))</f>
        <v/>
      </c>
      <c r="Q244" s="27" t="str">
        <f aca="false">IF(OR(G244="",H244=""),"",IFERROR(IF(INDEX('TDS Rates'!$E$6:$E$40,MATCH(G244,'TDS Rates'!$B$6:$B$40,0))="Form 141",EOMONTH(IF(R244="",B244,R244),0)+30,IF(MONTH(IF(R244="",B244,R244))=3,DATE(YEAR(IF(R244="",B244,R244)),4,30),DATE(YEAR(IF(R244="",B244,R244)),MONTH(IF(R244="",B244,R244))+1,7))),""))</f>
        <v/>
      </c>
      <c r="R244" s="17"/>
      <c r="S244" s="17"/>
      <c r="T244" s="5"/>
      <c r="U244" s="28" t="str">
        <f aca="false">IF(OR(G244="",H244=""),"",IF(P244=0,0,IF(IF(R244="",Settings!$C$9,R244)&lt;=B244,0,((YEAR(IF(R244="",Settings!$C$9,R244))-YEAR(B244))*12+MONTH(IF(R244="",Settings!$C$9,R244))-MONTH(B244)+1))))</f>
        <v/>
      </c>
      <c r="V244" s="29" t="str">
        <f aca="false">IF(OR(G244="",H244=""),"",ROUND(P244*Settings!$C$10*U244,0))</f>
        <v/>
      </c>
      <c r="W244" s="28" t="str">
        <f aca="false">IF(OR(G244="",H244=""),"",IF(OR(P244=0,R244=""),0,IF(IF(S244="",Settings!$C$9,S244)&lt;=Q244,0,((YEAR(IF(S244="",Settings!$C$9,S244))-YEAR(R244))*12+MONTH(IF(S244="",Settings!$C$9,S244))-MONTH(R244)+1))))</f>
        <v/>
      </c>
      <c r="X244" s="29" t="str">
        <f aca="false">IF(OR(G244="",H244=""),"",ROUND(P244*Settings!$C$11*W244,0))</f>
        <v/>
      </c>
      <c r="Y244" s="29" t="str">
        <f aca="false">IF(OR(G244="",H244=""),"",V244+X244)</f>
        <v/>
      </c>
      <c r="Z244" s="7" t="str">
        <f aca="false">IF(OR(G244="",H244=""),"",IF(P244=0,"Below threshold",IF(R244="","Not yet deducted",IF(S244="",IF(Settings!$C$9&gt;Q244,"Overdue — pay now","Deducted, due "&amp;TEXT(Q244,"dd-mmm")),IF(S244&lt;=Q244,IF(N(U244)&gt;0,"Deducted late, paid on time","Paid on time"),"Paid late")))))</f>
        <v/>
      </c>
      <c r="AA244" s="35" t="str">
        <f aca="false">IF(OR(G244="",H244=""),"",IF(D244&lt;&gt;"",UPPER(TRIM(D244)),UPPER(TRIM(C244))))</f>
        <v/>
      </c>
    </row>
    <row r="245" customFormat="false" ht="15" hidden="false" customHeight="false" outlineLevel="0" collapsed="false">
      <c r="B245" s="17"/>
      <c r="C245" s="5"/>
      <c r="D245" s="5"/>
      <c r="E245" s="5"/>
      <c r="F245" s="5"/>
      <c r="G245" s="5"/>
      <c r="H245" s="16"/>
      <c r="I245" s="7" t="str">
        <f aca="false">IF(OR(G245="",H245=""),"",IFERROR(INDEX('TDS Rates'!$D$6:$D$40,MATCH(G245,'TDS Rates'!$B$6:$B$40,0)),"Check nature"))</f>
        <v/>
      </c>
      <c r="J245" s="7" t="str">
        <f aca="false">IF(OR(G245="",H245=""),"",IFERROR(INDEX('TDS Rates'!$C$6:$C$40,MATCH(G245,'TDS Rates'!$B$6:$B$40,0)),""))</f>
        <v/>
      </c>
      <c r="K245" s="7" t="str">
        <f aca="false">IF(OR(G245="",H245=""),"",IFERROR(INDEX('TDS Rates'!$E$6:$E$40,MATCH(G245,'TDS Rates'!$B$6:$B$40,0)),""))</f>
        <v/>
      </c>
      <c r="L245" s="29" t="str">
        <f aca="false">IF(OR(G245="",H245=""),"",SUMIFS(H$6:H244,AA$6:AA244,AA245,G$6:G244,G245))</f>
        <v/>
      </c>
      <c r="M245" s="29" t="str">
        <f aca="false">IF(OR(G245="",H245=""),"",SUMIFS(H$6:H244,AA$6:AA244,AA245,G$6:G244,G245,N$6:N244,0))</f>
        <v/>
      </c>
      <c r="N245" s="29" t="str">
        <f aca="false">IF(OR(G245="",H245=""),"",IFERROR(IF(INDEX('TDS Rates'!$F$6:$F$40,MATCH(G245,'TDS Rates'!$B$6:$B$40,0))="NONE",H245,IF(INDEX('TDS Rates'!$F$6:$F$40,MATCH(G245,'TDS Rates'!$B$6:$B$40,0))="PER",IF(H245&gt;INDEX('TDS Rates'!$G$6:$G$40,MATCH(G245,'TDS Rates'!$B$6:$B$40,0)),H245,0),IF(INDEX('TDS Rates'!$F$6:$F$40,MATCH(G245,'TDS Rates'!$B$6:$B$40,0))="EXCESS",MAX(0,L245+H245-INDEX('TDS Rates'!$H$6:$H$40,MATCH(G245,'TDS Rates'!$B$6:$B$40,0)))-MAX(0,L245-INDEX('TDS Rates'!$H$6:$H$40,MATCH(G245,'TDS Rates'!$B$6:$B$40,0))),IF(INDEX('TDS Rates'!$F$6:$F$40,MATCH(G245,'TDS Rates'!$B$6:$B$40,0))="SA",IF(L245+H245&gt;INDEX('TDS Rates'!$H$6:$H$40,MATCH(G245,'TDS Rates'!$B$6:$B$40,0)),H245+M245,IF(H245&gt;INDEX('TDS Rates'!$G$6:$G$40,MATCH(G245,'TDS Rates'!$B$6:$B$40,0)),H245,0)),IF(L245+H245&gt;INDEX('TDS Rates'!$H$6:$H$40,MATCH(G245,'TDS Rates'!$B$6:$B$40,0)),H245+M245,0))))),0))</f>
        <v/>
      </c>
      <c r="O245" s="33" t="str">
        <f aca="false">IF(OR(G245="",H245=""),"",IFERROR(IF(F245="No",IF(INDEX('TDS Rates'!$C$6:$C$40,MATCH(G245,'TDS Rates'!$B$6:$B$40,0))="194Q",Settings!$C$14,MAX(Settings!$C$13,IF(E245="Individual / HUF",INDEX('TDS Rates'!$I$6:$I$40,MATCH(G245,'TDS Rates'!$B$6:$B$40,0)),IF(E245="Company",INDEX('TDS Rates'!$J$6:$J$40,MATCH(G245,'TDS Rates'!$B$6:$B$40,0)),INDEX('TDS Rates'!$K$6:$K$40,MATCH(G245,'TDS Rates'!$B$6:$B$40,0)))))),IF(E245="Individual / HUF",INDEX('TDS Rates'!$I$6:$I$40,MATCH(G245,'TDS Rates'!$B$6:$B$40,0)),IF(E245="Company",INDEX('TDS Rates'!$J$6:$J$40,MATCH(G245,'TDS Rates'!$B$6:$B$40,0)),INDEX('TDS Rates'!$K$6:$K$40,MATCH(G245,'TDS Rates'!$B$6:$B$40,0))))),0))</f>
        <v/>
      </c>
      <c r="P245" s="34" t="str">
        <f aca="false">IF(OR(G245="",H245=""),"",ROUND(N245*O245,0))</f>
        <v/>
      </c>
      <c r="Q245" s="27" t="str">
        <f aca="false">IF(OR(G245="",H245=""),"",IFERROR(IF(INDEX('TDS Rates'!$E$6:$E$40,MATCH(G245,'TDS Rates'!$B$6:$B$40,0))="Form 141",EOMONTH(IF(R245="",B245,R245),0)+30,IF(MONTH(IF(R245="",B245,R245))=3,DATE(YEAR(IF(R245="",B245,R245)),4,30),DATE(YEAR(IF(R245="",B245,R245)),MONTH(IF(R245="",B245,R245))+1,7))),""))</f>
        <v/>
      </c>
      <c r="R245" s="17"/>
      <c r="S245" s="17"/>
      <c r="T245" s="5"/>
      <c r="U245" s="28" t="str">
        <f aca="false">IF(OR(G245="",H245=""),"",IF(P245=0,0,IF(IF(R245="",Settings!$C$9,R245)&lt;=B245,0,((YEAR(IF(R245="",Settings!$C$9,R245))-YEAR(B245))*12+MONTH(IF(R245="",Settings!$C$9,R245))-MONTH(B245)+1))))</f>
        <v/>
      </c>
      <c r="V245" s="29" t="str">
        <f aca="false">IF(OR(G245="",H245=""),"",ROUND(P245*Settings!$C$10*U245,0))</f>
        <v/>
      </c>
      <c r="W245" s="28" t="str">
        <f aca="false">IF(OR(G245="",H245=""),"",IF(OR(P245=0,R245=""),0,IF(IF(S245="",Settings!$C$9,S245)&lt;=Q245,0,((YEAR(IF(S245="",Settings!$C$9,S245))-YEAR(R245))*12+MONTH(IF(S245="",Settings!$C$9,S245))-MONTH(R245)+1))))</f>
        <v/>
      </c>
      <c r="X245" s="29" t="str">
        <f aca="false">IF(OR(G245="",H245=""),"",ROUND(P245*Settings!$C$11*W245,0))</f>
        <v/>
      </c>
      <c r="Y245" s="29" t="str">
        <f aca="false">IF(OR(G245="",H245=""),"",V245+X245)</f>
        <v/>
      </c>
      <c r="Z245" s="7" t="str">
        <f aca="false">IF(OR(G245="",H245=""),"",IF(P245=0,"Below threshold",IF(R245="","Not yet deducted",IF(S245="",IF(Settings!$C$9&gt;Q245,"Overdue — pay now","Deducted, due "&amp;TEXT(Q245,"dd-mmm")),IF(S245&lt;=Q245,IF(N(U245)&gt;0,"Deducted late, paid on time","Paid on time"),"Paid late")))))</f>
        <v/>
      </c>
      <c r="AA245" s="35" t="str">
        <f aca="false">IF(OR(G245="",H245=""),"",IF(D245&lt;&gt;"",UPPER(TRIM(D245)),UPPER(TRIM(C245))))</f>
        <v/>
      </c>
    </row>
    <row r="246" customFormat="false" ht="15" hidden="false" customHeight="false" outlineLevel="0" collapsed="false">
      <c r="B246" s="17"/>
      <c r="C246" s="5"/>
      <c r="D246" s="5"/>
      <c r="E246" s="5"/>
      <c r="F246" s="5"/>
      <c r="G246" s="5"/>
      <c r="H246" s="16"/>
      <c r="I246" s="7" t="str">
        <f aca="false">IF(OR(G246="",H246=""),"",IFERROR(INDEX('TDS Rates'!$D$6:$D$40,MATCH(G246,'TDS Rates'!$B$6:$B$40,0)),"Check nature"))</f>
        <v/>
      </c>
      <c r="J246" s="7" t="str">
        <f aca="false">IF(OR(G246="",H246=""),"",IFERROR(INDEX('TDS Rates'!$C$6:$C$40,MATCH(G246,'TDS Rates'!$B$6:$B$40,0)),""))</f>
        <v/>
      </c>
      <c r="K246" s="7" t="str">
        <f aca="false">IF(OR(G246="",H246=""),"",IFERROR(INDEX('TDS Rates'!$E$6:$E$40,MATCH(G246,'TDS Rates'!$B$6:$B$40,0)),""))</f>
        <v/>
      </c>
      <c r="L246" s="29" t="str">
        <f aca="false">IF(OR(G246="",H246=""),"",SUMIFS(H$6:H245,AA$6:AA245,AA246,G$6:G245,G246))</f>
        <v/>
      </c>
      <c r="M246" s="29" t="str">
        <f aca="false">IF(OR(G246="",H246=""),"",SUMIFS(H$6:H245,AA$6:AA245,AA246,G$6:G245,G246,N$6:N245,0))</f>
        <v/>
      </c>
      <c r="N246" s="29" t="str">
        <f aca="false">IF(OR(G246="",H246=""),"",IFERROR(IF(INDEX('TDS Rates'!$F$6:$F$40,MATCH(G246,'TDS Rates'!$B$6:$B$40,0))="NONE",H246,IF(INDEX('TDS Rates'!$F$6:$F$40,MATCH(G246,'TDS Rates'!$B$6:$B$40,0))="PER",IF(H246&gt;INDEX('TDS Rates'!$G$6:$G$40,MATCH(G246,'TDS Rates'!$B$6:$B$40,0)),H246,0),IF(INDEX('TDS Rates'!$F$6:$F$40,MATCH(G246,'TDS Rates'!$B$6:$B$40,0))="EXCESS",MAX(0,L246+H246-INDEX('TDS Rates'!$H$6:$H$40,MATCH(G246,'TDS Rates'!$B$6:$B$40,0)))-MAX(0,L246-INDEX('TDS Rates'!$H$6:$H$40,MATCH(G246,'TDS Rates'!$B$6:$B$40,0))),IF(INDEX('TDS Rates'!$F$6:$F$40,MATCH(G246,'TDS Rates'!$B$6:$B$40,0))="SA",IF(L246+H246&gt;INDEX('TDS Rates'!$H$6:$H$40,MATCH(G246,'TDS Rates'!$B$6:$B$40,0)),H246+M246,IF(H246&gt;INDEX('TDS Rates'!$G$6:$G$40,MATCH(G246,'TDS Rates'!$B$6:$B$40,0)),H246,0)),IF(L246+H246&gt;INDEX('TDS Rates'!$H$6:$H$40,MATCH(G246,'TDS Rates'!$B$6:$B$40,0)),H246+M246,0))))),0))</f>
        <v/>
      </c>
      <c r="O246" s="33" t="str">
        <f aca="false">IF(OR(G246="",H246=""),"",IFERROR(IF(F246="No",IF(INDEX('TDS Rates'!$C$6:$C$40,MATCH(G246,'TDS Rates'!$B$6:$B$40,0))="194Q",Settings!$C$14,MAX(Settings!$C$13,IF(E246="Individual / HUF",INDEX('TDS Rates'!$I$6:$I$40,MATCH(G246,'TDS Rates'!$B$6:$B$40,0)),IF(E246="Company",INDEX('TDS Rates'!$J$6:$J$40,MATCH(G246,'TDS Rates'!$B$6:$B$40,0)),INDEX('TDS Rates'!$K$6:$K$40,MATCH(G246,'TDS Rates'!$B$6:$B$40,0)))))),IF(E246="Individual / HUF",INDEX('TDS Rates'!$I$6:$I$40,MATCH(G246,'TDS Rates'!$B$6:$B$40,0)),IF(E246="Company",INDEX('TDS Rates'!$J$6:$J$40,MATCH(G246,'TDS Rates'!$B$6:$B$40,0)),INDEX('TDS Rates'!$K$6:$K$40,MATCH(G246,'TDS Rates'!$B$6:$B$40,0))))),0))</f>
        <v/>
      </c>
      <c r="P246" s="34" t="str">
        <f aca="false">IF(OR(G246="",H246=""),"",ROUND(N246*O246,0))</f>
        <v/>
      </c>
      <c r="Q246" s="27" t="str">
        <f aca="false">IF(OR(G246="",H246=""),"",IFERROR(IF(INDEX('TDS Rates'!$E$6:$E$40,MATCH(G246,'TDS Rates'!$B$6:$B$40,0))="Form 141",EOMONTH(IF(R246="",B246,R246),0)+30,IF(MONTH(IF(R246="",B246,R246))=3,DATE(YEAR(IF(R246="",B246,R246)),4,30),DATE(YEAR(IF(R246="",B246,R246)),MONTH(IF(R246="",B246,R246))+1,7))),""))</f>
        <v/>
      </c>
      <c r="R246" s="17"/>
      <c r="S246" s="17"/>
      <c r="T246" s="5"/>
      <c r="U246" s="28" t="str">
        <f aca="false">IF(OR(G246="",H246=""),"",IF(P246=0,0,IF(IF(R246="",Settings!$C$9,R246)&lt;=B246,0,((YEAR(IF(R246="",Settings!$C$9,R246))-YEAR(B246))*12+MONTH(IF(R246="",Settings!$C$9,R246))-MONTH(B246)+1))))</f>
        <v/>
      </c>
      <c r="V246" s="29" t="str">
        <f aca="false">IF(OR(G246="",H246=""),"",ROUND(P246*Settings!$C$10*U246,0))</f>
        <v/>
      </c>
      <c r="W246" s="28" t="str">
        <f aca="false">IF(OR(G246="",H246=""),"",IF(OR(P246=0,R246=""),0,IF(IF(S246="",Settings!$C$9,S246)&lt;=Q246,0,((YEAR(IF(S246="",Settings!$C$9,S246))-YEAR(R246))*12+MONTH(IF(S246="",Settings!$C$9,S246))-MONTH(R246)+1))))</f>
        <v/>
      </c>
      <c r="X246" s="29" t="str">
        <f aca="false">IF(OR(G246="",H246=""),"",ROUND(P246*Settings!$C$11*W246,0))</f>
        <v/>
      </c>
      <c r="Y246" s="29" t="str">
        <f aca="false">IF(OR(G246="",H246=""),"",V246+X246)</f>
        <v/>
      </c>
      <c r="Z246" s="7" t="str">
        <f aca="false">IF(OR(G246="",H246=""),"",IF(P246=0,"Below threshold",IF(R246="","Not yet deducted",IF(S246="",IF(Settings!$C$9&gt;Q246,"Overdue — pay now","Deducted, due "&amp;TEXT(Q246,"dd-mmm")),IF(S246&lt;=Q246,IF(N(U246)&gt;0,"Deducted late, paid on time","Paid on time"),"Paid late")))))</f>
        <v/>
      </c>
      <c r="AA246" s="35" t="str">
        <f aca="false">IF(OR(G246="",H246=""),"",IF(D246&lt;&gt;"",UPPER(TRIM(D246)),UPPER(TRIM(C246))))</f>
        <v/>
      </c>
    </row>
    <row r="247" customFormat="false" ht="15" hidden="false" customHeight="false" outlineLevel="0" collapsed="false">
      <c r="B247" s="17"/>
      <c r="C247" s="5"/>
      <c r="D247" s="5"/>
      <c r="E247" s="5"/>
      <c r="F247" s="5"/>
      <c r="G247" s="5"/>
      <c r="H247" s="16"/>
      <c r="I247" s="7" t="str">
        <f aca="false">IF(OR(G247="",H247=""),"",IFERROR(INDEX('TDS Rates'!$D$6:$D$40,MATCH(G247,'TDS Rates'!$B$6:$B$40,0)),"Check nature"))</f>
        <v/>
      </c>
      <c r="J247" s="7" t="str">
        <f aca="false">IF(OR(G247="",H247=""),"",IFERROR(INDEX('TDS Rates'!$C$6:$C$40,MATCH(G247,'TDS Rates'!$B$6:$B$40,0)),""))</f>
        <v/>
      </c>
      <c r="K247" s="7" t="str">
        <f aca="false">IF(OR(G247="",H247=""),"",IFERROR(INDEX('TDS Rates'!$E$6:$E$40,MATCH(G247,'TDS Rates'!$B$6:$B$40,0)),""))</f>
        <v/>
      </c>
      <c r="L247" s="29" t="str">
        <f aca="false">IF(OR(G247="",H247=""),"",SUMIFS(H$6:H246,AA$6:AA246,AA247,G$6:G246,G247))</f>
        <v/>
      </c>
      <c r="M247" s="29" t="str">
        <f aca="false">IF(OR(G247="",H247=""),"",SUMIFS(H$6:H246,AA$6:AA246,AA247,G$6:G246,G247,N$6:N246,0))</f>
        <v/>
      </c>
      <c r="N247" s="29" t="str">
        <f aca="false">IF(OR(G247="",H247=""),"",IFERROR(IF(INDEX('TDS Rates'!$F$6:$F$40,MATCH(G247,'TDS Rates'!$B$6:$B$40,0))="NONE",H247,IF(INDEX('TDS Rates'!$F$6:$F$40,MATCH(G247,'TDS Rates'!$B$6:$B$40,0))="PER",IF(H247&gt;INDEX('TDS Rates'!$G$6:$G$40,MATCH(G247,'TDS Rates'!$B$6:$B$40,0)),H247,0),IF(INDEX('TDS Rates'!$F$6:$F$40,MATCH(G247,'TDS Rates'!$B$6:$B$40,0))="EXCESS",MAX(0,L247+H247-INDEX('TDS Rates'!$H$6:$H$40,MATCH(G247,'TDS Rates'!$B$6:$B$40,0)))-MAX(0,L247-INDEX('TDS Rates'!$H$6:$H$40,MATCH(G247,'TDS Rates'!$B$6:$B$40,0))),IF(INDEX('TDS Rates'!$F$6:$F$40,MATCH(G247,'TDS Rates'!$B$6:$B$40,0))="SA",IF(L247+H247&gt;INDEX('TDS Rates'!$H$6:$H$40,MATCH(G247,'TDS Rates'!$B$6:$B$40,0)),H247+M247,IF(H247&gt;INDEX('TDS Rates'!$G$6:$G$40,MATCH(G247,'TDS Rates'!$B$6:$B$40,0)),H247,0)),IF(L247+H247&gt;INDEX('TDS Rates'!$H$6:$H$40,MATCH(G247,'TDS Rates'!$B$6:$B$40,0)),H247+M247,0))))),0))</f>
        <v/>
      </c>
      <c r="O247" s="33" t="str">
        <f aca="false">IF(OR(G247="",H247=""),"",IFERROR(IF(F247="No",IF(INDEX('TDS Rates'!$C$6:$C$40,MATCH(G247,'TDS Rates'!$B$6:$B$40,0))="194Q",Settings!$C$14,MAX(Settings!$C$13,IF(E247="Individual / HUF",INDEX('TDS Rates'!$I$6:$I$40,MATCH(G247,'TDS Rates'!$B$6:$B$40,0)),IF(E247="Company",INDEX('TDS Rates'!$J$6:$J$40,MATCH(G247,'TDS Rates'!$B$6:$B$40,0)),INDEX('TDS Rates'!$K$6:$K$40,MATCH(G247,'TDS Rates'!$B$6:$B$40,0)))))),IF(E247="Individual / HUF",INDEX('TDS Rates'!$I$6:$I$40,MATCH(G247,'TDS Rates'!$B$6:$B$40,0)),IF(E247="Company",INDEX('TDS Rates'!$J$6:$J$40,MATCH(G247,'TDS Rates'!$B$6:$B$40,0)),INDEX('TDS Rates'!$K$6:$K$40,MATCH(G247,'TDS Rates'!$B$6:$B$40,0))))),0))</f>
        <v/>
      </c>
      <c r="P247" s="34" t="str">
        <f aca="false">IF(OR(G247="",H247=""),"",ROUND(N247*O247,0))</f>
        <v/>
      </c>
      <c r="Q247" s="27" t="str">
        <f aca="false">IF(OR(G247="",H247=""),"",IFERROR(IF(INDEX('TDS Rates'!$E$6:$E$40,MATCH(G247,'TDS Rates'!$B$6:$B$40,0))="Form 141",EOMONTH(IF(R247="",B247,R247),0)+30,IF(MONTH(IF(R247="",B247,R247))=3,DATE(YEAR(IF(R247="",B247,R247)),4,30),DATE(YEAR(IF(R247="",B247,R247)),MONTH(IF(R247="",B247,R247))+1,7))),""))</f>
        <v/>
      </c>
      <c r="R247" s="17"/>
      <c r="S247" s="17"/>
      <c r="T247" s="5"/>
      <c r="U247" s="28" t="str">
        <f aca="false">IF(OR(G247="",H247=""),"",IF(P247=0,0,IF(IF(R247="",Settings!$C$9,R247)&lt;=B247,0,((YEAR(IF(R247="",Settings!$C$9,R247))-YEAR(B247))*12+MONTH(IF(R247="",Settings!$C$9,R247))-MONTH(B247)+1))))</f>
        <v/>
      </c>
      <c r="V247" s="29" t="str">
        <f aca="false">IF(OR(G247="",H247=""),"",ROUND(P247*Settings!$C$10*U247,0))</f>
        <v/>
      </c>
      <c r="W247" s="28" t="str">
        <f aca="false">IF(OR(G247="",H247=""),"",IF(OR(P247=0,R247=""),0,IF(IF(S247="",Settings!$C$9,S247)&lt;=Q247,0,((YEAR(IF(S247="",Settings!$C$9,S247))-YEAR(R247))*12+MONTH(IF(S247="",Settings!$C$9,S247))-MONTH(R247)+1))))</f>
        <v/>
      </c>
      <c r="X247" s="29" t="str">
        <f aca="false">IF(OR(G247="",H247=""),"",ROUND(P247*Settings!$C$11*W247,0))</f>
        <v/>
      </c>
      <c r="Y247" s="29" t="str">
        <f aca="false">IF(OR(G247="",H247=""),"",V247+X247)</f>
        <v/>
      </c>
      <c r="Z247" s="7" t="str">
        <f aca="false">IF(OR(G247="",H247=""),"",IF(P247=0,"Below threshold",IF(R247="","Not yet deducted",IF(S247="",IF(Settings!$C$9&gt;Q247,"Overdue — pay now","Deducted, due "&amp;TEXT(Q247,"dd-mmm")),IF(S247&lt;=Q247,IF(N(U247)&gt;0,"Deducted late, paid on time","Paid on time"),"Paid late")))))</f>
        <v/>
      </c>
      <c r="AA247" s="35" t="str">
        <f aca="false">IF(OR(G247="",H247=""),"",IF(D247&lt;&gt;"",UPPER(TRIM(D247)),UPPER(TRIM(C247))))</f>
        <v/>
      </c>
    </row>
    <row r="248" customFormat="false" ht="15" hidden="false" customHeight="false" outlineLevel="0" collapsed="false">
      <c r="B248" s="17"/>
      <c r="C248" s="5"/>
      <c r="D248" s="5"/>
      <c r="E248" s="5"/>
      <c r="F248" s="5"/>
      <c r="G248" s="5"/>
      <c r="H248" s="16"/>
      <c r="I248" s="7" t="str">
        <f aca="false">IF(OR(G248="",H248=""),"",IFERROR(INDEX('TDS Rates'!$D$6:$D$40,MATCH(G248,'TDS Rates'!$B$6:$B$40,0)),"Check nature"))</f>
        <v/>
      </c>
      <c r="J248" s="7" t="str">
        <f aca="false">IF(OR(G248="",H248=""),"",IFERROR(INDEX('TDS Rates'!$C$6:$C$40,MATCH(G248,'TDS Rates'!$B$6:$B$40,0)),""))</f>
        <v/>
      </c>
      <c r="K248" s="7" t="str">
        <f aca="false">IF(OR(G248="",H248=""),"",IFERROR(INDEX('TDS Rates'!$E$6:$E$40,MATCH(G248,'TDS Rates'!$B$6:$B$40,0)),""))</f>
        <v/>
      </c>
      <c r="L248" s="29" t="str">
        <f aca="false">IF(OR(G248="",H248=""),"",SUMIFS(H$6:H247,AA$6:AA247,AA248,G$6:G247,G248))</f>
        <v/>
      </c>
      <c r="M248" s="29" t="str">
        <f aca="false">IF(OR(G248="",H248=""),"",SUMIFS(H$6:H247,AA$6:AA247,AA248,G$6:G247,G248,N$6:N247,0))</f>
        <v/>
      </c>
      <c r="N248" s="29" t="str">
        <f aca="false">IF(OR(G248="",H248=""),"",IFERROR(IF(INDEX('TDS Rates'!$F$6:$F$40,MATCH(G248,'TDS Rates'!$B$6:$B$40,0))="NONE",H248,IF(INDEX('TDS Rates'!$F$6:$F$40,MATCH(G248,'TDS Rates'!$B$6:$B$40,0))="PER",IF(H248&gt;INDEX('TDS Rates'!$G$6:$G$40,MATCH(G248,'TDS Rates'!$B$6:$B$40,0)),H248,0),IF(INDEX('TDS Rates'!$F$6:$F$40,MATCH(G248,'TDS Rates'!$B$6:$B$40,0))="EXCESS",MAX(0,L248+H248-INDEX('TDS Rates'!$H$6:$H$40,MATCH(G248,'TDS Rates'!$B$6:$B$40,0)))-MAX(0,L248-INDEX('TDS Rates'!$H$6:$H$40,MATCH(G248,'TDS Rates'!$B$6:$B$40,0))),IF(INDEX('TDS Rates'!$F$6:$F$40,MATCH(G248,'TDS Rates'!$B$6:$B$40,0))="SA",IF(L248+H248&gt;INDEX('TDS Rates'!$H$6:$H$40,MATCH(G248,'TDS Rates'!$B$6:$B$40,0)),H248+M248,IF(H248&gt;INDEX('TDS Rates'!$G$6:$G$40,MATCH(G248,'TDS Rates'!$B$6:$B$40,0)),H248,0)),IF(L248+H248&gt;INDEX('TDS Rates'!$H$6:$H$40,MATCH(G248,'TDS Rates'!$B$6:$B$40,0)),H248+M248,0))))),0))</f>
        <v/>
      </c>
      <c r="O248" s="33" t="str">
        <f aca="false">IF(OR(G248="",H248=""),"",IFERROR(IF(F248="No",IF(INDEX('TDS Rates'!$C$6:$C$40,MATCH(G248,'TDS Rates'!$B$6:$B$40,0))="194Q",Settings!$C$14,MAX(Settings!$C$13,IF(E248="Individual / HUF",INDEX('TDS Rates'!$I$6:$I$40,MATCH(G248,'TDS Rates'!$B$6:$B$40,0)),IF(E248="Company",INDEX('TDS Rates'!$J$6:$J$40,MATCH(G248,'TDS Rates'!$B$6:$B$40,0)),INDEX('TDS Rates'!$K$6:$K$40,MATCH(G248,'TDS Rates'!$B$6:$B$40,0)))))),IF(E248="Individual / HUF",INDEX('TDS Rates'!$I$6:$I$40,MATCH(G248,'TDS Rates'!$B$6:$B$40,0)),IF(E248="Company",INDEX('TDS Rates'!$J$6:$J$40,MATCH(G248,'TDS Rates'!$B$6:$B$40,0)),INDEX('TDS Rates'!$K$6:$K$40,MATCH(G248,'TDS Rates'!$B$6:$B$40,0))))),0))</f>
        <v/>
      </c>
      <c r="P248" s="34" t="str">
        <f aca="false">IF(OR(G248="",H248=""),"",ROUND(N248*O248,0))</f>
        <v/>
      </c>
      <c r="Q248" s="27" t="str">
        <f aca="false">IF(OR(G248="",H248=""),"",IFERROR(IF(INDEX('TDS Rates'!$E$6:$E$40,MATCH(G248,'TDS Rates'!$B$6:$B$40,0))="Form 141",EOMONTH(IF(R248="",B248,R248),0)+30,IF(MONTH(IF(R248="",B248,R248))=3,DATE(YEAR(IF(R248="",B248,R248)),4,30),DATE(YEAR(IF(R248="",B248,R248)),MONTH(IF(R248="",B248,R248))+1,7))),""))</f>
        <v/>
      </c>
      <c r="R248" s="17"/>
      <c r="S248" s="17"/>
      <c r="T248" s="5"/>
      <c r="U248" s="28" t="str">
        <f aca="false">IF(OR(G248="",H248=""),"",IF(P248=0,0,IF(IF(R248="",Settings!$C$9,R248)&lt;=B248,0,((YEAR(IF(R248="",Settings!$C$9,R248))-YEAR(B248))*12+MONTH(IF(R248="",Settings!$C$9,R248))-MONTH(B248)+1))))</f>
        <v/>
      </c>
      <c r="V248" s="29" t="str">
        <f aca="false">IF(OR(G248="",H248=""),"",ROUND(P248*Settings!$C$10*U248,0))</f>
        <v/>
      </c>
      <c r="W248" s="28" t="str">
        <f aca="false">IF(OR(G248="",H248=""),"",IF(OR(P248=0,R248=""),0,IF(IF(S248="",Settings!$C$9,S248)&lt;=Q248,0,((YEAR(IF(S248="",Settings!$C$9,S248))-YEAR(R248))*12+MONTH(IF(S248="",Settings!$C$9,S248))-MONTH(R248)+1))))</f>
        <v/>
      </c>
      <c r="X248" s="29" t="str">
        <f aca="false">IF(OR(G248="",H248=""),"",ROUND(P248*Settings!$C$11*W248,0))</f>
        <v/>
      </c>
      <c r="Y248" s="29" t="str">
        <f aca="false">IF(OR(G248="",H248=""),"",V248+X248)</f>
        <v/>
      </c>
      <c r="Z248" s="7" t="str">
        <f aca="false">IF(OR(G248="",H248=""),"",IF(P248=0,"Below threshold",IF(R248="","Not yet deducted",IF(S248="",IF(Settings!$C$9&gt;Q248,"Overdue — pay now","Deducted, due "&amp;TEXT(Q248,"dd-mmm")),IF(S248&lt;=Q248,IF(N(U248)&gt;0,"Deducted late, paid on time","Paid on time"),"Paid late")))))</f>
        <v/>
      </c>
      <c r="AA248" s="35" t="str">
        <f aca="false">IF(OR(G248="",H248=""),"",IF(D248&lt;&gt;"",UPPER(TRIM(D248)),UPPER(TRIM(C248))))</f>
        <v/>
      </c>
    </row>
    <row r="249" customFormat="false" ht="15" hidden="false" customHeight="false" outlineLevel="0" collapsed="false">
      <c r="B249" s="17"/>
      <c r="C249" s="5"/>
      <c r="D249" s="5"/>
      <c r="E249" s="5"/>
      <c r="F249" s="5"/>
      <c r="G249" s="5"/>
      <c r="H249" s="16"/>
      <c r="I249" s="7" t="str">
        <f aca="false">IF(OR(G249="",H249=""),"",IFERROR(INDEX('TDS Rates'!$D$6:$D$40,MATCH(G249,'TDS Rates'!$B$6:$B$40,0)),"Check nature"))</f>
        <v/>
      </c>
      <c r="J249" s="7" t="str">
        <f aca="false">IF(OR(G249="",H249=""),"",IFERROR(INDEX('TDS Rates'!$C$6:$C$40,MATCH(G249,'TDS Rates'!$B$6:$B$40,0)),""))</f>
        <v/>
      </c>
      <c r="K249" s="7" t="str">
        <f aca="false">IF(OR(G249="",H249=""),"",IFERROR(INDEX('TDS Rates'!$E$6:$E$40,MATCH(G249,'TDS Rates'!$B$6:$B$40,0)),""))</f>
        <v/>
      </c>
      <c r="L249" s="29" t="str">
        <f aca="false">IF(OR(G249="",H249=""),"",SUMIFS(H$6:H248,AA$6:AA248,AA249,G$6:G248,G249))</f>
        <v/>
      </c>
      <c r="M249" s="29" t="str">
        <f aca="false">IF(OR(G249="",H249=""),"",SUMIFS(H$6:H248,AA$6:AA248,AA249,G$6:G248,G249,N$6:N248,0))</f>
        <v/>
      </c>
      <c r="N249" s="29" t="str">
        <f aca="false">IF(OR(G249="",H249=""),"",IFERROR(IF(INDEX('TDS Rates'!$F$6:$F$40,MATCH(G249,'TDS Rates'!$B$6:$B$40,0))="NONE",H249,IF(INDEX('TDS Rates'!$F$6:$F$40,MATCH(G249,'TDS Rates'!$B$6:$B$40,0))="PER",IF(H249&gt;INDEX('TDS Rates'!$G$6:$G$40,MATCH(G249,'TDS Rates'!$B$6:$B$40,0)),H249,0),IF(INDEX('TDS Rates'!$F$6:$F$40,MATCH(G249,'TDS Rates'!$B$6:$B$40,0))="EXCESS",MAX(0,L249+H249-INDEX('TDS Rates'!$H$6:$H$40,MATCH(G249,'TDS Rates'!$B$6:$B$40,0)))-MAX(0,L249-INDEX('TDS Rates'!$H$6:$H$40,MATCH(G249,'TDS Rates'!$B$6:$B$40,0))),IF(INDEX('TDS Rates'!$F$6:$F$40,MATCH(G249,'TDS Rates'!$B$6:$B$40,0))="SA",IF(L249+H249&gt;INDEX('TDS Rates'!$H$6:$H$40,MATCH(G249,'TDS Rates'!$B$6:$B$40,0)),H249+M249,IF(H249&gt;INDEX('TDS Rates'!$G$6:$G$40,MATCH(G249,'TDS Rates'!$B$6:$B$40,0)),H249,0)),IF(L249+H249&gt;INDEX('TDS Rates'!$H$6:$H$40,MATCH(G249,'TDS Rates'!$B$6:$B$40,0)),H249+M249,0))))),0))</f>
        <v/>
      </c>
      <c r="O249" s="33" t="str">
        <f aca="false">IF(OR(G249="",H249=""),"",IFERROR(IF(F249="No",IF(INDEX('TDS Rates'!$C$6:$C$40,MATCH(G249,'TDS Rates'!$B$6:$B$40,0))="194Q",Settings!$C$14,MAX(Settings!$C$13,IF(E249="Individual / HUF",INDEX('TDS Rates'!$I$6:$I$40,MATCH(G249,'TDS Rates'!$B$6:$B$40,0)),IF(E249="Company",INDEX('TDS Rates'!$J$6:$J$40,MATCH(G249,'TDS Rates'!$B$6:$B$40,0)),INDEX('TDS Rates'!$K$6:$K$40,MATCH(G249,'TDS Rates'!$B$6:$B$40,0)))))),IF(E249="Individual / HUF",INDEX('TDS Rates'!$I$6:$I$40,MATCH(G249,'TDS Rates'!$B$6:$B$40,0)),IF(E249="Company",INDEX('TDS Rates'!$J$6:$J$40,MATCH(G249,'TDS Rates'!$B$6:$B$40,0)),INDEX('TDS Rates'!$K$6:$K$40,MATCH(G249,'TDS Rates'!$B$6:$B$40,0))))),0))</f>
        <v/>
      </c>
      <c r="P249" s="34" t="str">
        <f aca="false">IF(OR(G249="",H249=""),"",ROUND(N249*O249,0))</f>
        <v/>
      </c>
      <c r="Q249" s="27" t="str">
        <f aca="false">IF(OR(G249="",H249=""),"",IFERROR(IF(INDEX('TDS Rates'!$E$6:$E$40,MATCH(G249,'TDS Rates'!$B$6:$B$40,0))="Form 141",EOMONTH(IF(R249="",B249,R249),0)+30,IF(MONTH(IF(R249="",B249,R249))=3,DATE(YEAR(IF(R249="",B249,R249)),4,30),DATE(YEAR(IF(R249="",B249,R249)),MONTH(IF(R249="",B249,R249))+1,7))),""))</f>
        <v/>
      </c>
      <c r="R249" s="17"/>
      <c r="S249" s="17"/>
      <c r="T249" s="5"/>
      <c r="U249" s="28" t="str">
        <f aca="false">IF(OR(G249="",H249=""),"",IF(P249=0,0,IF(IF(R249="",Settings!$C$9,R249)&lt;=B249,0,((YEAR(IF(R249="",Settings!$C$9,R249))-YEAR(B249))*12+MONTH(IF(R249="",Settings!$C$9,R249))-MONTH(B249)+1))))</f>
        <v/>
      </c>
      <c r="V249" s="29" t="str">
        <f aca="false">IF(OR(G249="",H249=""),"",ROUND(P249*Settings!$C$10*U249,0))</f>
        <v/>
      </c>
      <c r="W249" s="28" t="str">
        <f aca="false">IF(OR(G249="",H249=""),"",IF(OR(P249=0,R249=""),0,IF(IF(S249="",Settings!$C$9,S249)&lt;=Q249,0,((YEAR(IF(S249="",Settings!$C$9,S249))-YEAR(R249))*12+MONTH(IF(S249="",Settings!$C$9,S249))-MONTH(R249)+1))))</f>
        <v/>
      </c>
      <c r="X249" s="29" t="str">
        <f aca="false">IF(OR(G249="",H249=""),"",ROUND(P249*Settings!$C$11*W249,0))</f>
        <v/>
      </c>
      <c r="Y249" s="29" t="str">
        <f aca="false">IF(OR(G249="",H249=""),"",V249+X249)</f>
        <v/>
      </c>
      <c r="Z249" s="7" t="str">
        <f aca="false">IF(OR(G249="",H249=""),"",IF(P249=0,"Below threshold",IF(R249="","Not yet deducted",IF(S249="",IF(Settings!$C$9&gt;Q249,"Overdue — pay now","Deducted, due "&amp;TEXT(Q249,"dd-mmm")),IF(S249&lt;=Q249,IF(N(U249)&gt;0,"Deducted late, paid on time","Paid on time"),"Paid late")))))</f>
        <v/>
      </c>
      <c r="AA249" s="35" t="str">
        <f aca="false">IF(OR(G249="",H249=""),"",IF(D249&lt;&gt;"",UPPER(TRIM(D249)),UPPER(TRIM(C249))))</f>
        <v/>
      </c>
    </row>
    <row r="250" customFormat="false" ht="15" hidden="false" customHeight="false" outlineLevel="0" collapsed="false">
      <c r="B250" s="17"/>
      <c r="C250" s="5"/>
      <c r="D250" s="5"/>
      <c r="E250" s="5"/>
      <c r="F250" s="5"/>
      <c r="G250" s="5"/>
      <c r="H250" s="16"/>
      <c r="I250" s="7" t="str">
        <f aca="false">IF(OR(G250="",H250=""),"",IFERROR(INDEX('TDS Rates'!$D$6:$D$40,MATCH(G250,'TDS Rates'!$B$6:$B$40,0)),"Check nature"))</f>
        <v/>
      </c>
      <c r="J250" s="7" t="str">
        <f aca="false">IF(OR(G250="",H250=""),"",IFERROR(INDEX('TDS Rates'!$C$6:$C$40,MATCH(G250,'TDS Rates'!$B$6:$B$40,0)),""))</f>
        <v/>
      </c>
      <c r="K250" s="7" t="str">
        <f aca="false">IF(OR(G250="",H250=""),"",IFERROR(INDEX('TDS Rates'!$E$6:$E$40,MATCH(G250,'TDS Rates'!$B$6:$B$40,0)),""))</f>
        <v/>
      </c>
      <c r="L250" s="29" t="str">
        <f aca="false">IF(OR(G250="",H250=""),"",SUMIFS(H$6:H249,AA$6:AA249,AA250,G$6:G249,G250))</f>
        <v/>
      </c>
      <c r="M250" s="29" t="str">
        <f aca="false">IF(OR(G250="",H250=""),"",SUMIFS(H$6:H249,AA$6:AA249,AA250,G$6:G249,G250,N$6:N249,0))</f>
        <v/>
      </c>
      <c r="N250" s="29" t="str">
        <f aca="false">IF(OR(G250="",H250=""),"",IFERROR(IF(INDEX('TDS Rates'!$F$6:$F$40,MATCH(G250,'TDS Rates'!$B$6:$B$40,0))="NONE",H250,IF(INDEX('TDS Rates'!$F$6:$F$40,MATCH(G250,'TDS Rates'!$B$6:$B$40,0))="PER",IF(H250&gt;INDEX('TDS Rates'!$G$6:$G$40,MATCH(G250,'TDS Rates'!$B$6:$B$40,0)),H250,0),IF(INDEX('TDS Rates'!$F$6:$F$40,MATCH(G250,'TDS Rates'!$B$6:$B$40,0))="EXCESS",MAX(0,L250+H250-INDEX('TDS Rates'!$H$6:$H$40,MATCH(G250,'TDS Rates'!$B$6:$B$40,0)))-MAX(0,L250-INDEX('TDS Rates'!$H$6:$H$40,MATCH(G250,'TDS Rates'!$B$6:$B$40,0))),IF(INDEX('TDS Rates'!$F$6:$F$40,MATCH(G250,'TDS Rates'!$B$6:$B$40,0))="SA",IF(L250+H250&gt;INDEX('TDS Rates'!$H$6:$H$40,MATCH(G250,'TDS Rates'!$B$6:$B$40,0)),H250+M250,IF(H250&gt;INDEX('TDS Rates'!$G$6:$G$40,MATCH(G250,'TDS Rates'!$B$6:$B$40,0)),H250,0)),IF(L250+H250&gt;INDEX('TDS Rates'!$H$6:$H$40,MATCH(G250,'TDS Rates'!$B$6:$B$40,0)),H250+M250,0))))),0))</f>
        <v/>
      </c>
      <c r="O250" s="33" t="str">
        <f aca="false">IF(OR(G250="",H250=""),"",IFERROR(IF(F250="No",IF(INDEX('TDS Rates'!$C$6:$C$40,MATCH(G250,'TDS Rates'!$B$6:$B$40,0))="194Q",Settings!$C$14,MAX(Settings!$C$13,IF(E250="Individual / HUF",INDEX('TDS Rates'!$I$6:$I$40,MATCH(G250,'TDS Rates'!$B$6:$B$40,0)),IF(E250="Company",INDEX('TDS Rates'!$J$6:$J$40,MATCH(G250,'TDS Rates'!$B$6:$B$40,0)),INDEX('TDS Rates'!$K$6:$K$40,MATCH(G250,'TDS Rates'!$B$6:$B$40,0)))))),IF(E250="Individual / HUF",INDEX('TDS Rates'!$I$6:$I$40,MATCH(G250,'TDS Rates'!$B$6:$B$40,0)),IF(E250="Company",INDEX('TDS Rates'!$J$6:$J$40,MATCH(G250,'TDS Rates'!$B$6:$B$40,0)),INDEX('TDS Rates'!$K$6:$K$40,MATCH(G250,'TDS Rates'!$B$6:$B$40,0))))),0))</f>
        <v/>
      </c>
      <c r="P250" s="34" t="str">
        <f aca="false">IF(OR(G250="",H250=""),"",ROUND(N250*O250,0))</f>
        <v/>
      </c>
      <c r="Q250" s="27" t="str">
        <f aca="false">IF(OR(G250="",H250=""),"",IFERROR(IF(INDEX('TDS Rates'!$E$6:$E$40,MATCH(G250,'TDS Rates'!$B$6:$B$40,0))="Form 141",EOMONTH(IF(R250="",B250,R250),0)+30,IF(MONTH(IF(R250="",B250,R250))=3,DATE(YEAR(IF(R250="",B250,R250)),4,30),DATE(YEAR(IF(R250="",B250,R250)),MONTH(IF(R250="",B250,R250))+1,7))),""))</f>
        <v/>
      </c>
      <c r="R250" s="17"/>
      <c r="S250" s="17"/>
      <c r="T250" s="5"/>
      <c r="U250" s="28" t="str">
        <f aca="false">IF(OR(G250="",H250=""),"",IF(P250=0,0,IF(IF(R250="",Settings!$C$9,R250)&lt;=B250,0,((YEAR(IF(R250="",Settings!$C$9,R250))-YEAR(B250))*12+MONTH(IF(R250="",Settings!$C$9,R250))-MONTH(B250)+1))))</f>
        <v/>
      </c>
      <c r="V250" s="29" t="str">
        <f aca="false">IF(OR(G250="",H250=""),"",ROUND(P250*Settings!$C$10*U250,0))</f>
        <v/>
      </c>
      <c r="W250" s="28" t="str">
        <f aca="false">IF(OR(G250="",H250=""),"",IF(OR(P250=0,R250=""),0,IF(IF(S250="",Settings!$C$9,S250)&lt;=Q250,0,((YEAR(IF(S250="",Settings!$C$9,S250))-YEAR(R250))*12+MONTH(IF(S250="",Settings!$C$9,S250))-MONTH(R250)+1))))</f>
        <v/>
      </c>
      <c r="X250" s="29" t="str">
        <f aca="false">IF(OR(G250="",H250=""),"",ROUND(P250*Settings!$C$11*W250,0))</f>
        <v/>
      </c>
      <c r="Y250" s="29" t="str">
        <f aca="false">IF(OR(G250="",H250=""),"",V250+X250)</f>
        <v/>
      </c>
      <c r="Z250" s="7" t="str">
        <f aca="false">IF(OR(G250="",H250=""),"",IF(P250=0,"Below threshold",IF(R250="","Not yet deducted",IF(S250="",IF(Settings!$C$9&gt;Q250,"Overdue — pay now","Deducted, due "&amp;TEXT(Q250,"dd-mmm")),IF(S250&lt;=Q250,IF(N(U250)&gt;0,"Deducted late, paid on time","Paid on time"),"Paid late")))))</f>
        <v/>
      </c>
      <c r="AA250" s="35" t="str">
        <f aca="false">IF(OR(G250="",H250=""),"",IF(D250&lt;&gt;"",UPPER(TRIM(D250)),UPPER(TRIM(C250))))</f>
        <v/>
      </c>
    </row>
    <row r="251" customFormat="false" ht="15" hidden="false" customHeight="false" outlineLevel="0" collapsed="false">
      <c r="B251" s="17"/>
      <c r="C251" s="5"/>
      <c r="D251" s="5"/>
      <c r="E251" s="5"/>
      <c r="F251" s="5"/>
      <c r="G251" s="5"/>
      <c r="H251" s="16"/>
      <c r="I251" s="7" t="str">
        <f aca="false">IF(OR(G251="",H251=""),"",IFERROR(INDEX('TDS Rates'!$D$6:$D$40,MATCH(G251,'TDS Rates'!$B$6:$B$40,0)),"Check nature"))</f>
        <v/>
      </c>
      <c r="J251" s="7" t="str">
        <f aca="false">IF(OR(G251="",H251=""),"",IFERROR(INDEX('TDS Rates'!$C$6:$C$40,MATCH(G251,'TDS Rates'!$B$6:$B$40,0)),""))</f>
        <v/>
      </c>
      <c r="K251" s="7" t="str">
        <f aca="false">IF(OR(G251="",H251=""),"",IFERROR(INDEX('TDS Rates'!$E$6:$E$40,MATCH(G251,'TDS Rates'!$B$6:$B$40,0)),""))</f>
        <v/>
      </c>
      <c r="L251" s="29" t="str">
        <f aca="false">IF(OR(G251="",H251=""),"",SUMIFS(H$6:H250,AA$6:AA250,AA251,G$6:G250,G251))</f>
        <v/>
      </c>
      <c r="M251" s="29" t="str">
        <f aca="false">IF(OR(G251="",H251=""),"",SUMIFS(H$6:H250,AA$6:AA250,AA251,G$6:G250,G251,N$6:N250,0))</f>
        <v/>
      </c>
      <c r="N251" s="29" t="str">
        <f aca="false">IF(OR(G251="",H251=""),"",IFERROR(IF(INDEX('TDS Rates'!$F$6:$F$40,MATCH(G251,'TDS Rates'!$B$6:$B$40,0))="NONE",H251,IF(INDEX('TDS Rates'!$F$6:$F$40,MATCH(G251,'TDS Rates'!$B$6:$B$40,0))="PER",IF(H251&gt;INDEX('TDS Rates'!$G$6:$G$40,MATCH(G251,'TDS Rates'!$B$6:$B$40,0)),H251,0),IF(INDEX('TDS Rates'!$F$6:$F$40,MATCH(G251,'TDS Rates'!$B$6:$B$40,0))="EXCESS",MAX(0,L251+H251-INDEX('TDS Rates'!$H$6:$H$40,MATCH(G251,'TDS Rates'!$B$6:$B$40,0)))-MAX(0,L251-INDEX('TDS Rates'!$H$6:$H$40,MATCH(G251,'TDS Rates'!$B$6:$B$40,0))),IF(INDEX('TDS Rates'!$F$6:$F$40,MATCH(G251,'TDS Rates'!$B$6:$B$40,0))="SA",IF(L251+H251&gt;INDEX('TDS Rates'!$H$6:$H$40,MATCH(G251,'TDS Rates'!$B$6:$B$40,0)),H251+M251,IF(H251&gt;INDEX('TDS Rates'!$G$6:$G$40,MATCH(G251,'TDS Rates'!$B$6:$B$40,0)),H251,0)),IF(L251+H251&gt;INDEX('TDS Rates'!$H$6:$H$40,MATCH(G251,'TDS Rates'!$B$6:$B$40,0)),H251+M251,0))))),0))</f>
        <v/>
      </c>
      <c r="O251" s="33" t="str">
        <f aca="false">IF(OR(G251="",H251=""),"",IFERROR(IF(F251="No",IF(INDEX('TDS Rates'!$C$6:$C$40,MATCH(G251,'TDS Rates'!$B$6:$B$40,0))="194Q",Settings!$C$14,MAX(Settings!$C$13,IF(E251="Individual / HUF",INDEX('TDS Rates'!$I$6:$I$40,MATCH(G251,'TDS Rates'!$B$6:$B$40,0)),IF(E251="Company",INDEX('TDS Rates'!$J$6:$J$40,MATCH(G251,'TDS Rates'!$B$6:$B$40,0)),INDEX('TDS Rates'!$K$6:$K$40,MATCH(G251,'TDS Rates'!$B$6:$B$40,0)))))),IF(E251="Individual / HUF",INDEX('TDS Rates'!$I$6:$I$40,MATCH(G251,'TDS Rates'!$B$6:$B$40,0)),IF(E251="Company",INDEX('TDS Rates'!$J$6:$J$40,MATCH(G251,'TDS Rates'!$B$6:$B$40,0)),INDEX('TDS Rates'!$K$6:$K$40,MATCH(G251,'TDS Rates'!$B$6:$B$40,0))))),0))</f>
        <v/>
      </c>
      <c r="P251" s="34" t="str">
        <f aca="false">IF(OR(G251="",H251=""),"",ROUND(N251*O251,0))</f>
        <v/>
      </c>
      <c r="Q251" s="27" t="str">
        <f aca="false">IF(OR(G251="",H251=""),"",IFERROR(IF(INDEX('TDS Rates'!$E$6:$E$40,MATCH(G251,'TDS Rates'!$B$6:$B$40,0))="Form 141",EOMONTH(IF(R251="",B251,R251),0)+30,IF(MONTH(IF(R251="",B251,R251))=3,DATE(YEAR(IF(R251="",B251,R251)),4,30),DATE(YEAR(IF(R251="",B251,R251)),MONTH(IF(R251="",B251,R251))+1,7))),""))</f>
        <v/>
      </c>
      <c r="R251" s="17"/>
      <c r="S251" s="17"/>
      <c r="T251" s="5"/>
      <c r="U251" s="28" t="str">
        <f aca="false">IF(OR(G251="",H251=""),"",IF(P251=0,0,IF(IF(R251="",Settings!$C$9,R251)&lt;=B251,0,((YEAR(IF(R251="",Settings!$C$9,R251))-YEAR(B251))*12+MONTH(IF(R251="",Settings!$C$9,R251))-MONTH(B251)+1))))</f>
        <v/>
      </c>
      <c r="V251" s="29" t="str">
        <f aca="false">IF(OR(G251="",H251=""),"",ROUND(P251*Settings!$C$10*U251,0))</f>
        <v/>
      </c>
      <c r="W251" s="28" t="str">
        <f aca="false">IF(OR(G251="",H251=""),"",IF(OR(P251=0,R251=""),0,IF(IF(S251="",Settings!$C$9,S251)&lt;=Q251,0,((YEAR(IF(S251="",Settings!$C$9,S251))-YEAR(R251))*12+MONTH(IF(S251="",Settings!$C$9,S251))-MONTH(R251)+1))))</f>
        <v/>
      </c>
      <c r="X251" s="29" t="str">
        <f aca="false">IF(OR(G251="",H251=""),"",ROUND(P251*Settings!$C$11*W251,0))</f>
        <v/>
      </c>
      <c r="Y251" s="29" t="str">
        <f aca="false">IF(OR(G251="",H251=""),"",V251+X251)</f>
        <v/>
      </c>
      <c r="Z251" s="7" t="str">
        <f aca="false">IF(OR(G251="",H251=""),"",IF(P251=0,"Below threshold",IF(R251="","Not yet deducted",IF(S251="",IF(Settings!$C$9&gt;Q251,"Overdue — pay now","Deducted, due "&amp;TEXT(Q251,"dd-mmm")),IF(S251&lt;=Q251,IF(N(U251)&gt;0,"Deducted late, paid on time","Paid on time"),"Paid late")))))</f>
        <v/>
      </c>
      <c r="AA251" s="35" t="str">
        <f aca="false">IF(OR(G251="",H251=""),"",IF(D251&lt;&gt;"",UPPER(TRIM(D251)),UPPER(TRIM(C251))))</f>
        <v/>
      </c>
    </row>
    <row r="252" customFormat="false" ht="15" hidden="false" customHeight="false" outlineLevel="0" collapsed="false">
      <c r="B252" s="17"/>
      <c r="C252" s="5"/>
      <c r="D252" s="5"/>
      <c r="E252" s="5"/>
      <c r="F252" s="5"/>
      <c r="G252" s="5"/>
      <c r="H252" s="16"/>
      <c r="I252" s="7" t="str">
        <f aca="false">IF(OR(G252="",H252=""),"",IFERROR(INDEX('TDS Rates'!$D$6:$D$40,MATCH(G252,'TDS Rates'!$B$6:$B$40,0)),"Check nature"))</f>
        <v/>
      </c>
      <c r="J252" s="7" t="str">
        <f aca="false">IF(OR(G252="",H252=""),"",IFERROR(INDEX('TDS Rates'!$C$6:$C$40,MATCH(G252,'TDS Rates'!$B$6:$B$40,0)),""))</f>
        <v/>
      </c>
      <c r="K252" s="7" t="str">
        <f aca="false">IF(OR(G252="",H252=""),"",IFERROR(INDEX('TDS Rates'!$E$6:$E$40,MATCH(G252,'TDS Rates'!$B$6:$B$40,0)),""))</f>
        <v/>
      </c>
      <c r="L252" s="29" t="str">
        <f aca="false">IF(OR(G252="",H252=""),"",SUMIFS(H$6:H251,AA$6:AA251,AA252,G$6:G251,G252))</f>
        <v/>
      </c>
      <c r="M252" s="29" t="str">
        <f aca="false">IF(OR(G252="",H252=""),"",SUMIFS(H$6:H251,AA$6:AA251,AA252,G$6:G251,G252,N$6:N251,0))</f>
        <v/>
      </c>
      <c r="N252" s="29" t="str">
        <f aca="false">IF(OR(G252="",H252=""),"",IFERROR(IF(INDEX('TDS Rates'!$F$6:$F$40,MATCH(G252,'TDS Rates'!$B$6:$B$40,0))="NONE",H252,IF(INDEX('TDS Rates'!$F$6:$F$40,MATCH(G252,'TDS Rates'!$B$6:$B$40,0))="PER",IF(H252&gt;INDEX('TDS Rates'!$G$6:$G$40,MATCH(G252,'TDS Rates'!$B$6:$B$40,0)),H252,0),IF(INDEX('TDS Rates'!$F$6:$F$40,MATCH(G252,'TDS Rates'!$B$6:$B$40,0))="EXCESS",MAX(0,L252+H252-INDEX('TDS Rates'!$H$6:$H$40,MATCH(G252,'TDS Rates'!$B$6:$B$40,0)))-MAX(0,L252-INDEX('TDS Rates'!$H$6:$H$40,MATCH(G252,'TDS Rates'!$B$6:$B$40,0))),IF(INDEX('TDS Rates'!$F$6:$F$40,MATCH(G252,'TDS Rates'!$B$6:$B$40,0))="SA",IF(L252+H252&gt;INDEX('TDS Rates'!$H$6:$H$40,MATCH(G252,'TDS Rates'!$B$6:$B$40,0)),H252+M252,IF(H252&gt;INDEX('TDS Rates'!$G$6:$G$40,MATCH(G252,'TDS Rates'!$B$6:$B$40,0)),H252,0)),IF(L252+H252&gt;INDEX('TDS Rates'!$H$6:$H$40,MATCH(G252,'TDS Rates'!$B$6:$B$40,0)),H252+M252,0))))),0))</f>
        <v/>
      </c>
      <c r="O252" s="33" t="str">
        <f aca="false">IF(OR(G252="",H252=""),"",IFERROR(IF(F252="No",IF(INDEX('TDS Rates'!$C$6:$C$40,MATCH(G252,'TDS Rates'!$B$6:$B$40,0))="194Q",Settings!$C$14,MAX(Settings!$C$13,IF(E252="Individual / HUF",INDEX('TDS Rates'!$I$6:$I$40,MATCH(G252,'TDS Rates'!$B$6:$B$40,0)),IF(E252="Company",INDEX('TDS Rates'!$J$6:$J$40,MATCH(G252,'TDS Rates'!$B$6:$B$40,0)),INDEX('TDS Rates'!$K$6:$K$40,MATCH(G252,'TDS Rates'!$B$6:$B$40,0)))))),IF(E252="Individual / HUF",INDEX('TDS Rates'!$I$6:$I$40,MATCH(G252,'TDS Rates'!$B$6:$B$40,0)),IF(E252="Company",INDEX('TDS Rates'!$J$6:$J$40,MATCH(G252,'TDS Rates'!$B$6:$B$40,0)),INDEX('TDS Rates'!$K$6:$K$40,MATCH(G252,'TDS Rates'!$B$6:$B$40,0))))),0))</f>
        <v/>
      </c>
      <c r="P252" s="34" t="str">
        <f aca="false">IF(OR(G252="",H252=""),"",ROUND(N252*O252,0))</f>
        <v/>
      </c>
      <c r="Q252" s="27" t="str">
        <f aca="false">IF(OR(G252="",H252=""),"",IFERROR(IF(INDEX('TDS Rates'!$E$6:$E$40,MATCH(G252,'TDS Rates'!$B$6:$B$40,0))="Form 141",EOMONTH(IF(R252="",B252,R252),0)+30,IF(MONTH(IF(R252="",B252,R252))=3,DATE(YEAR(IF(R252="",B252,R252)),4,30),DATE(YEAR(IF(R252="",B252,R252)),MONTH(IF(R252="",B252,R252))+1,7))),""))</f>
        <v/>
      </c>
      <c r="R252" s="17"/>
      <c r="S252" s="17"/>
      <c r="T252" s="5"/>
      <c r="U252" s="28" t="str">
        <f aca="false">IF(OR(G252="",H252=""),"",IF(P252=0,0,IF(IF(R252="",Settings!$C$9,R252)&lt;=B252,0,((YEAR(IF(R252="",Settings!$C$9,R252))-YEAR(B252))*12+MONTH(IF(R252="",Settings!$C$9,R252))-MONTH(B252)+1))))</f>
        <v/>
      </c>
      <c r="V252" s="29" t="str">
        <f aca="false">IF(OR(G252="",H252=""),"",ROUND(P252*Settings!$C$10*U252,0))</f>
        <v/>
      </c>
      <c r="W252" s="28" t="str">
        <f aca="false">IF(OR(G252="",H252=""),"",IF(OR(P252=0,R252=""),0,IF(IF(S252="",Settings!$C$9,S252)&lt;=Q252,0,((YEAR(IF(S252="",Settings!$C$9,S252))-YEAR(R252))*12+MONTH(IF(S252="",Settings!$C$9,S252))-MONTH(R252)+1))))</f>
        <v/>
      </c>
      <c r="X252" s="29" t="str">
        <f aca="false">IF(OR(G252="",H252=""),"",ROUND(P252*Settings!$C$11*W252,0))</f>
        <v/>
      </c>
      <c r="Y252" s="29" t="str">
        <f aca="false">IF(OR(G252="",H252=""),"",V252+X252)</f>
        <v/>
      </c>
      <c r="Z252" s="7" t="str">
        <f aca="false">IF(OR(G252="",H252=""),"",IF(P252=0,"Below threshold",IF(R252="","Not yet deducted",IF(S252="",IF(Settings!$C$9&gt;Q252,"Overdue — pay now","Deducted, due "&amp;TEXT(Q252,"dd-mmm")),IF(S252&lt;=Q252,IF(N(U252)&gt;0,"Deducted late, paid on time","Paid on time"),"Paid late")))))</f>
        <v/>
      </c>
      <c r="AA252" s="35" t="str">
        <f aca="false">IF(OR(G252="",H252=""),"",IF(D252&lt;&gt;"",UPPER(TRIM(D252)),UPPER(TRIM(C252))))</f>
        <v/>
      </c>
    </row>
    <row r="253" customFormat="false" ht="15" hidden="false" customHeight="false" outlineLevel="0" collapsed="false">
      <c r="B253" s="17"/>
      <c r="C253" s="5"/>
      <c r="D253" s="5"/>
      <c r="E253" s="5"/>
      <c r="F253" s="5"/>
      <c r="G253" s="5"/>
      <c r="H253" s="16"/>
      <c r="I253" s="7" t="str">
        <f aca="false">IF(OR(G253="",H253=""),"",IFERROR(INDEX('TDS Rates'!$D$6:$D$40,MATCH(G253,'TDS Rates'!$B$6:$B$40,0)),"Check nature"))</f>
        <v/>
      </c>
      <c r="J253" s="7" t="str">
        <f aca="false">IF(OR(G253="",H253=""),"",IFERROR(INDEX('TDS Rates'!$C$6:$C$40,MATCH(G253,'TDS Rates'!$B$6:$B$40,0)),""))</f>
        <v/>
      </c>
      <c r="K253" s="7" t="str">
        <f aca="false">IF(OR(G253="",H253=""),"",IFERROR(INDEX('TDS Rates'!$E$6:$E$40,MATCH(G253,'TDS Rates'!$B$6:$B$40,0)),""))</f>
        <v/>
      </c>
      <c r="L253" s="29" t="str">
        <f aca="false">IF(OR(G253="",H253=""),"",SUMIFS(H$6:H252,AA$6:AA252,AA253,G$6:G252,G253))</f>
        <v/>
      </c>
      <c r="M253" s="29" t="str">
        <f aca="false">IF(OR(G253="",H253=""),"",SUMIFS(H$6:H252,AA$6:AA252,AA253,G$6:G252,G253,N$6:N252,0))</f>
        <v/>
      </c>
      <c r="N253" s="29" t="str">
        <f aca="false">IF(OR(G253="",H253=""),"",IFERROR(IF(INDEX('TDS Rates'!$F$6:$F$40,MATCH(G253,'TDS Rates'!$B$6:$B$40,0))="NONE",H253,IF(INDEX('TDS Rates'!$F$6:$F$40,MATCH(G253,'TDS Rates'!$B$6:$B$40,0))="PER",IF(H253&gt;INDEX('TDS Rates'!$G$6:$G$40,MATCH(G253,'TDS Rates'!$B$6:$B$40,0)),H253,0),IF(INDEX('TDS Rates'!$F$6:$F$40,MATCH(G253,'TDS Rates'!$B$6:$B$40,0))="EXCESS",MAX(0,L253+H253-INDEX('TDS Rates'!$H$6:$H$40,MATCH(G253,'TDS Rates'!$B$6:$B$40,0)))-MAX(0,L253-INDEX('TDS Rates'!$H$6:$H$40,MATCH(G253,'TDS Rates'!$B$6:$B$40,0))),IF(INDEX('TDS Rates'!$F$6:$F$40,MATCH(G253,'TDS Rates'!$B$6:$B$40,0))="SA",IF(L253+H253&gt;INDEX('TDS Rates'!$H$6:$H$40,MATCH(G253,'TDS Rates'!$B$6:$B$40,0)),H253+M253,IF(H253&gt;INDEX('TDS Rates'!$G$6:$G$40,MATCH(G253,'TDS Rates'!$B$6:$B$40,0)),H253,0)),IF(L253+H253&gt;INDEX('TDS Rates'!$H$6:$H$40,MATCH(G253,'TDS Rates'!$B$6:$B$40,0)),H253+M253,0))))),0))</f>
        <v/>
      </c>
      <c r="O253" s="33" t="str">
        <f aca="false">IF(OR(G253="",H253=""),"",IFERROR(IF(F253="No",IF(INDEX('TDS Rates'!$C$6:$C$40,MATCH(G253,'TDS Rates'!$B$6:$B$40,0))="194Q",Settings!$C$14,MAX(Settings!$C$13,IF(E253="Individual / HUF",INDEX('TDS Rates'!$I$6:$I$40,MATCH(G253,'TDS Rates'!$B$6:$B$40,0)),IF(E253="Company",INDEX('TDS Rates'!$J$6:$J$40,MATCH(G253,'TDS Rates'!$B$6:$B$40,0)),INDEX('TDS Rates'!$K$6:$K$40,MATCH(G253,'TDS Rates'!$B$6:$B$40,0)))))),IF(E253="Individual / HUF",INDEX('TDS Rates'!$I$6:$I$40,MATCH(G253,'TDS Rates'!$B$6:$B$40,0)),IF(E253="Company",INDEX('TDS Rates'!$J$6:$J$40,MATCH(G253,'TDS Rates'!$B$6:$B$40,0)),INDEX('TDS Rates'!$K$6:$K$40,MATCH(G253,'TDS Rates'!$B$6:$B$40,0))))),0))</f>
        <v/>
      </c>
      <c r="P253" s="34" t="str">
        <f aca="false">IF(OR(G253="",H253=""),"",ROUND(N253*O253,0))</f>
        <v/>
      </c>
      <c r="Q253" s="27" t="str">
        <f aca="false">IF(OR(G253="",H253=""),"",IFERROR(IF(INDEX('TDS Rates'!$E$6:$E$40,MATCH(G253,'TDS Rates'!$B$6:$B$40,0))="Form 141",EOMONTH(IF(R253="",B253,R253),0)+30,IF(MONTH(IF(R253="",B253,R253))=3,DATE(YEAR(IF(R253="",B253,R253)),4,30),DATE(YEAR(IF(R253="",B253,R253)),MONTH(IF(R253="",B253,R253))+1,7))),""))</f>
        <v/>
      </c>
      <c r="R253" s="17"/>
      <c r="S253" s="17"/>
      <c r="T253" s="5"/>
      <c r="U253" s="28" t="str">
        <f aca="false">IF(OR(G253="",H253=""),"",IF(P253=0,0,IF(IF(R253="",Settings!$C$9,R253)&lt;=B253,0,((YEAR(IF(R253="",Settings!$C$9,R253))-YEAR(B253))*12+MONTH(IF(R253="",Settings!$C$9,R253))-MONTH(B253)+1))))</f>
        <v/>
      </c>
      <c r="V253" s="29" t="str">
        <f aca="false">IF(OR(G253="",H253=""),"",ROUND(P253*Settings!$C$10*U253,0))</f>
        <v/>
      </c>
      <c r="W253" s="28" t="str">
        <f aca="false">IF(OR(G253="",H253=""),"",IF(OR(P253=0,R253=""),0,IF(IF(S253="",Settings!$C$9,S253)&lt;=Q253,0,((YEAR(IF(S253="",Settings!$C$9,S253))-YEAR(R253))*12+MONTH(IF(S253="",Settings!$C$9,S253))-MONTH(R253)+1))))</f>
        <v/>
      </c>
      <c r="X253" s="29" t="str">
        <f aca="false">IF(OR(G253="",H253=""),"",ROUND(P253*Settings!$C$11*W253,0))</f>
        <v/>
      </c>
      <c r="Y253" s="29" t="str">
        <f aca="false">IF(OR(G253="",H253=""),"",V253+X253)</f>
        <v/>
      </c>
      <c r="Z253" s="7" t="str">
        <f aca="false">IF(OR(G253="",H253=""),"",IF(P253=0,"Below threshold",IF(R253="","Not yet deducted",IF(S253="",IF(Settings!$C$9&gt;Q253,"Overdue — pay now","Deducted, due "&amp;TEXT(Q253,"dd-mmm")),IF(S253&lt;=Q253,IF(N(U253)&gt;0,"Deducted late, paid on time","Paid on time"),"Paid late")))))</f>
        <v/>
      </c>
      <c r="AA253" s="35" t="str">
        <f aca="false">IF(OR(G253="",H253=""),"",IF(D253&lt;&gt;"",UPPER(TRIM(D253)),UPPER(TRIM(C253))))</f>
        <v/>
      </c>
    </row>
    <row r="254" customFormat="false" ht="15" hidden="false" customHeight="false" outlineLevel="0" collapsed="false">
      <c r="B254" s="17"/>
      <c r="C254" s="5"/>
      <c r="D254" s="5"/>
      <c r="E254" s="5"/>
      <c r="F254" s="5"/>
      <c r="G254" s="5"/>
      <c r="H254" s="16"/>
      <c r="I254" s="7" t="str">
        <f aca="false">IF(OR(G254="",H254=""),"",IFERROR(INDEX('TDS Rates'!$D$6:$D$40,MATCH(G254,'TDS Rates'!$B$6:$B$40,0)),"Check nature"))</f>
        <v/>
      </c>
      <c r="J254" s="7" t="str">
        <f aca="false">IF(OR(G254="",H254=""),"",IFERROR(INDEX('TDS Rates'!$C$6:$C$40,MATCH(G254,'TDS Rates'!$B$6:$B$40,0)),""))</f>
        <v/>
      </c>
      <c r="K254" s="7" t="str">
        <f aca="false">IF(OR(G254="",H254=""),"",IFERROR(INDEX('TDS Rates'!$E$6:$E$40,MATCH(G254,'TDS Rates'!$B$6:$B$40,0)),""))</f>
        <v/>
      </c>
      <c r="L254" s="29" t="str">
        <f aca="false">IF(OR(G254="",H254=""),"",SUMIFS(H$6:H253,AA$6:AA253,AA254,G$6:G253,G254))</f>
        <v/>
      </c>
      <c r="M254" s="29" t="str">
        <f aca="false">IF(OR(G254="",H254=""),"",SUMIFS(H$6:H253,AA$6:AA253,AA254,G$6:G253,G254,N$6:N253,0))</f>
        <v/>
      </c>
      <c r="N254" s="29" t="str">
        <f aca="false">IF(OR(G254="",H254=""),"",IFERROR(IF(INDEX('TDS Rates'!$F$6:$F$40,MATCH(G254,'TDS Rates'!$B$6:$B$40,0))="NONE",H254,IF(INDEX('TDS Rates'!$F$6:$F$40,MATCH(G254,'TDS Rates'!$B$6:$B$40,0))="PER",IF(H254&gt;INDEX('TDS Rates'!$G$6:$G$40,MATCH(G254,'TDS Rates'!$B$6:$B$40,0)),H254,0),IF(INDEX('TDS Rates'!$F$6:$F$40,MATCH(G254,'TDS Rates'!$B$6:$B$40,0))="EXCESS",MAX(0,L254+H254-INDEX('TDS Rates'!$H$6:$H$40,MATCH(G254,'TDS Rates'!$B$6:$B$40,0)))-MAX(0,L254-INDEX('TDS Rates'!$H$6:$H$40,MATCH(G254,'TDS Rates'!$B$6:$B$40,0))),IF(INDEX('TDS Rates'!$F$6:$F$40,MATCH(G254,'TDS Rates'!$B$6:$B$40,0))="SA",IF(L254+H254&gt;INDEX('TDS Rates'!$H$6:$H$40,MATCH(G254,'TDS Rates'!$B$6:$B$40,0)),H254+M254,IF(H254&gt;INDEX('TDS Rates'!$G$6:$G$40,MATCH(G254,'TDS Rates'!$B$6:$B$40,0)),H254,0)),IF(L254+H254&gt;INDEX('TDS Rates'!$H$6:$H$40,MATCH(G254,'TDS Rates'!$B$6:$B$40,0)),H254+M254,0))))),0))</f>
        <v/>
      </c>
      <c r="O254" s="33" t="str">
        <f aca="false">IF(OR(G254="",H254=""),"",IFERROR(IF(F254="No",IF(INDEX('TDS Rates'!$C$6:$C$40,MATCH(G254,'TDS Rates'!$B$6:$B$40,0))="194Q",Settings!$C$14,MAX(Settings!$C$13,IF(E254="Individual / HUF",INDEX('TDS Rates'!$I$6:$I$40,MATCH(G254,'TDS Rates'!$B$6:$B$40,0)),IF(E254="Company",INDEX('TDS Rates'!$J$6:$J$40,MATCH(G254,'TDS Rates'!$B$6:$B$40,0)),INDEX('TDS Rates'!$K$6:$K$40,MATCH(G254,'TDS Rates'!$B$6:$B$40,0)))))),IF(E254="Individual / HUF",INDEX('TDS Rates'!$I$6:$I$40,MATCH(G254,'TDS Rates'!$B$6:$B$40,0)),IF(E254="Company",INDEX('TDS Rates'!$J$6:$J$40,MATCH(G254,'TDS Rates'!$B$6:$B$40,0)),INDEX('TDS Rates'!$K$6:$K$40,MATCH(G254,'TDS Rates'!$B$6:$B$40,0))))),0))</f>
        <v/>
      </c>
      <c r="P254" s="34" t="str">
        <f aca="false">IF(OR(G254="",H254=""),"",ROUND(N254*O254,0))</f>
        <v/>
      </c>
      <c r="Q254" s="27" t="str">
        <f aca="false">IF(OR(G254="",H254=""),"",IFERROR(IF(INDEX('TDS Rates'!$E$6:$E$40,MATCH(G254,'TDS Rates'!$B$6:$B$40,0))="Form 141",EOMONTH(IF(R254="",B254,R254),0)+30,IF(MONTH(IF(R254="",B254,R254))=3,DATE(YEAR(IF(R254="",B254,R254)),4,30),DATE(YEAR(IF(R254="",B254,R254)),MONTH(IF(R254="",B254,R254))+1,7))),""))</f>
        <v/>
      </c>
      <c r="R254" s="17"/>
      <c r="S254" s="17"/>
      <c r="T254" s="5"/>
      <c r="U254" s="28" t="str">
        <f aca="false">IF(OR(G254="",H254=""),"",IF(P254=0,0,IF(IF(R254="",Settings!$C$9,R254)&lt;=B254,0,((YEAR(IF(R254="",Settings!$C$9,R254))-YEAR(B254))*12+MONTH(IF(R254="",Settings!$C$9,R254))-MONTH(B254)+1))))</f>
        <v/>
      </c>
      <c r="V254" s="29" t="str">
        <f aca="false">IF(OR(G254="",H254=""),"",ROUND(P254*Settings!$C$10*U254,0))</f>
        <v/>
      </c>
      <c r="W254" s="28" t="str">
        <f aca="false">IF(OR(G254="",H254=""),"",IF(OR(P254=0,R254=""),0,IF(IF(S254="",Settings!$C$9,S254)&lt;=Q254,0,((YEAR(IF(S254="",Settings!$C$9,S254))-YEAR(R254))*12+MONTH(IF(S254="",Settings!$C$9,S254))-MONTH(R254)+1))))</f>
        <v/>
      </c>
      <c r="X254" s="29" t="str">
        <f aca="false">IF(OR(G254="",H254=""),"",ROUND(P254*Settings!$C$11*W254,0))</f>
        <v/>
      </c>
      <c r="Y254" s="29" t="str">
        <f aca="false">IF(OR(G254="",H254=""),"",V254+X254)</f>
        <v/>
      </c>
      <c r="Z254" s="7" t="str">
        <f aca="false">IF(OR(G254="",H254=""),"",IF(P254=0,"Below threshold",IF(R254="","Not yet deducted",IF(S254="",IF(Settings!$C$9&gt;Q254,"Overdue — pay now","Deducted, due "&amp;TEXT(Q254,"dd-mmm")),IF(S254&lt;=Q254,IF(N(U254)&gt;0,"Deducted late, paid on time","Paid on time"),"Paid late")))))</f>
        <v/>
      </c>
      <c r="AA254" s="35" t="str">
        <f aca="false">IF(OR(G254="",H254=""),"",IF(D254&lt;&gt;"",UPPER(TRIM(D254)),UPPER(TRIM(C254))))</f>
        <v/>
      </c>
    </row>
    <row r="255" customFormat="false" ht="15" hidden="false" customHeight="false" outlineLevel="0" collapsed="false">
      <c r="B255" s="17"/>
      <c r="C255" s="5"/>
      <c r="D255" s="5"/>
      <c r="E255" s="5"/>
      <c r="F255" s="5"/>
      <c r="G255" s="5"/>
      <c r="H255" s="16"/>
      <c r="I255" s="7" t="str">
        <f aca="false">IF(OR(G255="",H255=""),"",IFERROR(INDEX('TDS Rates'!$D$6:$D$40,MATCH(G255,'TDS Rates'!$B$6:$B$40,0)),"Check nature"))</f>
        <v/>
      </c>
      <c r="J255" s="7" t="str">
        <f aca="false">IF(OR(G255="",H255=""),"",IFERROR(INDEX('TDS Rates'!$C$6:$C$40,MATCH(G255,'TDS Rates'!$B$6:$B$40,0)),""))</f>
        <v/>
      </c>
      <c r="K255" s="7" t="str">
        <f aca="false">IF(OR(G255="",H255=""),"",IFERROR(INDEX('TDS Rates'!$E$6:$E$40,MATCH(G255,'TDS Rates'!$B$6:$B$40,0)),""))</f>
        <v/>
      </c>
      <c r="L255" s="29" t="str">
        <f aca="false">IF(OR(G255="",H255=""),"",SUMIFS(H$6:H254,AA$6:AA254,AA255,G$6:G254,G255))</f>
        <v/>
      </c>
      <c r="M255" s="29" t="str">
        <f aca="false">IF(OR(G255="",H255=""),"",SUMIFS(H$6:H254,AA$6:AA254,AA255,G$6:G254,G255,N$6:N254,0))</f>
        <v/>
      </c>
      <c r="N255" s="29" t="str">
        <f aca="false">IF(OR(G255="",H255=""),"",IFERROR(IF(INDEX('TDS Rates'!$F$6:$F$40,MATCH(G255,'TDS Rates'!$B$6:$B$40,0))="NONE",H255,IF(INDEX('TDS Rates'!$F$6:$F$40,MATCH(G255,'TDS Rates'!$B$6:$B$40,0))="PER",IF(H255&gt;INDEX('TDS Rates'!$G$6:$G$40,MATCH(G255,'TDS Rates'!$B$6:$B$40,0)),H255,0),IF(INDEX('TDS Rates'!$F$6:$F$40,MATCH(G255,'TDS Rates'!$B$6:$B$40,0))="EXCESS",MAX(0,L255+H255-INDEX('TDS Rates'!$H$6:$H$40,MATCH(G255,'TDS Rates'!$B$6:$B$40,0)))-MAX(0,L255-INDEX('TDS Rates'!$H$6:$H$40,MATCH(G255,'TDS Rates'!$B$6:$B$40,0))),IF(INDEX('TDS Rates'!$F$6:$F$40,MATCH(G255,'TDS Rates'!$B$6:$B$40,0))="SA",IF(L255+H255&gt;INDEX('TDS Rates'!$H$6:$H$40,MATCH(G255,'TDS Rates'!$B$6:$B$40,0)),H255+M255,IF(H255&gt;INDEX('TDS Rates'!$G$6:$G$40,MATCH(G255,'TDS Rates'!$B$6:$B$40,0)),H255,0)),IF(L255+H255&gt;INDEX('TDS Rates'!$H$6:$H$40,MATCH(G255,'TDS Rates'!$B$6:$B$40,0)),H255+M255,0))))),0))</f>
        <v/>
      </c>
      <c r="O255" s="33" t="str">
        <f aca="false">IF(OR(G255="",H255=""),"",IFERROR(IF(F255="No",IF(INDEX('TDS Rates'!$C$6:$C$40,MATCH(G255,'TDS Rates'!$B$6:$B$40,0))="194Q",Settings!$C$14,MAX(Settings!$C$13,IF(E255="Individual / HUF",INDEX('TDS Rates'!$I$6:$I$40,MATCH(G255,'TDS Rates'!$B$6:$B$40,0)),IF(E255="Company",INDEX('TDS Rates'!$J$6:$J$40,MATCH(G255,'TDS Rates'!$B$6:$B$40,0)),INDEX('TDS Rates'!$K$6:$K$40,MATCH(G255,'TDS Rates'!$B$6:$B$40,0)))))),IF(E255="Individual / HUF",INDEX('TDS Rates'!$I$6:$I$40,MATCH(G255,'TDS Rates'!$B$6:$B$40,0)),IF(E255="Company",INDEX('TDS Rates'!$J$6:$J$40,MATCH(G255,'TDS Rates'!$B$6:$B$40,0)),INDEX('TDS Rates'!$K$6:$K$40,MATCH(G255,'TDS Rates'!$B$6:$B$40,0))))),0))</f>
        <v/>
      </c>
      <c r="P255" s="34" t="str">
        <f aca="false">IF(OR(G255="",H255=""),"",ROUND(N255*O255,0))</f>
        <v/>
      </c>
      <c r="Q255" s="27" t="str">
        <f aca="false">IF(OR(G255="",H255=""),"",IFERROR(IF(INDEX('TDS Rates'!$E$6:$E$40,MATCH(G255,'TDS Rates'!$B$6:$B$40,0))="Form 141",EOMONTH(IF(R255="",B255,R255),0)+30,IF(MONTH(IF(R255="",B255,R255))=3,DATE(YEAR(IF(R255="",B255,R255)),4,30),DATE(YEAR(IF(R255="",B255,R255)),MONTH(IF(R255="",B255,R255))+1,7))),""))</f>
        <v/>
      </c>
      <c r="R255" s="17"/>
      <c r="S255" s="17"/>
      <c r="T255" s="5"/>
      <c r="U255" s="28" t="str">
        <f aca="false">IF(OR(G255="",H255=""),"",IF(P255=0,0,IF(IF(R255="",Settings!$C$9,R255)&lt;=B255,0,((YEAR(IF(R255="",Settings!$C$9,R255))-YEAR(B255))*12+MONTH(IF(R255="",Settings!$C$9,R255))-MONTH(B255)+1))))</f>
        <v/>
      </c>
      <c r="V255" s="29" t="str">
        <f aca="false">IF(OR(G255="",H255=""),"",ROUND(P255*Settings!$C$10*U255,0))</f>
        <v/>
      </c>
      <c r="W255" s="28" t="str">
        <f aca="false">IF(OR(G255="",H255=""),"",IF(OR(P255=0,R255=""),0,IF(IF(S255="",Settings!$C$9,S255)&lt;=Q255,0,((YEAR(IF(S255="",Settings!$C$9,S255))-YEAR(R255))*12+MONTH(IF(S255="",Settings!$C$9,S255))-MONTH(R255)+1))))</f>
        <v/>
      </c>
      <c r="X255" s="29" t="str">
        <f aca="false">IF(OR(G255="",H255=""),"",ROUND(P255*Settings!$C$11*W255,0))</f>
        <v/>
      </c>
      <c r="Y255" s="29" t="str">
        <f aca="false">IF(OR(G255="",H255=""),"",V255+X255)</f>
        <v/>
      </c>
      <c r="Z255" s="7" t="str">
        <f aca="false">IF(OR(G255="",H255=""),"",IF(P255=0,"Below threshold",IF(R255="","Not yet deducted",IF(S255="",IF(Settings!$C$9&gt;Q255,"Overdue — pay now","Deducted, due "&amp;TEXT(Q255,"dd-mmm")),IF(S255&lt;=Q255,IF(N(U255)&gt;0,"Deducted late, paid on time","Paid on time"),"Paid late")))))</f>
        <v/>
      </c>
      <c r="AA255" s="35" t="str">
        <f aca="false">IF(OR(G255="",H255=""),"",IF(D255&lt;&gt;"",UPPER(TRIM(D255)),UPPER(TRIM(C255))))</f>
        <v/>
      </c>
    </row>
    <row r="256" customFormat="false" ht="15" hidden="false" customHeight="false" outlineLevel="0" collapsed="false">
      <c r="B256" s="17"/>
      <c r="C256" s="5"/>
      <c r="D256" s="5"/>
      <c r="E256" s="5"/>
      <c r="F256" s="5"/>
      <c r="G256" s="5"/>
      <c r="H256" s="16"/>
      <c r="I256" s="7" t="str">
        <f aca="false">IF(OR(G256="",H256=""),"",IFERROR(INDEX('TDS Rates'!$D$6:$D$40,MATCH(G256,'TDS Rates'!$B$6:$B$40,0)),"Check nature"))</f>
        <v/>
      </c>
      <c r="J256" s="7" t="str">
        <f aca="false">IF(OR(G256="",H256=""),"",IFERROR(INDEX('TDS Rates'!$C$6:$C$40,MATCH(G256,'TDS Rates'!$B$6:$B$40,0)),""))</f>
        <v/>
      </c>
      <c r="K256" s="7" t="str">
        <f aca="false">IF(OR(G256="",H256=""),"",IFERROR(INDEX('TDS Rates'!$E$6:$E$40,MATCH(G256,'TDS Rates'!$B$6:$B$40,0)),""))</f>
        <v/>
      </c>
      <c r="L256" s="29" t="str">
        <f aca="false">IF(OR(G256="",H256=""),"",SUMIFS(H$6:H255,AA$6:AA255,AA256,G$6:G255,G256))</f>
        <v/>
      </c>
      <c r="M256" s="29" t="str">
        <f aca="false">IF(OR(G256="",H256=""),"",SUMIFS(H$6:H255,AA$6:AA255,AA256,G$6:G255,G256,N$6:N255,0))</f>
        <v/>
      </c>
      <c r="N256" s="29" t="str">
        <f aca="false">IF(OR(G256="",H256=""),"",IFERROR(IF(INDEX('TDS Rates'!$F$6:$F$40,MATCH(G256,'TDS Rates'!$B$6:$B$40,0))="NONE",H256,IF(INDEX('TDS Rates'!$F$6:$F$40,MATCH(G256,'TDS Rates'!$B$6:$B$40,0))="PER",IF(H256&gt;INDEX('TDS Rates'!$G$6:$G$40,MATCH(G256,'TDS Rates'!$B$6:$B$40,0)),H256,0),IF(INDEX('TDS Rates'!$F$6:$F$40,MATCH(G256,'TDS Rates'!$B$6:$B$40,0))="EXCESS",MAX(0,L256+H256-INDEX('TDS Rates'!$H$6:$H$40,MATCH(G256,'TDS Rates'!$B$6:$B$40,0)))-MAX(0,L256-INDEX('TDS Rates'!$H$6:$H$40,MATCH(G256,'TDS Rates'!$B$6:$B$40,0))),IF(INDEX('TDS Rates'!$F$6:$F$40,MATCH(G256,'TDS Rates'!$B$6:$B$40,0))="SA",IF(L256+H256&gt;INDEX('TDS Rates'!$H$6:$H$40,MATCH(G256,'TDS Rates'!$B$6:$B$40,0)),H256+M256,IF(H256&gt;INDEX('TDS Rates'!$G$6:$G$40,MATCH(G256,'TDS Rates'!$B$6:$B$40,0)),H256,0)),IF(L256+H256&gt;INDEX('TDS Rates'!$H$6:$H$40,MATCH(G256,'TDS Rates'!$B$6:$B$40,0)),H256+M256,0))))),0))</f>
        <v/>
      </c>
      <c r="O256" s="33" t="str">
        <f aca="false">IF(OR(G256="",H256=""),"",IFERROR(IF(F256="No",IF(INDEX('TDS Rates'!$C$6:$C$40,MATCH(G256,'TDS Rates'!$B$6:$B$40,0))="194Q",Settings!$C$14,MAX(Settings!$C$13,IF(E256="Individual / HUF",INDEX('TDS Rates'!$I$6:$I$40,MATCH(G256,'TDS Rates'!$B$6:$B$40,0)),IF(E256="Company",INDEX('TDS Rates'!$J$6:$J$40,MATCH(G256,'TDS Rates'!$B$6:$B$40,0)),INDEX('TDS Rates'!$K$6:$K$40,MATCH(G256,'TDS Rates'!$B$6:$B$40,0)))))),IF(E256="Individual / HUF",INDEX('TDS Rates'!$I$6:$I$40,MATCH(G256,'TDS Rates'!$B$6:$B$40,0)),IF(E256="Company",INDEX('TDS Rates'!$J$6:$J$40,MATCH(G256,'TDS Rates'!$B$6:$B$40,0)),INDEX('TDS Rates'!$K$6:$K$40,MATCH(G256,'TDS Rates'!$B$6:$B$40,0))))),0))</f>
        <v/>
      </c>
      <c r="P256" s="34" t="str">
        <f aca="false">IF(OR(G256="",H256=""),"",ROUND(N256*O256,0))</f>
        <v/>
      </c>
      <c r="Q256" s="27" t="str">
        <f aca="false">IF(OR(G256="",H256=""),"",IFERROR(IF(INDEX('TDS Rates'!$E$6:$E$40,MATCH(G256,'TDS Rates'!$B$6:$B$40,0))="Form 141",EOMONTH(IF(R256="",B256,R256),0)+30,IF(MONTH(IF(R256="",B256,R256))=3,DATE(YEAR(IF(R256="",B256,R256)),4,30),DATE(YEAR(IF(R256="",B256,R256)),MONTH(IF(R256="",B256,R256))+1,7))),""))</f>
        <v/>
      </c>
      <c r="R256" s="17"/>
      <c r="S256" s="17"/>
      <c r="T256" s="5"/>
      <c r="U256" s="28" t="str">
        <f aca="false">IF(OR(G256="",H256=""),"",IF(P256=0,0,IF(IF(R256="",Settings!$C$9,R256)&lt;=B256,0,((YEAR(IF(R256="",Settings!$C$9,R256))-YEAR(B256))*12+MONTH(IF(R256="",Settings!$C$9,R256))-MONTH(B256)+1))))</f>
        <v/>
      </c>
      <c r="V256" s="29" t="str">
        <f aca="false">IF(OR(G256="",H256=""),"",ROUND(P256*Settings!$C$10*U256,0))</f>
        <v/>
      </c>
      <c r="W256" s="28" t="str">
        <f aca="false">IF(OR(G256="",H256=""),"",IF(OR(P256=0,R256=""),0,IF(IF(S256="",Settings!$C$9,S256)&lt;=Q256,0,((YEAR(IF(S256="",Settings!$C$9,S256))-YEAR(R256))*12+MONTH(IF(S256="",Settings!$C$9,S256))-MONTH(R256)+1))))</f>
        <v/>
      </c>
      <c r="X256" s="29" t="str">
        <f aca="false">IF(OR(G256="",H256=""),"",ROUND(P256*Settings!$C$11*W256,0))</f>
        <v/>
      </c>
      <c r="Y256" s="29" t="str">
        <f aca="false">IF(OR(G256="",H256=""),"",V256+X256)</f>
        <v/>
      </c>
      <c r="Z256" s="7" t="str">
        <f aca="false">IF(OR(G256="",H256=""),"",IF(P256=0,"Below threshold",IF(R256="","Not yet deducted",IF(S256="",IF(Settings!$C$9&gt;Q256,"Overdue — pay now","Deducted, due "&amp;TEXT(Q256,"dd-mmm")),IF(S256&lt;=Q256,IF(N(U256)&gt;0,"Deducted late, paid on time","Paid on time"),"Paid late")))))</f>
        <v/>
      </c>
      <c r="AA256" s="35" t="str">
        <f aca="false">IF(OR(G256="",H256=""),"",IF(D256&lt;&gt;"",UPPER(TRIM(D256)),UPPER(TRIM(C256))))</f>
        <v/>
      </c>
    </row>
    <row r="257" customFormat="false" ht="15" hidden="false" customHeight="false" outlineLevel="0" collapsed="false">
      <c r="B257" s="17"/>
      <c r="C257" s="5"/>
      <c r="D257" s="5"/>
      <c r="E257" s="5"/>
      <c r="F257" s="5"/>
      <c r="G257" s="5"/>
      <c r="H257" s="16"/>
      <c r="I257" s="7" t="str">
        <f aca="false">IF(OR(G257="",H257=""),"",IFERROR(INDEX('TDS Rates'!$D$6:$D$40,MATCH(G257,'TDS Rates'!$B$6:$B$40,0)),"Check nature"))</f>
        <v/>
      </c>
      <c r="J257" s="7" t="str">
        <f aca="false">IF(OR(G257="",H257=""),"",IFERROR(INDEX('TDS Rates'!$C$6:$C$40,MATCH(G257,'TDS Rates'!$B$6:$B$40,0)),""))</f>
        <v/>
      </c>
      <c r="K257" s="7" t="str">
        <f aca="false">IF(OR(G257="",H257=""),"",IFERROR(INDEX('TDS Rates'!$E$6:$E$40,MATCH(G257,'TDS Rates'!$B$6:$B$40,0)),""))</f>
        <v/>
      </c>
      <c r="L257" s="29" t="str">
        <f aca="false">IF(OR(G257="",H257=""),"",SUMIFS(H$6:H256,AA$6:AA256,AA257,G$6:G256,G257))</f>
        <v/>
      </c>
      <c r="M257" s="29" t="str">
        <f aca="false">IF(OR(G257="",H257=""),"",SUMIFS(H$6:H256,AA$6:AA256,AA257,G$6:G256,G257,N$6:N256,0))</f>
        <v/>
      </c>
      <c r="N257" s="29" t="str">
        <f aca="false">IF(OR(G257="",H257=""),"",IFERROR(IF(INDEX('TDS Rates'!$F$6:$F$40,MATCH(G257,'TDS Rates'!$B$6:$B$40,0))="NONE",H257,IF(INDEX('TDS Rates'!$F$6:$F$40,MATCH(G257,'TDS Rates'!$B$6:$B$40,0))="PER",IF(H257&gt;INDEX('TDS Rates'!$G$6:$G$40,MATCH(G257,'TDS Rates'!$B$6:$B$40,0)),H257,0),IF(INDEX('TDS Rates'!$F$6:$F$40,MATCH(G257,'TDS Rates'!$B$6:$B$40,0))="EXCESS",MAX(0,L257+H257-INDEX('TDS Rates'!$H$6:$H$40,MATCH(G257,'TDS Rates'!$B$6:$B$40,0)))-MAX(0,L257-INDEX('TDS Rates'!$H$6:$H$40,MATCH(G257,'TDS Rates'!$B$6:$B$40,0))),IF(INDEX('TDS Rates'!$F$6:$F$40,MATCH(G257,'TDS Rates'!$B$6:$B$40,0))="SA",IF(L257+H257&gt;INDEX('TDS Rates'!$H$6:$H$40,MATCH(G257,'TDS Rates'!$B$6:$B$40,0)),H257+M257,IF(H257&gt;INDEX('TDS Rates'!$G$6:$G$40,MATCH(G257,'TDS Rates'!$B$6:$B$40,0)),H257,0)),IF(L257+H257&gt;INDEX('TDS Rates'!$H$6:$H$40,MATCH(G257,'TDS Rates'!$B$6:$B$40,0)),H257+M257,0))))),0))</f>
        <v/>
      </c>
      <c r="O257" s="33" t="str">
        <f aca="false">IF(OR(G257="",H257=""),"",IFERROR(IF(F257="No",IF(INDEX('TDS Rates'!$C$6:$C$40,MATCH(G257,'TDS Rates'!$B$6:$B$40,0))="194Q",Settings!$C$14,MAX(Settings!$C$13,IF(E257="Individual / HUF",INDEX('TDS Rates'!$I$6:$I$40,MATCH(G257,'TDS Rates'!$B$6:$B$40,0)),IF(E257="Company",INDEX('TDS Rates'!$J$6:$J$40,MATCH(G257,'TDS Rates'!$B$6:$B$40,0)),INDEX('TDS Rates'!$K$6:$K$40,MATCH(G257,'TDS Rates'!$B$6:$B$40,0)))))),IF(E257="Individual / HUF",INDEX('TDS Rates'!$I$6:$I$40,MATCH(G257,'TDS Rates'!$B$6:$B$40,0)),IF(E257="Company",INDEX('TDS Rates'!$J$6:$J$40,MATCH(G257,'TDS Rates'!$B$6:$B$40,0)),INDEX('TDS Rates'!$K$6:$K$40,MATCH(G257,'TDS Rates'!$B$6:$B$40,0))))),0))</f>
        <v/>
      </c>
      <c r="P257" s="34" t="str">
        <f aca="false">IF(OR(G257="",H257=""),"",ROUND(N257*O257,0))</f>
        <v/>
      </c>
      <c r="Q257" s="27" t="str">
        <f aca="false">IF(OR(G257="",H257=""),"",IFERROR(IF(INDEX('TDS Rates'!$E$6:$E$40,MATCH(G257,'TDS Rates'!$B$6:$B$40,0))="Form 141",EOMONTH(IF(R257="",B257,R257),0)+30,IF(MONTH(IF(R257="",B257,R257))=3,DATE(YEAR(IF(R257="",B257,R257)),4,30),DATE(YEAR(IF(R257="",B257,R257)),MONTH(IF(R257="",B257,R257))+1,7))),""))</f>
        <v/>
      </c>
      <c r="R257" s="17"/>
      <c r="S257" s="17"/>
      <c r="T257" s="5"/>
      <c r="U257" s="28" t="str">
        <f aca="false">IF(OR(G257="",H257=""),"",IF(P257=0,0,IF(IF(R257="",Settings!$C$9,R257)&lt;=B257,0,((YEAR(IF(R257="",Settings!$C$9,R257))-YEAR(B257))*12+MONTH(IF(R257="",Settings!$C$9,R257))-MONTH(B257)+1))))</f>
        <v/>
      </c>
      <c r="V257" s="29" t="str">
        <f aca="false">IF(OR(G257="",H257=""),"",ROUND(P257*Settings!$C$10*U257,0))</f>
        <v/>
      </c>
      <c r="W257" s="28" t="str">
        <f aca="false">IF(OR(G257="",H257=""),"",IF(OR(P257=0,R257=""),0,IF(IF(S257="",Settings!$C$9,S257)&lt;=Q257,0,((YEAR(IF(S257="",Settings!$C$9,S257))-YEAR(R257))*12+MONTH(IF(S257="",Settings!$C$9,S257))-MONTH(R257)+1))))</f>
        <v/>
      </c>
      <c r="X257" s="29" t="str">
        <f aca="false">IF(OR(G257="",H257=""),"",ROUND(P257*Settings!$C$11*W257,0))</f>
        <v/>
      </c>
      <c r="Y257" s="29" t="str">
        <f aca="false">IF(OR(G257="",H257=""),"",V257+X257)</f>
        <v/>
      </c>
      <c r="Z257" s="7" t="str">
        <f aca="false">IF(OR(G257="",H257=""),"",IF(P257=0,"Below threshold",IF(R257="","Not yet deducted",IF(S257="",IF(Settings!$C$9&gt;Q257,"Overdue — pay now","Deducted, due "&amp;TEXT(Q257,"dd-mmm")),IF(S257&lt;=Q257,IF(N(U257)&gt;0,"Deducted late, paid on time","Paid on time"),"Paid late")))))</f>
        <v/>
      </c>
      <c r="AA257" s="35" t="str">
        <f aca="false">IF(OR(G257="",H257=""),"",IF(D257&lt;&gt;"",UPPER(TRIM(D257)),UPPER(TRIM(C257))))</f>
        <v/>
      </c>
    </row>
    <row r="258" customFormat="false" ht="15" hidden="false" customHeight="false" outlineLevel="0" collapsed="false">
      <c r="B258" s="17"/>
      <c r="C258" s="5"/>
      <c r="D258" s="5"/>
      <c r="E258" s="5"/>
      <c r="F258" s="5"/>
      <c r="G258" s="5"/>
      <c r="H258" s="16"/>
      <c r="I258" s="7" t="str">
        <f aca="false">IF(OR(G258="",H258=""),"",IFERROR(INDEX('TDS Rates'!$D$6:$D$40,MATCH(G258,'TDS Rates'!$B$6:$B$40,0)),"Check nature"))</f>
        <v/>
      </c>
      <c r="J258" s="7" t="str">
        <f aca="false">IF(OR(G258="",H258=""),"",IFERROR(INDEX('TDS Rates'!$C$6:$C$40,MATCH(G258,'TDS Rates'!$B$6:$B$40,0)),""))</f>
        <v/>
      </c>
      <c r="K258" s="7" t="str">
        <f aca="false">IF(OR(G258="",H258=""),"",IFERROR(INDEX('TDS Rates'!$E$6:$E$40,MATCH(G258,'TDS Rates'!$B$6:$B$40,0)),""))</f>
        <v/>
      </c>
      <c r="L258" s="29" t="str">
        <f aca="false">IF(OR(G258="",H258=""),"",SUMIFS(H$6:H257,AA$6:AA257,AA258,G$6:G257,G258))</f>
        <v/>
      </c>
      <c r="M258" s="29" t="str">
        <f aca="false">IF(OR(G258="",H258=""),"",SUMIFS(H$6:H257,AA$6:AA257,AA258,G$6:G257,G258,N$6:N257,0))</f>
        <v/>
      </c>
      <c r="N258" s="29" t="str">
        <f aca="false">IF(OR(G258="",H258=""),"",IFERROR(IF(INDEX('TDS Rates'!$F$6:$F$40,MATCH(G258,'TDS Rates'!$B$6:$B$40,0))="NONE",H258,IF(INDEX('TDS Rates'!$F$6:$F$40,MATCH(G258,'TDS Rates'!$B$6:$B$40,0))="PER",IF(H258&gt;INDEX('TDS Rates'!$G$6:$G$40,MATCH(G258,'TDS Rates'!$B$6:$B$40,0)),H258,0),IF(INDEX('TDS Rates'!$F$6:$F$40,MATCH(G258,'TDS Rates'!$B$6:$B$40,0))="EXCESS",MAX(0,L258+H258-INDEX('TDS Rates'!$H$6:$H$40,MATCH(G258,'TDS Rates'!$B$6:$B$40,0)))-MAX(0,L258-INDEX('TDS Rates'!$H$6:$H$40,MATCH(G258,'TDS Rates'!$B$6:$B$40,0))),IF(INDEX('TDS Rates'!$F$6:$F$40,MATCH(G258,'TDS Rates'!$B$6:$B$40,0))="SA",IF(L258+H258&gt;INDEX('TDS Rates'!$H$6:$H$40,MATCH(G258,'TDS Rates'!$B$6:$B$40,0)),H258+M258,IF(H258&gt;INDEX('TDS Rates'!$G$6:$G$40,MATCH(G258,'TDS Rates'!$B$6:$B$40,0)),H258,0)),IF(L258+H258&gt;INDEX('TDS Rates'!$H$6:$H$40,MATCH(G258,'TDS Rates'!$B$6:$B$40,0)),H258+M258,0))))),0))</f>
        <v/>
      </c>
      <c r="O258" s="33" t="str">
        <f aca="false">IF(OR(G258="",H258=""),"",IFERROR(IF(F258="No",IF(INDEX('TDS Rates'!$C$6:$C$40,MATCH(G258,'TDS Rates'!$B$6:$B$40,0))="194Q",Settings!$C$14,MAX(Settings!$C$13,IF(E258="Individual / HUF",INDEX('TDS Rates'!$I$6:$I$40,MATCH(G258,'TDS Rates'!$B$6:$B$40,0)),IF(E258="Company",INDEX('TDS Rates'!$J$6:$J$40,MATCH(G258,'TDS Rates'!$B$6:$B$40,0)),INDEX('TDS Rates'!$K$6:$K$40,MATCH(G258,'TDS Rates'!$B$6:$B$40,0)))))),IF(E258="Individual / HUF",INDEX('TDS Rates'!$I$6:$I$40,MATCH(G258,'TDS Rates'!$B$6:$B$40,0)),IF(E258="Company",INDEX('TDS Rates'!$J$6:$J$40,MATCH(G258,'TDS Rates'!$B$6:$B$40,0)),INDEX('TDS Rates'!$K$6:$K$40,MATCH(G258,'TDS Rates'!$B$6:$B$40,0))))),0))</f>
        <v/>
      </c>
      <c r="P258" s="34" t="str">
        <f aca="false">IF(OR(G258="",H258=""),"",ROUND(N258*O258,0))</f>
        <v/>
      </c>
      <c r="Q258" s="27" t="str">
        <f aca="false">IF(OR(G258="",H258=""),"",IFERROR(IF(INDEX('TDS Rates'!$E$6:$E$40,MATCH(G258,'TDS Rates'!$B$6:$B$40,0))="Form 141",EOMONTH(IF(R258="",B258,R258),0)+30,IF(MONTH(IF(R258="",B258,R258))=3,DATE(YEAR(IF(R258="",B258,R258)),4,30),DATE(YEAR(IF(R258="",B258,R258)),MONTH(IF(R258="",B258,R258))+1,7))),""))</f>
        <v/>
      </c>
      <c r="R258" s="17"/>
      <c r="S258" s="17"/>
      <c r="T258" s="5"/>
      <c r="U258" s="28" t="str">
        <f aca="false">IF(OR(G258="",H258=""),"",IF(P258=0,0,IF(IF(R258="",Settings!$C$9,R258)&lt;=B258,0,((YEAR(IF(R258="",Settings!$C$9,R258))-YEAR(B258))*12+MONTH(IF(R258="",Settings!$C$9,R258))-MONTH(B258)+1))))</f>
        <v/>
      </c>
      <c r="V258" s="29" t="str">
        <f aca="false">IF(OR(G258="",H258=""),"",ROUND(P258*Settings!$C$10*U258,0))</f>
        <v/>
      </c>
      <c r="W258" s="28" t="str">
        <f aca="false">IF(OR(G258="",H258=""),"",IF(OR(P258=0,R258=""),0,IF(IF(S258="",Settings!$C$9,S258)&lt;=Q258,0,((YEAR(IF(S258="",Settings!$C$9,S258))-YEAR(R258))*12+MONTH(IF(S258="",Settings!$C$9,S258))-MONTH(R258)+1))))</f>
        <v/>
      </c>
      <c r="X258" s="29" t="str">
        <f aca="false">IF(OR(G258="",H258=""),"",ROUND(P258*Settings!$C$11*W258,0))</f>
        <v/>
      </c>
      <c r="Y258" s="29" t="str">
        <f aca="false">IF(OR(G258="",H258=""),"",V258+X258)</f>
        <v/>
      </c>
      <c r="Z258" s="7" t="str">
        <f aca="false">IF(OR(G258="",H258=""),"",IF(P258=0,"Below threshold",IF(R258="","Not yet deducted",IF(S258="",IF(Settings!$C$9&gt;Q258,"Overdue — pay now","Deducted, due "&amp;TEXT(Q258,"dd-mmm")),IF(S258&lt;=Q258,IF(N(U258)&gt;0,"Deducted late, paid on time","Paid on time"),"Paid late")))))</f>
        <v/>
      </c>
      <c r="AA258" s="35" t="str">
        <f aca="false">IF(OR(G258="",H258=""),"",IF(D258&lt;&gt;"",UPPER(TRIM(D258)),UPPER(TRIM(C258))))</f>
        <v/>
      </c>
    </row>
    <row r="259" customFormat="false" ht="15" hidden="false" customHeight="false" outlineLevel="0" collapsed="false">
      <c r="B259" s="17"/>
      <c r="C259" s="5"/>
      <c r="D259" s="5"/>
      <c r="E259" s="5"/>
      <c r="F259" s="5"/>
      <c r="G259" s="5"/>
      <c r="H259" s="16"/>
      <c r="I259" s="7" t="str">
        <f aca="false">IF(OR(G259="",H259=""),"",IFERROR(INDEX('TDS Rates'!$D$6:$D$40,MATCH(G259,'TDS Rates'!$B$6:$B$40,0)),"Check nature"))</f>
        <v/>
      </c>
      <c r="J259" s="7" t="str">
        <f aca="false">IF(OR(G259="",H259=""),"",IFERROR(INDEX('TDS Rates'!$C$6:$C$40,MATCH(G259,'TDS Rates'!$B$6:$B$40,0)),""))</f>
        <v/>
      </c>
      <c r="K259" s="7" t="str">
        <f aca="false">IF(OR(G259="",H259=""),"",IFERROR(INDEX('TDS Rates'!$E$6:$E$40,MATCH(G259,'TDS Rates'!$B$6:$B$40,0)),""))</f>
        <v/>
      </c>
      <c r="L259" s="29" t="str">
        <f aca="false">IF(OR(G259="",H259=""),"",SUMIFS(H$6:H258,AA$6:AA258,AA259,G$6:G258,G259))</f>
        <v/>
      </c>
      <c r="M259" s="29" t="str">
        <f aca="false">IF(OR(G259="",H259=""),"",SUMIFS(H$6:H258,AA$6:AA258,AA259,G$6:G258,G259,N$6:N258,0))</f>
        <v/>
      </c>
      <c r="N259" s="29" t="str">
        <f aca="false">IF(OR(G259="",H259=""),"",IFERROR(IF(INDEX('TDS Rates'!$F$6:$F$40,MATCH(G259,'TDS Rates'!$B$6:$B$40,0))="NONE",H259,IF(INDEX('TDS Rates'!$F$6:$F$40,MATCH(G259,'TDS Rates'!$B$6:$B$40,0))="PER",IF(H259&gt;INDEX('TDS Rates'!$G$6:$G$40,MATCH(G259,'TDS Rates'!$B$6:$B$40,0)),H259,0),IF(INDEX('TDS Rates'!$F$6:$F$40,MATCH(G259,'TDS Rates'!$B$6:$B$40,0))="EXCESS",MAX(0,L259+H259-INDEX('TDS Rates'!$H$6:$H$40,MATCH(G259,'TDS Rates'!$B$6:$B$40,0)))-MAX(0,L259-INDEX('TDS Rates'!$H$6:$H$40,MATCH(G259,'TDS Rates'!$B$6:$B$40,0))),IF(INDEX('TDS Rates'!$F$6:$F$40,MATCH(G259,'TDS Rates'!$B$6:$B$40,0))="SA",IF(L259+H259&gt;INDEX('TDS Rates'!$H$6:$H$40,MATCH(G259,'TDS Rates'!$B$6:$B$40,0)),H259+M259,IF(H259&gt;INDEX('TDS Rates'!$G$6:$G$40,MATCH(G259,'TDS Rates'!$B$6:$B$40,0)),H259,0)),IF(L259+H259&gt;INDEX('TDS Rates'!$H$6:$H$40,MATCH(G259,'TDS Rates'!$B$6:$B$40,0)),H259+M259,0))))),0))</f>
        <v/>
      </c>
      <c r="O259" s="33" t="str">
        <f aca="false">IF(OR(G259="",H259=""),"",IFERROR(IF(F259="No",IF(INDEX('TDS Rates'!$C$6:$C$40,MATCH(G259,'TDS Rates'!$B$6:$B$40,0))="194Q",Settings!$C$14,MAX(Settings!$C$13,IF(E259="Individual / HUF",INDEX('TDS Rates'!$I$6:$I$40,MATCH(G259,'TDS Rates'!$B$6:$B$40,0)),IF(E259="Company",INDEX('TDS Rates'!$J$6:$J$40,MATCH(G259,'TDS Rates'!$B$6:$B$40,0)),INDEX('TDS Rates'!$K$6:$K$40,MATCH(G259,'TDS Rates'!$B$6:$B$40,0)))))),IF(E259="Individual / HUF",INDEX('TDS Rates'!$I$6:$I$40,MATCH(G259,'TDS Rates'!$B$6:$B$40,0)),IF(E259="Company",INDEX('TDS Rates'!$J$6:$J$40,MATCH(G259,'TDS Rates'!$B$6:$B$40,0)),INDEX('TDS Rates'!$K$6:$K$40,MATCH(G259,'TDS Rates'!$B$6:$B$40,0))))),0))</f>
        <v/>
      </c>
      <c r="P259" s="34" t="str">
        <f aca="false">IF(OR(G259="",H259=""),"",ROUND(N259*O259,0))</f>
        <v/>
      </c>
      <c r="Q259" s="27" t="str">
        <f aca="false">IF(OR(G259="",H259=""),"",IFERROR(IF(INDEX('TDS Rates'!$E$6:$E$40,MATCH(G259,'TDS Rates'!$B$6:$B$40,0))="Form 141",EOMONTH(IF(R259="",B259,R259),0)+30,IF(MONTH(IF(R259="",B259,R259))=3,DATE(YEAR(IF(R259="",B259,R259)),4,30),DATE(YEAR(IF(R259="",B259,R259)),MONTH(IF(R259="",B259,R259))+1,7))),""))</f>
        <v/>
      </c>
      <c r="R259" s="17"/>
      <c r="S259" s="17"/>
      <c r="T259" s="5"/>
      <c r="U259" s="28" t="str">
        <f aca="false">IF(OR(G259="",H259=""),"",IF(P259=0,0,IF(IF(R259="",Settings!$C$9,R259)&lt;=B259,0,((YEAR(IF(R259="",Settings!$C$9,R259))-YEAR(B259))*12+MONTH(IF(R259="",Settings!$C$9,R259))-MONTH(B259)+1))))</f>
        <v/>
      </c>
      <c r="V259" s="29" t="str">
        <f aca="false">IF(OR(G259="",H259=""),"",ROUND(P259*Settings!$C$10*U259,0))</f>
        <v/>
      </c>
      <c r="W259" s="28" t="str">
        <f aca="false">IF(OR(G259="",H259=""),"",IF(OR(P259=0,R259=""),0,IF(IF(S259="",Settings!$C$9,S259)&lt;=Q259,0,((YEAR(IF(S259="",Settings!$C$9,S259))-YEAR(R259))*12+MONTH(IF(S259="",Settings!$C$9,S259))-MONTH(R259)+1))))</f>
        <v/>
      </c>
      <c r="X259" s="29" t="str">
        <f aca="false">IF(OR(G259="",H259=""),"",ROUND(P259*Settings!$C$11*W259,0))</f>
        <v/>
      </c>
      <c r="Y259" s="29" t="str">
        <f aca="false">IF(OR(G259="",H259=""),"",V259+X259)</f>
        <v/>
      </c>
      <c r="Z259" s="7" t="str">
        <f aca="false">IF(OR(G259="",H259=""),"",IF(P259=0,"Below threshold",IF(R259="","Not yet deducted",IF(S259="",IF(Settings!$C$9&gt;Q259,"Overdue — pay now","Deducted, due "&amp;TEXT(Q259,"dd-mmm")),IF(S259&lt;=Q259,IF(N(U259)&gt;0,"Deducted late, paid on time","Paid on time"),"Paid late")))))</f>
        <v/>
      </c>
      <c r="AA259" s="35" t="str">
        <f aca="false">IF(OR(G259="",H259=""),"",IF(D259&lt;&gt;"",UPPER(TRIM(D259)),UPPER(TRIM(C259))))</f>
        <v/>
      </c>
    </row>
    <row r="260" customFormat="false" ht="15" hidden="false" customHeight="false" outlineLevel="0" collapsed="false">
      <c r="B260" s="17"/>
      <c r="C260" s="5"/>
      <c r="D260" s="5"/>
      <c r="E260" s="5"/>
      <c r="F260" s="5"/>
      <c r="G260" s="5"/>
      <c r="H260" s="16"/>
      <c r="I260" s="7" t="str">
        <f aca="false">IF(OR(G260="",H260=""),"",IFERROR(INDEX('TDS Rates'!$D$6:$D$40,MATCH(G260,'TDS Rates'!$B$6:$B$40,0)),"Check nature"))</f>
        <v/>
      </c>
      <c r="J260" s="7" t="str">
        <f aca="false">IF(OR(G260="",H260=""),"",IFERROR(INDEX('TDS Rates'!$C$6:$C$40,MATCH(G260,'TDS Rates'!$B$6:$B$40,0)),""))</f>
        <v/>
      </c>
      <c r="K260" s="7" t="str">
        <f aca="false">IF(OR(G260="",H260=""),"",IFERROR(INDEX('TDS Rates'!$E$6:$E$40,MATCH(G260,'TDS Rates'!$B$6:$B$40,0)),""))</f>
        <v/>
      </c>
      <c r="L260" s="29" t="str">
        <f aca="false">IF(OR(G260="",H260=""),"",SUMIFS(H$6:H259,AA$6:AA259,AA260,G$6:G259,G260))</f>
        <v/>
      </c>
      <c r="M260" s="29" t="str">
        <f aca="false">IF(OR(G260="",H260=""),"",SUMIFS(H$6:H259,AA$6:AA259,AA260,G$6:G259,G260,N$6:N259,0))</f>
        <v/>
      </c>
      <c r="N260" s="29" t="str">
        <f aca="false">IF(OR(G260="",H260=""),"",IFERROR(IF(INDEX('TDS Rates'!$F$6:$F$40,MATCH(G260,'TDS Rates'!$B$6:$B$40,0))="NONE",H260,IF(INDEX('TDS Rates'!$F$6:$F$40,MATCH(G260,'TDS Rates'!$B$6:$B$40,0))="PER",IF(H260&gt;INDEX('TDS Rates'!$G$6:$G$40,MATCH(G260,'TDS Rates'!$B$6:$B$40,0)),H260,0),IF(INDEX('TDS Rates'!$F$6:$F$40,MATCH(G260,'TDS Rates'!$B$6:$B$40,0))="EXCESS",MAX(0,L260+H260-INDEX('TDS Rates'!$H$6:$H$40,MATCH(G260,'TDS Rates'!$B$6:$B$40,0)))-MAX(0,L260-INDEX('TDS Rates'!$H$6:$H$40,MATCH(G260,'TDS Rates'!$B$6:$B$40,0))),IF(INDEX('TDS Rates'!$F$6:$F$40,MATCH(G260,'TDS Rates'!$B$6:$B$40,0))="SA",IF(L260+H260&gt;INDEX('TDS Rates'!$H$6:$H$40,MATCH(G260,'TDS Rates'!$B$6:$B$40,0)),H260+M260,IF(H260&gt;INDEX('TDS Rates'!$G$6:$G$40,MATCH(G260,'TDS Rates'!$B$6:$B$40,0)),H260,0)),IF(L260+H260&gt;INDEX('TDS Rates'!$H$6:$H$40,MATCH(G260,'TDS Rates'!$B$6:$B$40,0)),H260+M260,0))))),0))</f>
        <v/>
      </c>
      <c r="O260" s="33" t="str">
        <f aca="false">IF(OR(G260="",H260=""),"",IFERROR(IF(F260="No",IF(INDEX('TDS Rates'!$C$6:$C$40,MATCH(G260,'TDS Rates'!$B$6:$B$40,0))="194Q",Settings!$C$14,MAX(Settings!$C$13,IF(E260="Individual / HUF",INDEX('TDS Rates'!$I$6:$I$40,MATCH(G260,'TDS Rates'!$B$6:$B$40,0)),IF(E260="Company",INDEX('TDS Rates'!$J$6:$J$40,MATCH(G260,'TDS Rates'!$B$6:$B$40,0)),INDEX('TDS Rates'!$K$6:$K$40,MATCH(G260,'TDS Rates'!$B$6:$B$40,0)))))),IF(E260="Individual / HUF",INDEX('TDS Rates'!$I$6:$I$40,MATCH(G260,'TDS Rates'!$B$6:$B$40,0)),IF(E260="Company",INDEX('TDS Rates'!$J$6:$J$40,MATCH(G260,'TDS Rates'!$B$6:$B$40,0)),INDEX('TDS Rates'!$K$6:$K$40,MATCH(G260,'TDS Rates'!$B$6:$B$40,0))))),0))</f>
        <v/>
      </c>
      <c r="P260" s="34" t="str">
        <f aca="false">IF(OR(G260="",H260=""),"",ROUND(N260*O260,0))</f>
        <v/>
      </c>
      <c r="Q260" s="27" t="str">
        <f aca="false">IF(OR(G260="",H260=""),"",IFERROR(IF(INDEX('TDS Rates'!$E$6:$E$40,MATCH(G260,'TDS Rates'!$B$6:$B$40,0))="Form 141",EOMONTH(IF(R260="",B260,R260),0)+30,IF(MONTH(IF(R260="",B260,R260))=3,DATE(YEAR(IF(R260="",B260,R260)),4,30),DATE(YEAR(IF(R260="",B260,R260)),MONTH(IF(R260="",B260,R260))+1,7))),""))</f>
        <v/>
      </c>
      <c r="R260" s="17"/>
      <c r="S260" s="17"/>
      <c r="T260" s="5"/>
      <c r="U260" s="28" t="str">
        <f aca="false">IF(OR(G260="",H260=""),"",IF(P260=0,0,IF(IF(R260="",Settings!$C$9,R260)&lt;=B260,0,((YEAR(IF(R260="",Settings!$C$9,R260))-YEAR(B260))*12+MONTH(IF(R260="",Settings!$C$9,R260))-MONTH(B260)+1))))</f>
        <v/>
      </c>
      <c r="V260" s="29" t="str">
        <f aca="false">IF(OR(G260="",H260=""),"",ROUND(P260*Settings!$C$10*U260,0))</f>
        <v/>
      </c>
      <c r="W260" s="28" t="str">
        <f aca="false">IF(OR(G260="",H260=""),"",IF(OR(P260=0,R260=""),0,IF(IF(S260="",Settings!$C$9,S260)&lt;=Q260,0,((YEAR(IF(S260="",Settings!$C$9,S260))-YEAR(R260))*12+MONTH(IF(S260="",Settings!$C$9,S260))-MONTH(R260)+1))))</f>
        <v/>
      </c>
      <c r="X260" s="29" t="str">
        <f aca="false">IF(OR(G260="",H260=""),"",ROUND(P260*Settings!$C$11*W260,0))</f>
        <v/>
      </c>
      <c r="Y260" s="29" t="str">
        <f aca="false">IF(OR(G260="",H260=""),"",V260+X260)</f>
        <v/>
      </c>
      <c r="Z260" s="7" t="str">
        <f aca="false">IF(OR(G260="",H260=""),"",IF(P260=0,"Below threshold",IF(R260="","Not yet deducted",IF(S260="",IF(Settings!$C$9&gt;Q260,"Overdue — pay now","Deducted, due "&amp;TEXT(Q260,"dd-mmm")),IF(S260&lt;=Q260,IF(N(U260)&gt;0,"Deducted late, paid on time","Paid on time"),"Paid late")))))</f>
        <v/>
      </c>
      <c r="AA260" s="35" t="str">
        <f aca="false">IF(OR(G260="",H260=""),"",IF(D260&lt;&gt;"",UPPER(TRIM(D260)),UPPER(TRIM(C260))))</f>
        <v/>
      </c>
    </row>
    <row r="261" customFormat="false" ht="15" hidden="false" customHeight="false" outlineLevel="0" collapsed="false">
      <c r="B261" s="17"/>
      <c r="C261" s="5"/>
      <c r="D261" s="5"/>
      <c r="E261" s="5"/>
      <c r="F261" s="5"/>
      <c r="G261" s="5"/>
      <c r="H261" s="16"/>
      <c r="I261" s="7" t="str">
        <f aca="false">IF(OR(G261="",H261=""),"",IFERROR(INDEX('TDS Rates'!$D$6:$D$40,MATCH(G261,'TDS Rates'!$B$6:$B$40,0)),"Check nature"))</f>
        <v/>
      </c>
      <c r="J261" s="7" t="str">
        <f aca="false">IF(OR(G261="",H261=""),"",IFERROR(INDEX('TDS Rates'!$C$6:$C$40,MATCH(G261,'TDS Rates'!$B$6:$B$40,0)),""))</f>
        <v/>
      </c>
      <c r="K261" s="7" t="str">
        <f aca="false">IF(OR(G261="",H261=""),"",IFERROR(INDEX('TDS Rates'!$E$6:$E$40,MATCH(G261,'TDS Rates'!$B$6:$B$40,0)),""))</f>
        <v/>
      </c>
      <c r="L261" s="29" t="str">
        <f aca="false">IF(OR(G261="",H261=""),"",SUMIFS(H$6:H260,AA$6:AA260,AA261,G$6:G260,G261))</f>
        <v/>
      </c>
      <c r="M261" s="29" t="str">
        <f aca="false">IF(OR(G261="",H261=""),"",SUMIFS(H$6:H260,AA$6:AA260,AA261,G$6:G260,G261,N$6:N260,0))</f>
        <v/>
      </c>
      <c r="N261" s="29" t="str">
        <f aca="false">IF(OR(G261="",H261=""),"",IFERROR(IF(INDEX('TDS Rates'!$F$6:$F$40,MATCH(G261,'TDS Rates'!$B$6:$B$40,0))="NONE",H261,IF(INDEX('TDS Rates'!$F$6:$F$40,MATCH(G261,'TDS Rates'!$B$6:$B$40,0))="PER",IF(H261&gt;INDEX('TDS Rates'!$G$6:$G$40,MATCH(G261,'TDS Rates'!$B$6:$B$40,0)),H261,0),IF(INDEX('TDS Rates'!$F$6:$F$40,MATCH(G261,'TDS Rates'!$B$6:$B$40,0))="EXCESS",MAX(0,L261+H261-INDEX('TDS Rates'!$H$6:$H$40,MATCH(G261,'TDS Rates'!$B$6:$B$40,0)))-MAX(0,L261-INDEX('TDS Rates'!$H$6:$H$40,MATCH(G261,'TDS Rates'!$B$6:$B$40,0))),IF(INDEX('TDS Rates'!$F$6:$F$40,MATCH(G261,'TDS Rates'!$B$6:$B$40,0))="SA",IF(L261+H261&gt;INDEX('TDS Rates'!$H$6:$H$40,MATCH(G261,'TDS Rates'!$B$6:$B$40,0)),H261+M261,IF(H261&gt;INDEX('TDS Rates'!$G$6:$G$40,MATCH(G261,'TDS Rates'!$B$6:$B$40,0)),H261,0)),IF(L261+H261&gt;INDEX('TDS Rates'!$H$6:$H$40,MATCH(G261,'TDS Rates'!$B$6:$B$40,0)),H261+M261,0))))),0))</f>
        <v/>
      </c>
      <c r="O261" s="33" t="str">
        <f aca="false">IF(OR(G261="",H261=""),"",IFERROR(IF(F261="No",IF(INDEX('TDS Rates'!$C$6:$C$40,MATCH(G261,'TDS Rates'!$B$6:$B$40,0))="194Q",Settings!$C$14,MAX(Settings!$C$13,IF(E261="Individual / HUF",INDEX('TDS Rates'!$I$6:$I$40,MATCH(G261,'TDS Rates'!$B$6:$B$40,0)),IF(E261="Company",INDEX('TDS Rates'!$J$6:$J$40,MATCH(G261,'TDS Rates'!$B$6:$B$40,0)),INDEX('TDS Rates'!$K$6:$K$40,MATCH(G261,'TDS Rates'!$B$6:$B$40,0)))))),IF(E261="Individual / HUF",INDEX('TDS Rates'!$I$6:$I$40,MATCH(G261,'TDS Rates'!$B$6:$B$40,0)),IF(E261="Company",INDEX('TDS Rates'!$J$6:$J$40,MATCH(G261,'TDS Rates'!$B$6:$B$40,0)),INDEX('TDS Rates'!$K$6:$K$40,MATCH(G261,'TDS Rates'!$B$6:$B$40,0))))),0))</f>
        <v/>
      </c>
      <c r="P261" s="34" t="str">
        <f aca="false">IF(OR(G261="",H261=""),"",ROUND(N261*O261,0))</f>
        <v/>
      </c>
      <c r="Q261" s="27" t="str">
        <f aca="false">IF(OR(G261="",H261=""),"",IFERROR(IF(INDEX('TDS Rates'!$E$6:$E$40,MATCH(G261,'TDS Rates'!$B$6:$B$40,0))="Form 141",EOMONTH(IF(R261="",B261,R261),0)+30,IF(MONTH(IF(R261="",B261,R261))=3,DATE(YEAR(IF(R261="",B261,R261)),4,30),DATE(YEAR(IF(R261="",B261,R261)),MONTH(IF(R261="",B261,R261))+1,7))),""))</f>
        <v/>
      </c>
      <c r="R261" s="17"/>
      <c r="S261" s="17"/>
      <c r="T261" s="5"/>
      <c r="U261" s="28" t="str">
        <f aca="false">IF(OR(G261="",H261=""),"",IF(P261=0,0,IF(IF(R261="",Settings!$C$9,R261)&lt;=B261,0,((YEAR(IF(R261="",Settings!$C$9,R261))-YEAR(B261))*12+MONTH(IF(R261="",Settings!$C$9,R261))-MONTH(B261)+1))))</f>
        <v/>
      </c>
      <c r="V261" s="29" t="str">
        <f aca="false">IF(OR(G261="",H261=""),"",ROUND(P261*Settings!$C$10*U261,0))</f>
        <v/>
      </c>
      <c r="W261" s="28" t="str">
        <f aca="false">IF(OR(G261="",H261=""),"",IF(OR(P261=0,R261=""),0,IF(IF(S261="",Settings!$C$9,S261)&lt;=Q261,0,((YEAR(IF(S261="",Settings!$C$9,S261))-YEAR(R261))*12+MONTH(IF(S261="",Settings!$C$9,S261))-MONTH(R261)+1))))</f>
        <v/>
      </c>
      <c r="X261" s="29" t="str">
        <f aca="false">IF(OR(G261="",H261=""),"",ROUND(P261*Settings!$C$11*W261,0))</f>
        <v/>
      </c>
      <c r="Y261" s="29" t="str">
        <f aca="false">IF(OR(G261="",H261=""),"",V261+X261)</f>
        <v/>
      </c>
      <c r="Z261" s="7" t="str">
        <f aca="false">IF(OR(G261="",H261=""),"",IF(P261=0,"Below threshold",IF(R261="","Not yet deducted",IF(S261="",IF(Settings!$C$9&gt;Q261,"Overdue — pay now","Deducted, due "&amp;TEXT(Q261,"dd-mmm")),IF(S261&lt;=Q261,IF(N(U261)&gt;0,"Deducted late, paid on time","Paid on time"),"Paid late")))))</f>
        <v/>
      </c>
      <c r="AA261" s="35" t="str">
        <f aca="false">IF(OR(G261="",H261=""),"",IF(D261&lt;&gt;"",UPPER(TRIM(D261)),UPPER(TRIM(C261))))</f>
        <v/>
      </c>
    </row>
    <row r="262" customFormat="false" ht="15" hidden="false" customHeight="false" outlineLevel="0" collapsed="false">
      <c r="B262" s="17"/>
      <c r="C262" s="5"/>
      <c r="D262" s="5"/>
      <c r="E262" s="5"/>
      <c r="F262" s="5"/>
      <c r="G262" s="5"/>
      <c r="H262" s="16"/>
      <c r="I262" s="7" t="str">
        <f aca="false">IF(OR(G262="",H262=""),"",IFERROR(INDEX('TDS Rates'!$D$6:$D$40,MATCH(G262,'TDS Rates'!$B$6:$B$40,0)),"Check nature"))</f>
        <v/>
      </c>
      <c r="J262" s="7" t="str">
        <f aca="false">IF(OR(G262="",H262=""),"",IFERROR(INDEX('TDS Rates'!$C$6:$C$40,MATCH(G262,'TDS Rates'!$B$6:$B$40,0)),""))</f>
        <v/>
      </c>
      <c r="K262" s="7" t="str">
        <f aca="false">IF(OR(G262="",H262=""),"",IFERROR(INDEX('TDS Rates'!$E$6:$E$40,MATCH(G262,'TDS Rates'!$B$6:$B$40,0)),""))</f>
        <v/>
      </c>
      <c r="L262" s="29" t="str">
        <f aca="false">IF(OR(G262="",H262=""),"",SUMIFS(H$6:H261,AA$6:AA261,AA262,G$6:G261,G262))</f>
        <v/>
      </c>
      <c r="M262" s="29" t="str">
        <f aca="false">IF(OR(G262="",H262=""),"",SUMIFS(H$6:H261,AA$6:AA261,AA262,G$6:G261,G262,N$6:N261,0))</f>
        <v/>
      </c>
      <c r="N262" s="29" t="str">
        <f aca="false">IF(OR(G262="",H262=""),"",IFERROR(IF(INDEX('TDS Rates'!$F$6:$F$40,MATCH(G262,'TDS Rates'!$B$6:$B$40,0))="NONE",H262,IF(INDEX('TDS Rates'!$F$6:$F$40,MATCH(G262,'TDS Rates'!$B$6:$B$40,0))="PER",IF(H262&gt;INDEX('TDS Rates'!$G$6:$G$40,MATCH(G262,'TDS Rates'!$B$6:$B$40,0)),H262,0),IF(INDEX('TDS Rates'!$F$6:$F$40,MATCH(G262,'TDS Rates'!$B$6:$B$40,0))="EXCESS",MAX(0,L262+H262-INDEX('TDS Rates'!$H$6:$H$40,MATCH(G262,'TDS Rates'!$B$6:$B$40,0)))-MAX(0,L262-INDEX('TDS Rates'!$H$6:$H$40,MATCH(G262,'TDS Rates'!$B$6:$B$40,0))),IF(INDEX('TDS Rates'!$F$6:$F$40,MATCH(G262,'TDS Rates'!$B$6:$B$40,0))="SA",IF(L262+H262&gt;INDEX('TDS Rates'!$H$6:$H$40,MATCH(G262,'TDS Rates'!$B$6:$B$40,0)),H262+M262,IF(H262&gt;INDEX('TDS Rates'!$G$6:$G$40,MATCH(G262,'TDS Rates'!$B$6:$B$40,0)),H262,0)),IF(L262+H262&gt;INDEX('TDS Rates'!$H$6:$H$40,MATCH(G262,'TDS Rates'!$B$6:$B$40,0)),H262+M262,0))))),0))</f>
        <v/>
      </c>
      <c r="O262" s="33" t="str">
        <f aca="false">IF(OR(G262="",H262=""),"",IFERROR(IF(F262="No",IF(INDEX('TDS Rates'!$C$6:$C$40,MATCH(G262,'TDS Rates'!$B$6:$B$40,0))="194Q",Settings!$C$14,MAX(Settings!$C$13,IF(E262="Individual / HUF",INDEX('TDS Rates'!$I$6:$I$40,MATCH(G262,'TDS Rates'!$B$6:$B$40,0)),IF(E262="Company",INDEX('TDS Rates'!$J$6:$J$40,MATCH(G262,'TDS Rates'!$B$6:$B$40,0)),INDEX('TDS Rates'!$K$6:$K$40,MATCH(G262,'TDS Rates'!$B$6:$B$40,0)))))),IF(E262="Individual / HUF",INDEX('TDS Rates'!$I$6:$I$40,MATCH(G262,'TDS Rates'!$B$6:$B$40,0)),IF(E262="Company",INDEX('TDS Rates'!$J$6:$J$40,MATCH(G262,'TDS Rates'!$B$6:$B$40,0)),INDEX('TDS Rates'!$K$6:$K$40,MATCH(G262,'TDS Rates'!$B$6:$B$40,0))))),0))</f>
        <v/>
      </c>
      <c r="P262" s="34" t="str">
        <f aca="false">IF(OR(G262="",H262=""),"",ROUND(N262*O262,0))</f>
        <v/>
      </c>
      <c r="Q262" s="27" t="str">
        <f aca="false">IF(OR(G262="",H262=""),"",IFERROR(IF(INDEX('TDS Rates'!$E$6:$E$40,MATCH(G262,'TDS Rates'!$B$6:$B$40,0))="Form 141",EOMONTH(IF(R262="",B262,R262),0)+30,IF(MONTH(IF(R262="",B262,R262))=3,DATE(YEAR(IF(R262="",B262,R262)),4,30),DATE(YEAR(IF(R262="",B262,R262)),MONTH(IF(R262="",B262,R262))+1,7))),""))</f>
        <v/>
      </c>
      <c r="R262" s="17"/>
      <c r="S262" s="17"/>
      <c r="T262" s="5"/>
      <c r="U262" s="28" t="str">
        <f aca="false">IF(OR(G262="",H262=""),"",IF(P262=0,0,IF(IF(R262="",Settings!$C$9,R262)&lt;=B262,0,((YEAR(IF(R262="",Settings!$C$9,R262))-YEAR(B262))*12+MONTH(IF(R262="",Settings!$C$9,R262))-MONTH(B262)+1))))</f>
        <v/>
      </c>
      <c r="V262" s="29" t="str">
        <f aca="false">IF(OR(G262="",H262=""),"",ROUND(P262*Settings!$C$10*U262,0))</f>
        <v/>
      </c>
      <c r="W262" s="28" t="str">
        <f aca="false">IF(OR(G262="",H262=""),"",IF(OR(P262=0,R262=""),0,IF(IF(S262="",Settings!$C$9,S262)&lt;=Q262,0,((YEAR(IF(S262="",Settings!$C$9,S262))-YEAR(R262))*12+MONTH(IF(S262="",Settings!$C$9,S262))-MONTH(R262)+1))))</f>
        <v/>
      </c>
      <c r="X262" s="29" t="str">
        <f aca="false">IF(OR(G262="",H262=""),"",ROUND(P262*Settings!$C$11*W262,0))</f>
        <v/>
      </c>
      <c r="Y262" s="29" t="str">
        <f aca="false">IF(OR(G262="",H262=""),"",V262+X262)</f>
        <v/>
      </c>
      <c r="Z262" s="7" t="str">
        <f aca="false">IF(OR(G262="",H262=""),"",IF(P262=0,"Below threshold",IF(R262="","Not yet deducted",IF(S262="",IF(Settings!$C$9&gt;Q262,"Overdue — pay now","Deducted, due "&amp;TEXT(Q262,"dd-mmm")),IF(S262&lt;=Q262,IF(N(U262)&gt;0,"Deducted late, paid on time","Paid on time"),"Paid late")))))</f>
        <v/>
      </c>
      <c r="AA262" s="35" t="str">
        <f aca="false">IF(OR(G262="",H262=""),"",IF(D262&lt;&gt;"",UPPER(TRIM(D262)),UPPER(TRIM(C262))))</f>
        <v/>
      </c>
    </row>
    <row r="263" customFormat="false" ht="15" hidden="false" customHeight="false" outlineLevel="0" collapsed="false">
      <c r="B263" s="17"/>
      <c r="C263" s="5"/>
      <c r="D263" s="5"/>
      <c r="E263" s="5"/>
      <c r="F263" s="5"/>
      <c r="G263" s="5"/>
      <c r="H263" s="16"/>
      <c r="I263" s="7" t="str">
        <f aca="false">IF(OR(G263="",H263=""),"",IFERROR(INDEX('TDS Rates'!$D$6:$D$40,MATCH(G263,'TDS Rates'!$B$6:$B$40,0)),"Check nature"))</f>
        <v/>
      </c>
      <c r="J263" s="7" t="str">
        <f aca="false">IF(OR(G263="",H263=""),"",IFERROR(INDEX('TDS Rates'!$C$6:$C$40,MATCH(G263,'TDS Rates'!$B$6:$B$40,0)),""))</f>
        <v/>
      </c>
      <c r="K263" s="7" t="str">
        <f aca="false">IF(OR(G263="",H263=""),"",IFERROR(INDEX('TDS Rates'!$E$6:$E$40,MATCH(G263,'TDS Rates'!$B$6:$B$40,0)),""))</f>
        <v/>
      </c>
      <c r="L263" s="29" t="str">
        <f aca="false">IF(OR(G263="",H263=""),"",SUMIFS(H$6:H262,AA$6:AA262,AA263,G$6:G262,G263))</f>
        <v/>
      </c>
      <c r="M263" s="29" t="str">
        <f aca="false">IF(OR(G263="",H263=""),"",SUMIFS(H$6:H262,AA$6:AA262,AA263,G$6:G262,G263,N$6:N262,0))</f>
        <v/>
      </c>
      <c r="N263" s="29" t="str">
        <f aca="false">IF(OR(G263="",H263=""),"",IFERROR(IF(INDEX('TDS Rates'!$F$6:$F$40,MATCH(G263,'TDS Rates'!$B$6:$B$40,0))="NONE",H263,IF(INDEX('TDS Rates'!$F$6:$F$40,MATCH(G263,'TDS Rates'!$B$6:$B$40,0))="PER",IF(H263&gt;INDEX('TDS Rates'!$G$6:$G$40,MATCH(G263,'TDS Rates'!$B$6:$B$40,0)),H263,0),IF(INDEX('TDS Rates'!$F$6:$F$40,MATCH(G263,'TDS Rates'!$B$6:$B$40,0))="EXCESS",MAX(0,L263+H263-INDEX('TDS Rates'!$H$6:$H$40,MATCH(G263,'TDS Rates'!$B$6:$B$40,0)))-MAX(0,L263-INDEX('TDS Rates'!$H$6:$H$40,MATCH(G263,'TDS Rates'!$B$6:$B$40,0))),IF(INDEX('TDS Rates'!$F$6:$F$40,MATCH(G263,'TDS Rates'!$B$6:$B$40,0))="SA",IF(L263+H263&gt;INDEX('TDS Rates'!$H$6:$H$40,MATCH(G263,'TDS Rates'!$B$6:$B$40,0)),H263+M263,IF(H263&gt;INDEX('TDS Rates'!$G$6:$G$40,MATCH(G263,'TDS Rates'!$B$6:$B$40,0)),H263,0)),IF(L263+H263&gt;INDEX('TDS Rates'!$H$6:$H$40,MATCH(G263,'TDS Rates'!$B$6:$B$40,0)),H263+M263,0))))),0))</f>
        <v/>
      </c>
      <c r="O263" s="33" t="str">
        <f aca="false">IF(OR(G263="",H263=""),"",IFERROR(IF(F263="No",IF(INDEX('TDS Rates'!$C$6:$C$40,MATCH(G263,'TDS Rates'!$B$6:$B$40,0))="194Q",Settings!$C$14,MAX(Settings!$C$13,IF(E263="Individual / HUF",INDEX('TDS Rates'!$I$6:$I$40,MATCH(G263,'TDS Rates'!$B$6:$B$40,0)),IF(E263="Company",INDEX('TDS Rates'!$J$6:$J$40,MATCH(G263,'TDS Rates'!$B$6:$B$40,0)),INDEX('TDS Rates'!$K$6:$K$40,MATCH(G263,'TDS Rates'!$B$6:$B$40,0)))))),IF(E263="Individual / HUF",INDEX('TDS Rates'!$I$6:$I$40,MATCH(G263,'TDS Rates'!$B$6:$B$40,0)),IF(E263="Company",INDEX('TDS Rates'!$J$6:$J$40,MATCH(G263,'TDS Rates'!$B$6:$B$40,0)),INDEX('TDS Rates'!$K$6:$K$40,MATCH(G263,'TDS Rates'!$B$6:$B$40,0))))),0))</f>
        <v/>
      </c>
      <c r="P263" s="34" t="str">
        <f aca="false">IF(OR(G263="",H263=""),"",ROUND(N263*O263,0))</f>
        <v/>
      </c>
      <c r="Q263" s="27" t="str">
        <f aca="false">IF(OR(G263="",H263=""),"",IFERROR(IF(INDEX('TDS Rates'!$E$6:$E$40,MATCH(G263,'TDS Rates'!$B$6:$B$40,0))="Form 141",EOMONTH(IF(R263="",B263,R263),0)+30,IF(MONTH(IF(R263="",B263,R263))=3,DATE(YEAR(IF(R263="",B263,R263)),4,30),DATE(YEAR(IF(R263="",B263,R263)),MONTH(IF(R263="",B263,R263))+1,7))),""))</f>
        <v/>
      </c>
      <c r="R263" s="17"/>
      <c r="S263" s="17"/>
      <c r="T263" s="5"/>
      <c r="U263" s="28" t="str">
        <f aca="false">IF(OR(G263="",H263=""),"",IF(P263=0,0,IF(IF(R263="",Settings!$C$9,R263)&lt;=B263,0,((YEAR(IF(R263="",Settings!$C$9,R263))-YEAR(B263))*12+MONTH(IF(R263="",Settings!$C$9,R263))-MONTH(B263)+1))))</f>
        <v/>
      </c>
      <c r="V263" s="29" t="str">
        <f aca="false">IF(OR(G263="",H263=""),"",ROUND(P263*Settings!$C$10*U263,0))</f>
        <v/>
      </c>
      <c r="W263" s="28" t="str">
        <f aca="false">IF(OR(G263="",H263=""),"",IF(OR(P263=0,R263=""),0,IF(IF(S263="",Settings!$C$9,S263)&lt;=Q263,0,((YEAR(IF(S263="",Settings!$C$9,S263))-YEAR(R263))*12+MONTH(IF(S263="",Settings!$C$9,S263))-MONTH(R263)+1))))</f>
        <v/>
      </c>
      <c r="X263" s="29" t="str">
        <f aca="false">IF(OR(G263="",H263=""),"",ROUND(P263*Settings!$C$11*W263,0))</f>
        <v/>
      </c>
      <c r="Y263" s="29" t="str">
        <f aca="false">IF(OR(G263="",H263=""),"",V263+X263)</f>
        <v/>
      </c>
      <c r="Z263" s="7" t="str">
        <f aca="false">IF(OR(G263="",H263=""),"",IF(P263=0,"Below threshold",IF(R263="","Not yet deducted",IF(S263="",IF(Settings!$C$9&gt;Q263,"Overdue — pay now","Deducted, due "&amp;TEXT(Q263,"dd-mmm")),IF(S263&lt;=Q263,IF(N(U263)&gt;0,"Deducted late, paid on time","Paid on time"),"Paid late")))))</f>
        <v/>
      </c>
      <c r="AA263" s="35" t="str">
        <f aca="false">IF(OR(G263="",H263=""),"",IF(D263&lt;&gt;"",UPPER(TRIM(D263)),UPPER(TRIM(C263))))</f>
        <v/>
      </c>
    </row>
    <row r="264" customFormat="false" ht="15" hidden="false" customHeight="false" outlineLevel="0" collapsed="false">
      <c r="B264" s="17"/>
      <c r="C264" s="5"/>
      <c r="D264" s="5"/>
      <c r="E264" s="5"/>
      <c r="F264" s="5"/>
      <c r="G264" s="5"/>
      <c r="H264" s="16"/>
      <c r="I264" s="7" t="str">
        <f aca="false">IF(OR(G264="",H264=""),"",IFERROR(INDEX('TDS Rates'!$D$6:$D$40,MATCH(G264,'TDS Rates'!$B$6:$B$40,0)),"Check nature"))</f>
        <v/>
      </c>
      <c r="J264" s="7" t="str">
        <f aca="false">IF(OR(G264="",H264=""),"",IFERROR(INDEX('TDS Rates'!$C$6:$C$40,MATCH(G264,'TDS Rates'!$B$6:$B$40,0)),""))</f>
        <v/>
      </c>
      <c r="K264" s="7" t="str">
        <f aca="false">IF(OR(G264="",H264=""),"",IFERROR(INDEX('TDS Rates'!$E$6:$E$40,MATCH(G264,'TDS Rates'!$B$6:$B$40,0)),""))</f>
        <v/>
      </c>
      <c r="L264" s="29" t="str">
        <f aca="false">IF(OR(G264="",H264=""),"",SUMIFS(H$6:H263,AA$6:AA263,AA264,G$6:G263,G264))</f>
        <v/>
      </c>
      <c r="M264" s="29" t="str">
        <f aca="false">IF(OR(G264="",H264=""),"",SUMIFS(H$6:H263,AA$6:AA263,AA264,G$6:G263,G264,N$6:N263,0))</f>
        <v/>
      </c>
      <c r="N264" s="29" t="str">
        <f aca="false">IF(OR(G264="",H264=""),"",IFERROR(IF(INDEX('TDS Rates'!$F$6:$F$40,MATCH(G264,'TDS Rates'!$B$6:$B$40,0))="NONE",H264,IF(INDEX('TDS Rates'!$F$6:$F$40,MATCH(G264,'TDS Rates'!$B$6:$B$40,0))="PER",IF(H264&gt;INDEX('TDS Rates'!$G$6:$G$40,MATCH(G264,'TDS Rates'!$B$6:$B$40,0)),H264,0),IF(INDEX('TDS Rates'!$F$6:$F$40,MATCH(G264,'TDS Rates'!$B$6:$B$40,0))="EXCESS",MAX(0,L264+H264-INDEX('TDS Rates'!$H$6:$H$40,MATCH(G264,'TDS Rates'!$B$6:$B$40,0)))-MAX(0,L264-INDEX('TDS Rates'!$H$6:$H$40,MATCH(G264,'TDS Rates'!$B$6:$B$40,0))),IF(INDEX('TDS Rates'!$F$6:$F$40,MATCH(G264,'TDS Rates'!$B$6:$B$40,0))="SA",IF(L264+H264&gt;INDEX('TDS Rates'!$H$6:$H$40,MATCH(G264,'TDS Rates'!$B$6:$B$40,0)),H264+M264,IF(H264&gt;INDEX('TDS Rates'!$G$6:$G$40,MATCH(G264,'TDS Rates'!$B$6:$B$40,0)),H264,0)),IF(L264+H264&gt;INDEX('TDS Rates'!$H$6:$H$40,MATCH(G264,'TDS Rates'!$B$6:$B$40,0)),H264+M264,0))))),0))</f>
        <v/>
      </c>
      <c r="O264" s="33" t="str">
        <f aca="false">IF(OR(G264="",H264=""),"",IFERROR(IF(F264="No",IF(INDEX('TDS Rates'!$C$6:$C$40,MATCH(G264,'TDS Rates'!$B$6:$B$40,0))="194Q",Settings!$C$14,MAX(Settings!$C$13,IF(E264="Individual / HUF",INDEX('TDS Rates'!$I$6:$I$40,MATCH(G264,'TDS Rates'!$B$6:$B$40,0)),IF(E264="Company",INDEX('TDS Rates'!$J$6:$J$40,MATCH(G264,'TDS Rates'!$B$6:$B$40,0)),INDEX('TDS Rates'!$K$6:$K$40,MATCH(G264,'TDS Rates'!$B$6:$B$40,0)))))),IF(E264="Individual / HUF",INDEX('TDS Rates'!$I$6:$I$40,MATCH(G264,'TDS Rates'!$B$6:$B$40,0)),IF(E264="Company",INDEX('TDS Rates'!$J$6:$J$40,MATCH(G264,'TDS Rates'!$B$6:$B$40,0)),INDEX('TDS Rates'!$K$6:$K$40,MATCH(G264,'TDS Rates'!$B$6:$B$40,0))))),0))</f>
        <v/>
      </c>
      <c r="P264" s="34" t="str">
        <f aca="false">IF(OR(G264="",H264=""),"",ROUND(N264*O264,0))</f>
        <v/>
      </c>
      <c r="Q264" s="27" t="str">
        <f aca="false">IF(OR(G264="",H264=""),"",IFERROR(IF(INDEX('TDS Rates'!$E$6:$E$40,MATCH(G264,'TDS Rates'!$B$6:$B$40,0))="Form 141",EOMONTH(IF(R264="",B264,R264),0)+30,IF(MONTH(IF(R264="",B264,R264))=3,DATE(YEAR(IF(R264="",B264,R264)),4,30),DATE(YEAR(IF(R264="",B264,R264)),MONTH(IF(R264="",B264,R264))+1,7))),""))</f>
        <v/>
      </c>
      <c r="R264" s="17"/>
      <c r="S264" s="17"/>
      <c r="T264" s="5"/>
      <c r="U264" s="28" t="str">
        <f aca="false">IF(OR(G264="",H264=""),"",IF(P264=0,0,IF(IF(R264="",Settings!$C$9,R264)&lt;=B264,0,((YEAR(IF(R264="",Settings!$C$9,R264))-YEAR(B264))*12+MONTH(IF(R264="",Settings!$C$9,R264))-MONTH(B264)+1))))</f>
        <v/>
      </c>
      <c r="V264" s="29" t="str">
        <f aca="false">IF(OR(G264="",H264=""),"",ROUND(P264*Settings!$C$10*U264,0))</f>
        <v/>
      </c>
      <c r="W264" s="28" t="str">
        <f aca="false">IF(OR(G264="",H264=""),"",IF(OR(P264=0,R264=""),0,IF(IF(S264="",Settings!$C$9,S264)&lt;=Q264,0,((YEAR(IF(S264="",Settings!$C$9,S264))-YEAR(R264))*12+MONTH(IF(S264="",Settings!$C$9,S264))-MONTH(R264)+1))))</f>
        <v/>
      </c>
      <c r="X264" s="29" t="str">
        <f aca="false">IF(OR(G264="",H264=""),"",ROUND(P264*Settings!$C$11*W264,0))</f>
        <v/>
      </c>
      <c r="Y264" s="29" t="str">
        <f aca="false">IF(OR(G264="",H264=""),"",V264+X264)</f>
        <v/>
      </c>
      <c r="Z264" s="7" t="str">
        <f aca="false">IF(OR(G264="",H264=""),"",IF(P264=0,"Below threshold",IF(R264="","Not yet deducted",IF(S264="",IF(Settings!$C$9&gt;Q264,"Overdue — pay now","Deducted, due "&amp;TEXT(Q264,"dd-mmm")),IF(S264&lt;=Q264,IF(N(U264)&gt;0,"Deducted late, paid on time","Paid on time"),"Paid late")))))</f>
        <v/>
      </c>
      <c r="AA264" s="35" t="str">
        <f aca="false">IF(OR(G264="",H264=""),"",IF(D264&lt;&gt;"",UPPER(TRIM(D264)),UPPER(TRIM(C264))))</f>
        <v/>
      </c>
    </row>
    <row r="265" customFormat="false" ht="15" hidden="false" customHeight="false" outlineLevel="0" collapsed="false">
      <c r="B265" s="17"/>
      <c r="C265" s="5"/>
      <c r="D265" s="5"/>
      <c r="E265" s="5"/>
      <c r="F265" s="5"/>
      <c r="G265" s="5"/>
      <c r="H265" s="16"/>
      <c r="I265" s="7" t="str">
        <f aca="false">IF(OR(G265="",H265=""),"",IFERROR(INDEX('TDS Rates'!$D$6:$D$40,MATCH(G265,'TDS Rates'!$B$6:$B$40,0)),"Check nature"))</f>
        <v/>
      </c>
      <c r="J265" s="7" t="str">
        <f aca="false">IF(OR(G265="",H265=""),"",IFERROR(INDEX('TDS Rates'!$C$6:$C$40,MATCH(G265,'TDS Rates'!$B$6:$B$40,0)),""))</f>
        <v/>
      </c>
      <c r="K265" s="7" t="str">
        <f aca="false">IF(OR(G265="",H265=""),"",IFERROR(INDEX('TDS Rates'!$E$6:$E$40,MATCH(G265,'TDS Rates'!$B$6:$B$40,0)),""))</f>
        <v/>
      </c>
      <c r="L265" s="29" t="str">
        <f aca="false">IF(OR(G265="",H265=""),"",SUMIFS(H$6:H264,AA$6:AA264,AA265,G$6:G264,G265))</f>
        <v/>
      </c>
      <c r="M265" s="29" t="str">
        <f aca="false">IF(OR(G265="",H265=""),"",SUMIFS(H$6:H264,AA$6:AA264,AA265,G$6:G264,G265,N$6:N264,0))</f>
        <v/>
      </c>
      <c r="N265" s="29" t="str">
        <f aca="false">IF(OR(G265="",H265=""),"",IFERROR(IF(INDEX('TDS Rates'!$F$6:$F$40,MATCH(G265,'TDS Rates'!$B$6:$B$40,0))="NONE",H265,IF(INDEX('TDS Rates'!$F$6:$F$40,MATCH(G265,'TDS Rates'!$B$6:$B$40,0))="PER",IF(H265&gt;INDEX('TDS Rates'!$G$6:$G$40,MATCH(G265,'TDS Rates'!$B$6:$B$40,0)),H265,0),IF(INDEX('TDS Rates'!$F$6:$F$40,MATCH(G265,'TDS Rates'!$B$6:$B$40,0))="EXCESS",MAX(0,L265+H265-INDEX('TDS Rates'!$H$6:$H$40,MATCH(G265,'TDS Rates'!$B$6:$B$40,0)))-MAX(0,L265-INDEX('TDS Rates'!$H$6:$H$40,MATCH(G265,'TDS Rates'!$B$6:$B$40,0))),IF(INDEX('TDS Rates'!$F$6:$F$40,MATCH(G265,'TDS Rates'!$B$6:$B$40,0))="SA",IF(L265+H265&gt;INDEX('TDS Rates'!$H$6:$H$40,MATCH(G265,'TDS Rates'!$B$6:$B$40,0)),H265+M265,IF(H265&gt;INDEX('TDS Rates'!$G$6:$G$40,MATCH(G265,'TDS Rates'!$B$6:$B$40,0)),H265,0)),IF(L265+H265&gt;INDEX('TDS Rates'!$H$6:$H$40,MATCH(G265,'TDS Rates'!$B$6:$B$40,0)),H265+M265,0))))),0))</f>
        <v/>
      </c>
      <c r="O265" s="33" t="str">
        <f aca="false">IF(OR(G265="",H265=""),"",IFERROR(IF(F265="No",IF(INDEX('TDS Rates'!$C$6:$C$40,MATCH(G265,'TDS Rates'!$B$6:$B$40,0))="194Q",Settings!$C$14,MAX(Settings!$C$13,IF(E265="Individual / HUF",INDEX('TDS Rates'!$I$6:$I$40,MATCH(G265,'TDS Rates'!$B$6:$B$40,0)),IF(E265="Company",INDEX('TDS Rates'!$J$6:$J$40,MATCH(G265,'TDS Rates'!$B$6:$B$40,0)),INDEX('TDS Rates'!$K$6:$K$40,MATCH(G265,'TDS Rates'!$B$6:$B$40,0)))))),IF(E265="Individual / HUF",INDEX('TDS Rates'!$I$6:$I$40,MATCH(G265,'TDS Rates'!$B$6:$B$40,0)),IF(E265="Company",INDEX('TDS Rates'!$J$6:$J$40,MATCH(G265,'TDS Rates'!$B$6:$B$40,0)),INDEX('TDS Rates'!$K$6:$K$40,MATCH(G265,'TDS Rates'!$B$6:$B$40,0))))),0))</f>
        <v/>
      </c>
      <c r="P265" s="34" t="str">
        <f aca="false">IF(OR(G265="",H265=""),"",ROUND(N265*O265,0))</f>
        <v/>
      </c>
      <c r="Q265" s="27" t="str">
        <f aca="false">IF(OR(G265="",H265=""),"",IFERROR(IF(INDEX('TDS Rates'!$E$6:$E$40,MATCH(G265,'TDS Rates'!$B$6:$B$40,0))="Form 141",EOMONTH(IF(R265="",B265,R265),0)+30,IF(MONTH(IF(R265="",B265,R265))=3,DATE(YEAR(IF(R265="",B265,R265)),4,30),DATE(YEAR(IF(R265="",B265,R265)),MONTH(IF(R265="",B265,R265))+1,7))),""))</f>
        <v/>
      </c>
      <c r="R265" s="17"/>
      <c r="S265" s="17"/>
      <c r="T265" s="5"/>
      <c r="U265" s="28" t="str">
        <f aca="false">IF(OR(G265="",H265=""),"",IF(P265=0,0,IF(IF(R265="",Settings!$C$9,R265)&lt;=B265,0,((YEAR(IF(R265="",Settings!$C$9,R265))-YEAR(B265))*12+MONTH(IF(R265="",Settings!$C$9,R265))-MONTH(B265)+1))))</f>
        <v/>
      </c>
      <c r="V265" s="29" t="str">
        <f aca="false">IF(OR(G265="",H265=""),"",ROUND(P265*Settings!$C$10*U265,0))</f>
        <v/>
      </c>
      <c r="W265" s="28" t="str">
        <f aca="false">IF(OR(G265="",H265=""),"",IF(OR(P265=0,R265=""),0,IF(IF(S265="",Settings!$C$9,S265)&lt;=Q265,0,((YEAR(IF(S265="",Settings!$C$9,S265))-YEAR(R265))*12+MONTH(IF(S265="",Settings!$C$9,S265))-MONTH(R265)+1))))</f>
        <v/>
      </c>
      <c r="X265" s="29" t="str">
        <f aca="false">IF(OR(G265="",H265=""),"",ROUND(P265*Settings!$C$11*W265,0))</f>
        <v/>
      </c>
      <c r="Y265" s="29" t="str">
        <f aca="false">IF(OR(G265="",H265=""),"",V265+X265)</f>
        <v/>
      </c>
      <c r="Z265" s="7" t="str">
        <f aca="false">IF(OR(G265="",H265=""),"",IF(P265=0,"Below threshold",IF(R265="","Not yet deducted",IF(S265="",IF(Settings!$C$9&gt;Q265,"Overdue — pay now","Deducted, due "&amp;TEXT(Q265,"dd-mmm")),IF(S265&lt;=Q265,IF(N(U265)&gt;0,"Deducted late, paid on time","Paid on time"),"Paid late")))))</f>
        <v/>
      </c>
      <c r="AA265" s="35" t="str">
        <f aca="false">IF(OR(G265="",H265=""),"",IF(D265&lt;&gt;"",UPPER(TRIM(D265)),UPPER(TRIM(C265))))</f>
        <v/>
      </c>
    </row>
    <row r="266" customFormat="false" ht="15" hidden="false" customHeight="false" outlineLevel="0" collapsed="false">
      <c r="B266" s="17"/>
      <c r="C266" s="5"/>
      <c r="D266" s="5"/>
      <c r="E266" s="5"/>
      <c r="F266" s="5"/>
      <c r="G266" s="5"/>
      <c r="H266" s="16"/>
      <c r="I266" s="7" t="str">
        <f aca="false">IF(OR(G266="",H266=""),"",IFERROR(INDEX('TDS Rates'!$D$6:$D$40,MATCH(G266,'TDS Rates'!$B$6:$B$40,0)),"Check nature"))</f>
        <v/>
      </c>
      <c r="J266" s="7" t="str">
        <f aca="false">IF(OR(G266="",H266=""),"",IFERROR(INDEX('TDS Rates'!$C$6:$C$40,MATCH(G266,'TDS Rates'!$B$6:$B$40,0)),""))</f>
        <v/>
      </c>
      <c r="K266" s="7" t="str">
        <f aca="false">IF(OR(G266="",H266=""),"",IFERROR(INDEX('TDS Rates'!$E$6:$E$40,MATCH(G266,'TDS Rates'!$B$6:$B$40,0)),""))</f>
        <v/>
      </c>
      <c r="L266" s="29" t="str">
        <f aca="false">IF(OR(G266="",H266=""),"",SUMIFS(H$6:H265,AA$6:AA265,AA266,G$6:G265,G266))</f>
        <v/>
      </c>
      <c r="M266" s="29" t="str">
        <f aca="false">IF(OR(G266="",H266=""),"",SUMIFS(H$6:H265,AA$6:AA265,AA266,G$6:G265,G266,N$6:N265,0))</f>
        <v/>
      </c>
      <c r="N266" s="29" t="str">
        <f aca="false">IF(OR(G266="",H266=""),"",IFERROR(IF(INDEX('TDS Rates'!$F$6:$F$40,MATCH(G266,'TDS Rates'!$B$6:$B$40,0))="NONE",H266,IF(INDEX('TDS Rates'!$F$6:$F$40,MATCH(G266,'TDS Rates'!$B$6:$B$40,0))="PER",IF(H266&gt;INDEX('TDS Rates'!$G$6:$G$40,MATCH(G266,'TDS Rates'!$B$6:$B$40,0)),H266,0),IF(INDEX('TDS Rates'!$F$6:$F$40,MATCH(G266,'TDS Rates'!$B$6:$B$40,0))="EXCESS",MAX(0,L266+H266-INDEX('TDS Rates'!$H$6:$H$40,MATCH(G266,'TDS Rates'!$B$6:$B$40,0)))-MAX(0,L266-INDEX('TDS Rates'!$H$6:$H$40,MATCH(G266,'TDS Rates'!$B$6:$B$40,0))),IF(INDEX('TDS Rates'!$F$6:$F$40,MATCH(G266,'TDS Rates'!$B$6:$B$40,0))="SA",IF(L266+H266&gt;INDEX('TDS Rates'!$H$6:$H$40,MATCH(G266,'TDS Rates'!$B$6:$B$40,0)),H266+M266,IF(H266&gt;INDEX('TDS Rates'!$G$6:$G$40,MATCH(G266,'TDS Rates'!$B$6:$B$40,0)),H266,0)),IF(L266+H266&gt;INDEX('TDS Rates'!$H$6:$H$40,MATCH(G266,'TDS Rates'!$B$6:$B$40,0)),H266+M266,0))))),0))</f>
        <v/>
      </c>
      <c r="O266" s="33" t="str">
        <f aca="false">IF(OR(G266="",H266=""),"",IFERROR(IF(F266="No",IF(INDEX('TDS Rates'!$C$6:$C$40,MATCH(G266,'TDS Rates'!$B$6:$B$40,0))="194Q",Settings!$C$14,MAX(Settings!$C$13,IF(E266="Individual / HUF",INDEX('TDS Rates'!$I$6:$I$40,MATCH(G266,'TDS Rates'!$B$6:$B$40,0)),IF(E266="Company",INDEX('TDS Rates'!$J$6:$J$40,MATCH(G266,'TDS Rates'!$B$6:$B$40,0)),INDEX('TDS Rates'!$K$6:$K$40,MATCH(G266,'TDS Rates'!$B$6:$B$40,0)))))),IF(E266="Individual / HUF",INDEX('TDS Rates'!$I$6:$I$40,MATCH(G266,'TDS Rates'!$B$6:$B$40,0)),IF(E266="Company",INDEX('TDS Rates'!$J$6:$J$40,MATCH(G266,'TDS Rates'!$B$6:$B$40,0)),INDEX('TDS Rates'!$K$6:$K$40,MATCH(G266,'TDS Rates'!$B$6:$B$40,0))))),0))</f>
        <v/>
      </c>
      <c r="P266" s="34" t="str">
        <f aca="false">IF(OR(G266="",H266=""),"",ROUND(N266*O266,0))</f>
        <v/>
      </c>
      <c r="Q266" s="27" t="str">
        <f aca="false">IF(OR(G266="",H266=""),"",IFERROR(IF(INDEX('TDS Rates'!$E$6:$E$40,MATCH(G266,'TDS Rates'!$B$6:$B$40,0))="Form 141",EOMONTH(IF(R266="",B266,R266),0)+30,IF(MONTH(IF(R266="",B266,R266))=3,DATE(YEAR(IF(R266="",B266,R266)),4,30),DATE(YEAR(IF(R266="",B266,R266)),MONTH(IF(R266="",B266,R266))+1,7))),""))</f>
        <v/>
      </c>
      <c r="R266" s="17"/>
      <c r="S266" s="17"/>
      <c r="T266" s="5"/>
      <c r="U266" s="28" t="str">
        <f aca="false">IF(OR(G266="",H266=""),"",IF(P266=0,0,IF(IF(R266="",Settings!$C$9,R266)&lt;=B266,0,((YEAR(IF(R266="",Settings!$C$9,R266))-YEAR(B266))*12+MONTH(IF(R266="",Settings!$C$9,R266))-MONTH(B266)+1))))</f>
        <v/>
      </c>
      <c r="V266" s="29" t="str">
        <f aca="false">IF(OR(G266="",H266=""),"",ROUND(P266*Settings!$C$10*U266,0))</f>
        <v/>
      </c>
      <c r="W266" s="28" t="str">
        <f aca="false">IF(OR(G266="",H266=""),"",IF(OR(P266=0,R266=""),0,IF(IF(S266="",Settings!$C$9,S266)&lt;=Q266,0,((YEAR(IF(S266="",Settings!$C$9,S266))-YEAR(R266))*12+MONTH(IF(S266="",Settings!$C$9,S266))-MONTH(R266)+1))))</f>
        <v/>
      </c>
      <c r="X266" s="29" t="str">
        <f aca="false">IF(OR(G266="",H266=""),"",ROUND(P266*Settings!$C$11*W266,0))</f>
        <v/>
      </c>
      <c r="Y266" s="29" t="str">
        <f aca="false">IF(OR(G266="",H266=""),"",V266+X266)</f>
        <v/>
      </c>
      <c r="Z266" s="7" t="str">
        <f aca="false">IF(OR(G266="",H266=""),"",IF(P266=0,"Below threshold",IF(R266="","Not yet deducted",IF(S266="",IF(Settings!$C$9&gt;Q266,"Overdue — pay now","Deducted, due "&amp;TEXT(Q266,"dd-mmm")),IF(S266&lt;=Q266,IF(N(U266)&gt;0,"Deducted late, paid on time","Paid on time"),"Paid late")))))</f>
        <v/>
      </c>
      <c r="AA266" s="35" t="str">
        <f aca="false">IF(OR(G266="",H266=""),"",IF(D266&lt;&gt;"",UPPER(TRIM(D266)),UPPER(TRIM(C266))))</f>
        <v/>
      </c>
    </row>
    <row r="267" customFormat="false" ht="15" hidden="false" customHeight="false" outlineLevel="0" collapsed="false">
      <c r="B267" s="17"/>
      <c r="C267" s="5"/>
      <c r="D267" s="5"/>
      <c r="E267" s="5"/>
      <c r="F267" s="5"/>
      <c r="G267" s="5"/>
      <c r="H267" s="16"/>
      <c r="I267" s="7" t="str">
        <f aca="false">IF(OR(G267="",H267=""),"",IFERROR(INDEX('TDS Rates'!$D$6:$D$40,MATCH(G267,'TDS Rates'!$B$6:$B$40,0)),"Check nature"))</f>
        <v/>
      </c>
      <c r="J267" s="7" t="str">
        <f aca="false">IF(OR(G267="",H267=""),"",IFERROR(INDEX('TDS Rates'!$C$6:$C$40,MATCH(G267,'TDS Rates'!$B$6:$B$40,0)),""))</f>
        <v/>
      </c>
      <c r="K267" s="7" t="str">
        <f aca="false">IF(OR(G267="",H267=""),"",IFERROR(INDEX('TDS Rates'!$E$6:$E$40,MATCH(G267,'TDS Rates'!$B$6:$B$40,0)),""))</f>
        <v/>
      </c>
      <c r="L267" s="29" t="str">
        <f aca="false">IF(OR(G267="",H267=""),"",SUMIFS(H$6:H266,AA$6:AA266,AA267,G$6:G266,G267))</f>
        <v/>
      </c>
      <c r="M267" s="29" t="str">
        <f aca="false">IF(OR(G267="",H267=""),"",SUMIFS(H$6:H266,AA$6:AA266,AA267,G$6:G266,G267,N$6:N266,0))</f>
        <v/>
      </c>
      <c r="N267" s="29" t="str">
        <f aca="false">IF(OR(G267="",H267=""),"",IFERROR(IF(INDEX('TDS Rates'!$F$6:$F$40,MATCH(G267,'TDS Rates'!$B$6:$B$40,0))="NONE",H267,IF(INDEX('TDS Rates'!$F$6:$F$40,MATCH(G267,'TDS Rates'!$B$6:$B$40,0))="PER",IF(H267&gt;INDEX('TDS Rates'!$G$6:$G$40,MATCH(G267,'TDS Rates'!$B$6:$B$40,0)),H267,0),IF(INDEX('TDS Rates'!$F$6:$F$40,MATCH(G267,'TDS Rates'!$B$6:$B$40,0))="EXCESS",MAX(0,L267+H267-INDEX('TDS Rates'!$H$6:$H$40,MATCH(G267,'TDS Rates'!$B$6:$B$40,0)))-MAX(0,L267-INDEX('TDS Rates'!$H$6:$H$40,MATCH(G267,'TDS Rates'!$B$6:$B$40,0))),IF(INDEX('TDS Rates'!$F$6:$F$40,MATCH(G267,'TDS Rates'!$B$6:$B$40,0))="SA",IF(L267+H267&gt;INDEX('TDS Rates'!$H$6:$H$40,MATCH(G267,'TDS Rates'!$B$6:$B$40,0)),H267+M267,IF(H267&gt;INDEX('TDS Rates'!$G$6:$G$40,MATCH(G267,'TDS Rates'!$B$6:$B$40,0)),H267,0)),IF(L267+H267&gt;INDEX('TDS Rates'!$H$6:$H$40,MATCH(G267,'TDS Rates'!$B$6:$B$40,0)),H267+M267,0))))),0))</f>
        <v/>
      </c>
      <c r="O267" s="33" t="str">
        <f aca="false">IF(OR(G267="",H267=""),"",IFERROR(IF(F267="No",IF(INDEX('TDS Rates'!$C$6:$C$40,MATCH(G267,'TDS Rates'!$B$6:$B$40,0))="194Q",Settings!$C$14,MAX(Settings!$C$13,IF(E267="Individual / HUF",INDEX('TDS Rates'!$I$6:$I$40,MATCH(G267,'TDS Rates'!$B$6:$B$40,0)),IF(E267="Company",INDEX('TDS Rates'!$J$6:$J$40,MATCH(G267,'TDS Rates'!$B$6:$B$40,0)),INDEX('TDS Rates'!$K$6:$K$40,MATCH(G267,'TDS Rates'!$B$6:$B$40,0)))))),IF(E267="Individual / HUF",INDEX('TDS Rates'!$I$6:$I$40,MATCH(G267,'TDS Rates'!$B$6:$B$40,0)),IF(E267="Company",INDEX('TDS Rates'!$J$6:$J$40,MATCH(G267,'TDS Rates'!$B$6:$B$40,0)),INDEX('TDS Rates'!$K$6:$K$40,MATCH(G267,'TDS Rates'!$B$6:$B$40,0))))),0))</f>
        <v/>
      </c>
      <c r="P267" s="34" t="str">
        <f aca="false">IF(OR(G267="",H267=""),"",ROUND(N267*O267,0))</f>
        <v/>
      </c>
      <c r="Q267" s="27" t="str">
        <f aca="false">IF(OR(G267="",H267=""),"",IFERROR(IF(INDEX('TDS Rates'!$E$6:$E$40,MATCH(G267,'TDS Rates'!$B$6:$B$40,0))="Form 141",EOMONTH(IF(R267="",B267,R267),0)+30,IF(MONTH(IF(R267="",B267,R267))=3,DATE(YEAR(IF(R267="",B267,R267)),4,30),DATE(YEAR(IF(R267="",B267,R267)),MONTH(IF(R267="",B267,R267))+1,7))),""))</f>
        <v/>
      </c>
      <c r="R267" s="17"/>
      <c r="S267" s="17"/>
      <c r="T267" s="5"/>
      <c r="U267" s="28" t="str">
        <f aca="false">IF(OR(G267="",H267=""),"",IF(P267=0,0,IF(IF(R267="",Settings!$C$9,R267)&lt;=B267,0,((YEAR(IF(R267="",Settings!$C$9,R267))-YEAR(B267))*12+MONTH(IF(R267="",Settings!$C$9,R267))-MONTH(B267)+1))))</f>
        <v/>
      </c>
      <c r="V267" s="29" t="str">
        <f aca="false">IF(OR(G267="",H267=""),"",ROUND(P267*Settings!$C$10*U267,0))</f>
        <v/>
      </c>
      <c r="W267" s="28" t="str">
        <f aca="false">IF(OR(G267="",H267=""),"",IF(OR(P267=0,R267=""),0,IF(IF(S267="",Settings!$C$9,S267)&lt;=Q267,0,((YEAR(IF(S267="",Settings!$C$9,S267))-YEAR(R267))*12+MONTH(IF(S267="",Settings!$C$9,S267))-MONTH(R267)+1))))</f>
        <v/>
      </c>
      <c r="X267" s="29" t="str">
        <f aca="false">IF(OR(G267="",H267=""),"",ROUND(P267*Settings!$C$11*W267,0))</f>
        <v/>
      </c>
      <c r="Y267" s="29" t="str">
        <f aca="false">IF(OR(G267="",H267=""),"",V267+X267)</f>
        <v/>
      </c>
      <c r="Z267" s="7" t="str">
        <f aca="false">IF(OR(G267="",H267=""),"",IF(P267=0,"Below threshold",IF(R267="","Not yet deducted",IF(S267="",IF(Settings!$C$9&gt;Q267,"Overdue — pay now","Deducted, due "&amp;TEXT(Q267,"dd-mmm")),IF(S267&lt;=Q267,IF(N(U267)&gt;0,"Deducted late, paid on time","Paid on time"),"Paid late")))))</f>
        <v/>
      </c>
      <c r="AA267" s="35" t="str">
        <f aca="false">IF(OR(G267="",H267=""),"",IF(D267&lt;&gt;"",UPPER(TRIM(D267)),UPPER(TRIM(C267))))</f>
        <v/>
      </c>
    </row>
    <row r="268" customFormat="false" ht="15" hidden="false" customHeight="false" outlineLevel="0" collapsed="false">
      <c r="B268" s="17"/>
      <c r="C268" s="5"/>
      <c r="D268" s="5"/>
      <c r="E268" s="5"/>
      <c r="F268" s="5"/>
      <c r="G268" s="5"/>
      <c r="H268" s="16"/>
      <c r="I268" s="7" t="str">
        <f aca="false">IF(OR(G268="",H268=""),"",IFERROR(INDEX('TDS Rates'!$D$6:$D$40,MATCH(G268,'TDS Rates'!$B$6:$B$40,0)),"Check nature"))</f>
        <v/>
      </c>
      <c r="J268" s="7" t="str">
        <f aca="false">IF(OR(G268="",H268=""),"",IFERROR(INDEX('TDS Rates'!$C$6:$C$40,MATCH(G268,'TDS Rates'!$B$6:$B$40,0)),""))</f>
        <v/>
      </c>
      <c r="K268" s="7" t="str">
        <f aca="false">IF(OR(G268="",H268=""),"",IFERROR(INDEX('TDS Rates'!$E$6:$E$40,MATCH(G268,'TDS Rates'!$B$6:$B$40,0)),""))</f>
        <v/>
      </c>
      <c r="L268" s="29" t="str">
        <f aca="false">IF(OR(G268="",H268=""),"",SUMIFS(H$6:H267,AA$6:AA267,AA268,G$6:G267,G268))</f>
        <v/>
      </c>
      <c r="M268" s="29" t="str">
        <f aca="false">IF(OR(G268="",H268=""),"",SUMIFS(H$6:H267,AA$6:AA267,AA268,G$6:G267,G268,N$6:N267,0))</f>
        <v/>
      </c>
      <c r="N268" s="29" t="str">
        <f aca="false">IF(OR(G268="",H268=""),"",IFERROR(IF(INDEX('TDS Rates'!$F$6:$F$40,MATCH(G268,'TDS Rates'!$B$6:$B$40,0))="NONE",H268,IF(INDEX('TDS Rates'!$F$6:$F$40,MATCH(G268,'TDS Rates'!$B$6:$B$40,0))="PER",IF(H268&gt;INDEX('TDS Rates'!$G$6:$G$40,MATCH(G268,'TDS Rates'!$B$6:$B$40,0)),H268,0),IF(INDEX('TDS Rates'!$F$6:$F$40,MATCH(G268,'TDS Rates'!$B$6:$B$40,0))="EXCESS",MAX(0,L268+H268-INDEX('TDS Rates'!$H$6:$H$40,MATCH(G268,'TDS Rates'!$B$6:$B$40,0)))-MAX(0,L268-INDEX('TDS Rates'!$H$6:$H$40,MATCH(G268,'TDS Rates'!$B$6:$B$40,0))),IF(INDEX('TDS Rates'!$F$6:$F$40,MATCH(G268,'TDS Rates'!$B$6:$B$40,0))="SA",IF(L268+H268&gt;INDEX('TDS Rates'!$H$6:$H$40,MATCH(G268,'TDS Rates'!$B$6:$B$40,0)),H268+M268,IF(H268&gt;INDEX('TDS Rates'!$G$6:$G$40,MATCH(G268,'TDS Rates'!$B$6:$B$40,0)),H268,0)),IF(L268+H268&gt;INDEX('TDS Rates'!$H$6:$H$40,MATCH(G268,'TDS Rates'!$B$6:$B$40,0)),H268+M268,0))))),0))</f>
        <v/>
      </c>
      <c r="O268" s="33" t="str">
        <f aca="false">IF(OR(G268="",H268=""),"",IFERROR(IF(F268="No",IF(INDEX('TDS Rates'!$C$6:$C$40,MATCH(G268,'TDS Rates'!$B$6:$B$40,0))="194Q",Settings!$C$14,MAX(Settings!$C$13,IF(E268="Individual / HUF",INDEX('TDS Rates'!$I$6:$I$40,MATCH(G268,'TDS Rates'!$B$6:$B$40,0)),IF(E268="Company",INDEX('TDS Rates'!$J$6:$J$40,MATCH(G268,'TDS Rates'!$B$6:$B$40,0)),INDEX('TDS Rates'!$K$6:$K$40,MATCH(G268,'TDS Rates'!$B$6:$B$40,0)))))),IF(E268="Individual / HUF",INDEX('TDS Rates'!$I$6:$I$40,MATCH(G268,'TDS Rates'!$B$6:$B$40,0)),IF(E268="Company",INDEX('TDS Rates'!$J$6:$J$40,MATCH(G268,'TDS Rates'!$B$6:$B$40,0)),INDEX('TDS Rates'!$K$6:$K$40,MATCH(G268,'TDS Rates'!$B$6:$B$40,0))))),0))</f>
        <v/>
      </c>
      <c r="P268" s="34" t="str">
        <f aca="false">IF(OR(G268="",H268=""),"",ROUND(N268*O268,0))</f>
        <v/>
      </c>
      <c r="Q268" s="27" t="str">
        <f aca="false">IF(OR(G268="",H268=""),"",IFERROR(IF(INDEX('TDS Rates'!$E$6:$E$40,MATCH(G268,'TDS Rates'!$B$6:$B$40,0))="Form 141",EOMONTH(IF(R268="",B268,R268),0)+30,IF(MONTH(IF(R268="",B268,R268))=3,DATE(YEAR(IF(R268="",B268,R268)),4,30),DATE(YEAR(IF(R268="",B268,R268)),MONTH(IF(R268="",B268,R268))+1,7))),""))</f>
        <v/>
      </c>
      <c r="R268" s="17"/>
      <c r="S268" s="17"/>
      <c r="T268" s="5"/>
      <c r="U268" s="28" t="str">
        <f aca="false">IF(OR(G268="",H268=""),"",IF(P268=0,0,IF(IF(R268="",Settings!$C$9,R268)&lt;=B268,0,((YEAR(IF(R268="",Settings!$C$9,R268))-YEAR(B268))*12+MONTH(IF(R268="",Settings!$C$9,R268))-MONTH(B268)+1))))</f>
        <v/>
      </c>
      <c r="V268" s="29" t="str">
        <f aca="false">IF(OR(G268="",H268=""),"",ROUND(P268*Settings!$C$10*U268,0))</f>
        <v/>
      </c>
      <c r="W268" s="28" t="str">
        <f aca="false">IF(OR(G268="",H268=""),"",IF(OR(P268=0,R268=""),0,IF(IF(S268="",Settings!$C$9,S268)&lt;=Q268,0,((YEAR(IF(S268="",Settings!$C$9,S268))-YEAR(R268))*12+MONTH(IF(S268="",Settings!$C$9,S268))-MONTH(R268)+1))))</f>
        <v/>
      </c>
      <c r="X268" s="29" t="str">
        <f aca="false">IF(OR(G268="",H268=""),"",ROUND(P268*Settings!$C$11*W268,0))</f>
        <v/>
      </c>
      <c r="Y268" s="29" t="str">
        <f aca="false">IF(OR(G268="",H268=""),"",V268+X268)</f>
        <v/>
      </c>
      <c r="Z268" s="7" t="str">
        <f aca="false">IF(OR(G268="",H268=""),"",IF(P268=0,"Below threshold",IF(R268="","Not yet deducted",IF(S268="",IF(Settings!$C$9&gt;Q268,"Overdue — pay now","Deducted, due "&amp;TEXT(Q268,"dd-mmm")),IF(S268&lt;=Q268,IF(N(U268)&gt;0,"Deducted late, paid on time","Paid on time"),"Paid late")))))</f>
        <v/>
      </c>
      <c r="AA268" s="35" t="str">
        <f aca="false">IF(OR(G268="",H268=""),"",IF(D268&lt;&gt;"",UPPER(TRIM(D268)),UPPER(TRIM(C268))))</f>
        <v/>
      </c>
    </row>
    <row r="269" customFormat="false" ht="15" hidden="false" customHeight="false" outlineLevel="0" collapsed="false">
      <c r="B269" s="17"/>
      <c r="C269" s="5"/>
      <c r="D269" s="5"/>
      <c r="E269" s="5"/>
      <c r="F269" s="5"/>
      <c r="G269" s="5"/>
      <c r="H269" s="16"/>
      <c r="I269" s="7" t="str">
        <f aca="false">IF(OR(G269="",H269=""),"",IFERROR(INDEX('TDS Rates'!$D$6:$D$40,MATCH(G269,'TDS Rates'!$B$6:$B$40,0)),"Check nature"))</f>
        <v/>
      </c>
      <c r="J269" s="7" t="str">
        <f aca="false">IF(OR(G269="",H269=""),"",IFERROR(INDEX('TDS Rates'!$C$6:$C$40,MATCH(G269,'TDS Rates'!$B$6:$B$40,0)),""))</f>
        <v/>
      </c>
      <c r="K269" s="7" t="str">
        <f aca="false">IF(OR(G269="",H269=""),"",IFERROR(INDEX('TDS Rates'!$E$6:$E$40,MATCH(G269,'TDS Rates'!$B$6:$B$40,0)),""))</f>
        <v/>
      </c>
      <c r="L269" s="29" t="str">
        <f aca="false">IF(OR(G269="",H269=""),"",SUMIFS(H$6:H268,AA$6:AA268,AA269,G$6:G268,G269))</f>
        <v/>
      </c>
      <c r="M269" s="29" t="str">
        <f aca="false">IF(OR(G269="",H269=""),"",SUMIFS(H$6:H268,AA$6:AA268,AA269,G$6:G268,G269,N$6:N268,0))</f>
        <v/>
      </c>
      <c r="N269" s="29" t="str">
        <f aca="false">IF(OR(G269="",H269=""),"",IFERROR(IF(INDEX('TDS Rates'!$F$6:$F$40,MATCH(G269,'TDS Rates'!$B$6:$B$40,0))="NONE",H269,IF(INDEX('TDS Rates'!$F$6:$F$40,MATCH(G269,'TDS Rates'!$B$6:$B$40,0))="PER",IF(H269&gt;INDEX('TDS Rates'!$G$6:$G$40,MATCH(G269,'TDS Rates'!$B$6:$B$40,0)),H269,0),IF(INDEX('TDS Rates'!$F$6:$F$40,MATCH(G269,'TDS Rates'!$B$6:$B$40,0))="EXCESS",MAX(0,L269+H269-INDEX('TDS Rates'!$H$6:$H$40,MATCH(G269,'TDS Rates'!$B$6:$B$40,0)))-MAX(0,L269-INDEX('TDS Rates'!$H$6:$H$40,MATCH(G269,'TDS Rates'!$B$6:$B$40,0))),IF(INDEX('TDS Rates'!$F$6:$F$40,MATCH(G269,'TDS Rates'!$B$6:$B$40,0))="SA",IF(L269+H269&gt;INDEX('TDS Rates'!$H$6:$H$40,MATCH(G269,'TDS Rates'!$B$6:$B$40,0)),H269+M269,IF(H269&gt;INDEX('TDS Rates'!$G$6:$G$40,MATCH(G269,'TDS Rates'!$B$6:$B$40,0)),H269,0)),IF(L269+H269&gt;INDEX('TDS Rates'!$H$6:$H$40,MATCH(G269,'TDS Rates'!$B$6:$B$40,0)),H269+M269,0))))),0))</f>
        <v/>
      </c>
      <c r="O269" s="33" t="str">
        <f aca="false">IF(OR(G269="",H269=""),"",IFERROR(IF(F269="No",IF(INDEX('TDS Rates'!$C$6:$C$40,MATCH(G269,'TDS Rates'!$B$6:$B$40,0))="194Q",Settings!$C$14,MAX(Settings!$C$13,IF(E269="Individual / HUF",INDEX('TDS Rates'!$I$6:$I$40,MATCH(G269,'TDS Rates'!$B$6:$B$40,0)),IF(E269="Company",INDEX('TDS Rates'!$J$6:$J$40,MATCH(G269,'TDS Rates'!$B$6:$B$40,0)),INDEX('TDS Rates'!$K$6:$K$40,MATCH(G269,'TDS Rates'!$B$6:$B$40,0)))))),IF(E269="Individual / HUF",INDEX('TDS Rates'!$I$6:$I$40,MATCH(G269,'TDS Rates'!$B$6:$B$40,0)),IF(E269="Company",INDEX('TDS Rates'!$J$6:$J$40,MATCH(G269,'TDS Rates'!$B$6:$B$40,0)),INDEX('TDS Rates'!$K$6:$K$40,MATCH(G269,'TDS Rates'!$B$6:$B$40,0))))),0))</f>
        <v/>
      </c>
      <c r="P269" s="34" t="str">
        <f aca="false">IF(OR(G269="",H269=""),"",ROUND(N269*O269,0))</f>
        <v/>
      </c>
      <c r="Q269" s="27" t="str">
        <f aca="false">IF(OR(G269="",H269=""),"",IFERROR(IF(INDEX('TDS Rates'!$E$6:$E$40,MATCH(G269,'TDS Rates'!$B$6:$B$40,0))="Form 141",EOMONTH(IF(R269="",B269,R269),0)+30,IF(MONTH(IF(R269="",B269,R269))=3,DATE(YEAR(IF(R269="",B269,R269)),4,30),DATE(YEAR(IF(R269="",B269,R269)),MONTH(IF(R269="",B269,R269))+1,7))),""))</f>
        <v/>
      </c>
      <c r="R269" s="17"/>
      <c r="S269" s="17"/>
      <c r="T269" s="5"/>
      <c r="U269" s="28" t="str">
        <f aca="false">IF(OR(G269="",H269=""),"",IF(P269=0,0,IF(IF(R269="",Settings!$C$9,R269)&lt;=B269,0,((YEAR(IF(R269="",Settings!$C$9,R269))-YEAR(B269))*12+MONTH(IF(R269="",Settings!$C$9,R269))-MONTH(B269)+1))))</f>
        <v/>
      </c>
      <c r="V269" s="29" t="str">
        <f aca="false">IF(OR(G269="",H269=""),"",ROUND(P269*Settings!$C$10*U269,0))</f>
        <v/>
      </c>
      <c r="W269" s="28" t="str">
        <f aca="false">IF(OR(G269="",H269=""),"",IF(OR(P269=0,R269=""),0,IF(IF(S269="",Settings!$C$9,S269)&lt;=Q269,0,((YEAR(IF(S269="",Settings!$C$9,S269))-YEAR(R269))*12+MONTH(IF(S269="",Settings!$C$9,S269))-MONTH(R269)+1))))</f>
        <v/>
      </c>
      <c r="X269" s="29" t="str">
        <f aca="false">IF(OR(G269="",H269=""),"",ROUND(P269*Settings!$C$11*W269,0))</f>
        <v/>
      </c>
      <c r="Y269" s="29" t="str">
        <f aca="false">IF(OR(G269="",H269=""),"",V269+X269)</f>
        <v/>
      </c>
      <c r="Z269" s="7" t="str">
        <f aca="false">IF(OR(G269="",H269=""),"",IF(P269=0,"Below threshold",IF(R269="","Not yet deducted",IF(S269="",IF(Settings!$C$9&gt;Q269,"Overdue — pay now","Deducted, due "&amp;TEXT(Q269,"dd-mmm")),IF(S269&lt;=Q269,IF(N(U269)&gt;0,"Deducted late, paid on time","Paid on time"),"Paid late")))))</f>
        <v/>
      </c>
      <c r="AA269" s="35" t="str">
        <f aca="false">IF(OR(G269="",H269=""),"",IF(D269&lt;&gt;"",UPPER(TRIM(D269)),UPPER(TRIM(C269))))</f>
        <v/>
      </c>
    </row>
    <row r="270" customFormat="false" ht="15" hidden="false" customHeight="false" outlineLevel="0" collapsed="false">
      <c r="B270" s="17"/>
      <c r="C270" s="5"/>
      <c r="D270" s="5"/>
      <c r="E270" s="5"/>
      <c r="F270" s="5"/>
      <c r="G270" s="5"/>
      <c r="H270" s="16"/>
      <c r="I270" s="7" t="str">
        <f aca="false">IF(OR(G270="",H270=""),"",IFERROR(INDEX('TDS Rates'!$D$6:$D$40,MATCH(G270,'TDS Rates'!$B$6:$B$40,0)),"Check nature"))</f>
        <v/>
      </c>
      <c r="J270" s="7" t="str">
        <f aca="false">IF(OR(G270="",H270=""),"",IFERROR(INDEX('TDS Rates'!$C$6:$C$40,MATCH(G270,'TDS Rates'!$B$6:$B$40,0)),""))</f>
        <v/>
      </c>
      <c r="K270" s="7" t="str">
        <f aca="false">IF(OR(G270="",H270=""),"",IFERROR(INDEX('TDS Rates'!$E$6:$E$40,MATCH(G270,'TDS Rates'!$B$6:$B$40,0)),""))</f>
        <v/>
      </c>
      <c r="L270" s="29" t="str">
        <f aca="false">IF(OR(G270="",H270=""),"",SUMIFS(H$6:H269,AA$6:AA269,AA270,G$6:G269,G270))</f>
        <v/>
      </c>
      <c r="M270" s="29" t="str">
        <f aca="false">IF(OR(G270="",H270=""),"",SUMIFS(H$6:H269,AA$6:AA269,AA270,G$6:G269,G270,N$6:N269,0))</f>
        <v/>
      </c>
      <c r="N270" s="29" t="str">
        <f aca="false">IF(OR(G270="",H270=""),"",IFERROR(IF(INDEX('TDS Rates'!$F$6:$F$40,MATCH(G270,'TDS Rates'!$B$6:$B$40,0))="NONE",H270,IF(INDEX('TDS Rates'!$F$6:$F$40,MATCH(G270,'TDS Rates'!$B$6:$B$40,0))="PER",IF(H270&gt;INDEX('TDS Rates'!$G$6:$G$40,MATCH(G270,'TDS Rates'!$B$6:$B$40,0)),H270,0),IF(INDEX('TDS Rates'!$F$6:$F$40,MATCH(G270,'TDS Rates'!$B$6:$B$40,0))="EXCESS",MAX(0,L270+H270-INDEX('TDS Rates'!$H$6:$H$40,MATCH(G270,'TDS Rates'!$B$6:$B$40,0)))-MAX(0,L270-INDEX('TDS Rates'!$H$6:$H$40,MATCH(G270,'TDS Rates'!$B$6:$B$40,0))),IF(INDEX('TDS Rates'!$F$6:$F$40,MATCH(G270,'TDS Rates'!$B$6:$B$40,0))="SA",IF(L270+H270&gt;INDEX('TDS Rates'!$H$6:$H$40,MATCH(G270,'TDS Rates'!$B$6:$B$40,0)),H270+M270,IF(H270&gt;INDEX('TDS Rates'!$G$6:$G$40,MATCH(G270,'TDS Rates'!$B$6:$B$40,0)),H270,0)),IF(L270+H270&gt;INDEX('TDS Rates'!$H$6:$H$40,MATCH(G270,'TDS Rates'!$B$6:$B$40,0)),H270+M270,0))))),0))</f>
        <v/>
      </c>
      <c r="O270" s="33" t="str">
        <f aca="false">IF(OR(G270="",H270=""),"",IFERROR(IF(F270="No",IF(INDEX('TDS Rates'!$C$6:$C$40,MATCH(G270,'TDS Rates'!$B$6:$B$40,0))="194Q",Settings!$C$14,MAX(Settings!$C$13,IF(E270="Individual / HUF",INDEX('TDS Rates'!$I$6:$I$40,MATCH(G270,'TDS Rates'!$B$6:$B$40,0)),IF(E270="Company",INDEX('TDS Rates'!$J$6:$J$40,MATCH(G270,'TDS Rates'!$B$6:$B$40,0)),INDEX('TDS Rates'!$K$6:$K$40,MATCH(G270,'TDS Rates'!$B$6:$B$40,0)))))),IF(E270="Individual / HUF",INDEX('TDS Rates'!$I$6:$I$40,MATCH(G270,'TDS Rates'!$B$6:$B$40,0)),IF(E270="Company",INDEX('TDS Rates'!$J$6:$J$40,MATCH(G270,'TDS Rates'!$B$6:$B$40,0)),INDEX('TDS Rates'!$K$6:$K$40,MATCH(G270,'TDS Rates'!$B$6:$B$40,0))))),0))</f>
        <v/>
      </c>
      <c r="P270" s="34" t="str">
        <f aca="false">IF(OR(G270="",H270=""),"",ROUND(N270*O270,0))</f>
        <v/>
      </c>
      <c r="Q270" s="27" t="str">
        <f aca="false">IF(OR(G270="",H270=""),"",IFERROR(IF(INDEX('TDS Rates'!$E$6:$E$40,MATCH(G270,'TDS Rates'!$B$6:$B$40,0))="Form 141",EOMONTH(IF(R270="",B270,R270),0)+30,IF(MONTH(IF(R270="",B270,R270))=3,DATE(YEAR(IF(R270="",B270,R270)),4,30),DATE(YEAR(IF(R270="",B270,R270)),MONTH(IF(R270="",B270,R270))+1,7))),""))</f>
        <v/>
      </c>
      <c r="R270" s="17"/>
      <c r="S270" s="17"/>
      <c r="T270" s="5"/>
      <c r="U270" s="28" t="str">
        <f aca="false">IF(OR(G270="",H270=""),"",IF(P270=0,0,IF(IF(R270="",Settings!$C$9,R270)&lt;=B270,0,((YEAR(IF(R270="",Settings!$C$9,R270))-YEAR(B270))*12+MONTH(IF(R270="",Settings!$C$9,R270))-MONTH(B270)+1))))</f>
        <v/>
      </c>
      <c r="V270" s="29" t="str">
        <f aca="false">IF(OR(G270="",H270=""),"",ROUND(P270*Settings!$C$10*U270,0))</f>
        <v/>
      </c>
      <c r="W270" s="28" t="str">
        <f aca="false">IF(OR(G270="",H270=""),"",IF(OR(P270=0,R270=""),0,IF(IF(S270="",Settings!$C$9,S270)&lt;=Q270,0,((YEAR(IF(S270="",Settings!$C$9,S270))-YEAR(R270))*12+MONTH(IF(S270="",Settings!$C$9,S270))-MONTH(R270)+1))))</f>
        <v/>
      </c>
      <c r="X270" s="29" t="str">
        <f aca="false">IF(OR(G270="",H270=""),"",ROUND(P270*Settings!$C$11*W270,0))</f>
        <v/>
      </c>
      <c r="Y270" s="29" t="str">
        <f aca="false">IF(OR(G270="",H270=""),"",V270+X270)</f>
        <v/>
      </c>
      <c r="Z270" s="7" t="str">
        <f aca="false">IF(OR(G270="",H270=""),"",IF(P270=0,"Below threshold",IF(R270="","Not yet deducted",IF(S270="",IF(Settings!$C$9&gt;Q270,"Overdue — pay now","Deducted, due "&amp;TEXT(Q270,"dd-mmm")),IF(S270&lt;=Q270,IF(N(U270)&gt;0,"Deducted late, paid on time","Paid on time"),"Paid late")))))</f>
        <v/>
      </c>
      <c r="AA270" s="35" t="str">
        <f aca="false">IF(OR(G270="",H270=""),"",IF(D270&lt;&gt;"",UPPER(TRIM(D270)),UPPER(TRIM(C270))))</f>
        <v/>
      </c>
    </row>
    <row r="271" customFormat="false" ht="15" hidden="false" customHeight="false" outlineLevel="0" collapsed="false">
      <c r="B271" s="17"/>
      <c r="C271" s="5"/>
      <c r="D271" s="5"/>
      <c r="E271" s="5"/>
      <c r="F271" s="5"/>
      <c r="G271" s="5"/>
      <c r="H271" s="16"/>
      <c r="I271" s="7" t="str">
        <f aca="false">IF(OR(G271="",H271=""),"",IFERROR(INDEX('TDS Rates'!$D$6:$D$40,MATCH(G271,'TDS Rates'!$B$6:$B$40,0)),"Check nature"))</f>
        <v/>
      </c>
      <c r="J271" s="7" t="str">
        <f aca="false">IF(OR(G271="",H271=""),"",IFERROR(INDEX('TDS Rates'!$C$6:$C$40,MATCH(G271,'TDS Rates'!$B$6:$B$40,0)),""))</f>
        <v/>
      </c>
      <c r="K271" s="7" t="str">
        <f aca="false">IF(OR(G271="",H271=""),"",IFERROR(INDEX('TDS Rates'!$E$6:$E$40,MATCH(G271,'TDS Rates'!$B$6:$B$40,0)),""))</f>
        <v/>
      </c>
      <c r="L271" s="29" t="str">
        <f aca="false">IF(OR(G271="",H271=""),"",SUMIFS(H$6:H270,AA$6:AA270,AA271,G$6:G270,G271))</f>
        <v/>
      </c>
      <c r="M271" s="29" t="str">
        <f aca="false">IF(OR(G271="",H271=""),"",SUMIFS(H$6:H270,AA$6:AA270,AA271,G$6:G270,G271,N$6:N270,0))</f>
        <v/>
      </c>
      <c r="N271" s="29" t="str">
        <f aca="false">IF(OR(G271="",H271=""),"",IFERROR(IF(INDEX('TDS Rates'!$F$6:$F$40,MATCH(G271,'TDS Rates'!$B$6:$B$40,0))="NONE",H271,IF(INDEX('TDS Rates'!$F$6:$F$40,MATCH(G271,'TDS Rates'!$B$6:$B$40,0))="PER",IF(H271&gt;INDEX('TDS Rates'!$G$6:$G$40,MATCH(G271,'TDS Rates'!$B$6:$B$40,0)),H271,0),IF(INDEX('TDS Rates'!$F$6:$F$40,MATCH(G271,'TDS Rates'!$B$6:$B$40,0))="EXCESS",MAX(0,L271+H271-INDEX('TDS Rates'!$H$6:$H$40,MATCH(G271,'TDS Rates'!$B$6:$B$40,0)))-MAX(0,L271-INDEX('TDS Rates'!$H$6:$H$40,MATCH(G271,'TDS Rates'!$B$6:$B$40,0))),IF(INDEX('TDS Rates'!$F$6:$F$40,MATCH(G271,'TDS Rates'!$B$6:$B$40,0))="SA",IF(L271+H271&gt;INDEX('TDS Rates'!$H$6:$H$40,MATCH(G271,'TDS Rates'!$B$6:$B$40,0)),H271+M271,IF(H271&gt;INDEX('TDS Rates'!$G$6:$G$40,MATCH(G271,'TDS Rates'!$B$6:$B$40,0)),H271,0)),IF(L271+H271&gt;INDEX('TDS Rates'!$H$6:$H$40,MATCH(G271,'TDS Rates'!$B$6:$B$40,0)),H271+M271,0))))),0))</f>
        <v/>
      </c>
      <c r="O271" s="33" t="str">
        <f aca="false">IF(OR(G271="",H271=""),"",IFERROR(IF(F271="No",IF(INDEX('TDS Rates'!$C$6:$C$40,MATCH(G271,'TDS Rates'!$B$6:$B$40,0))="194Q",Settings!$C$14,MAX(Settings!$C$13,IF(E271="Individual / HUF",INDEX('TDS Rates'!$I$6:$I$40,MATCH(G271,'TDS Rates'!$B$6:$B$40,0)),IF(E271="Company",INDEX('TDS Rates'!$J$6:$J$40,MATCH(G271,'TDS Rates'!$B$6:$B$40,0)),INDEX('TDS Rates'!$K$6:$K$40,MATCH(G271,'TDS Rates'!$B$6:$B$40,0)))))),IF(E271="Individual / HUF",INDEX('TDS Rates'!$I$6:$I$40,MATCH(G271,'TDS Rates'!$B$6:$B$40,0)),IF(E271="Company",INDEX('TDS Rates'!$J$6:$J$40,MATCH(G271,'TDS Rates'!$B$6:$B$40,0)),INDEX('TDS Rates'!$K$6:$K$40,MATCH(G271,'TDS Rates'!$B$6:$B$40,0))))),0))</f>
        <v/>
      </c>
      <c r="P271" s="34" t="str">
        <f aca="false">IF(OR(G271="",H271=""),"",ROUND(N271*O271,0))</f>
        <v/>
      </c>
      <c r="Q271" s="27" t="str">
        <f aca="false">IF(OR(G271="",H271=""),"",IFERROR(IF(INDEX('TDS Rates'!$E$6:$E$40,MATCH(G271,'TDS Rates'!$B$6:$B$40,0))="Form 141",EOMONTH(IF(R271="",B271,R271),0)+30,IF(MONTH(IF(R271="",B271,R271))=3,DATE(YEAR(IF(R271="",B271,R271)),4,30),DATE(YEAR(IF(R271="",B271,R271)),MONTH(IF(R271="",B271,R271))+1,7))),""))</f>
        <v/>
      </c>
      <c r="R271" s="17"/>
      <c r="S271" s="17"/>
      <c r="T271" s="5"/>
      <c r="U271" s="28" t="str">
        <f aca="false">IF(OR(G271="",H271=""),"",IF(P271=0,0,IF(IF(R271="",Settings!$C$9,R271)&lt;=B271,0,((YEAR(IF(R271="",Settings!$C$9,R271))-YEAR(B271))*12+MONTH(IF(R271="",Settings!$C$9,R271))-MONTH(B271)+1))))</f>
        <v/>
      </c>
      <c r="V271" s="29" t="str">
        <f aca="false">IF(OR(G271="",H271=""),"",ROUND(P271*Settings!$C$10*U271,0))</f>
        <v/>
      </c>
      <c r="W271" s="28" t="str">
        <f aca="false">IF(OR(G271="",H271=""),"",IF(OR(P271=0,R271=""),0,IF(IF(S271="",Settings!$C$9,S271)&lt;=Q271,0,((YEAR(IF(S271="",Settings!$C$9,S271))-YEAR(R271))*12+MONTH(IF(S271="",Settings!$C$9,S271))-MONTH(R271)+1))))</f>
        <v/>
      </c>
      <c r="X271" s="29" t="str">
        <f aca="false">IF(OR(G271="",H271=""),"",ROUND(P271*Settings!$C$11*W271,0))</f>
        <v/>
      </c>
      <c r="Y271" s="29" t="str">
        <f aca="false">IF(OR(G271="",H271=""),"",V271+X271)</f>
        <v/>
      </c>
      <c r="Z271" s="7" t="str">
        <f aca="false">IF(OR(G271="",H271=""),"",IF(P271=0,"Below threshold",IF(R271="","Not yet deducted",IF(S271="",IF(Settings!$C$9&gt;Q271,"Overdue — pay now","Deducted, due "&amp;TEXT(Q271,"dd-mmm")),IF(S271&lt;=Q271,IF(N(U271)&gt;0,"Deducted late, paid on time","Paid on time"),"Paid late")))))</f>
        <v/>
      </c>
      <c r="AA271" s="35" t="str">
        <f aca="false">IF(OR(G271="",H271=""),"",IF(D271&lt;&gt;"",UPPER(TRIM(D271)),UPPER(TRIM(C271))))</f>
        <v/>
      </c>
    </row>
    <row r="272" customFormat="false" ht="15" hidden="false" customHeight="false" outlineLevel="0" collapsed="false">
      <c r="B272" s="17"/>
      <c r="C272" s="5"/>
      <c r="D272" s="5"/>
      <c r="E272" s="5"/>
      <c r="F272" s="5"/>
      <c r="G272" s="5"/>
      <c r="H272" s="16"/>
      <c r="I272" s="7" t="str">
        <f aca="false">IF(OR(G272="",H272=""),"",IFERROR(INDEX('TDS Rates'!$D$6:$D$40,MATCH(G272,'TDS Rates'!$B$6:$B$40,0)),"Check nature"))</f>
        <v/>
      </c>
      <c r="J272" s="7" t="str">
        <f aca="false">IF(OR(G272="",H272=""),"",IFERROR(INDEX('TDS Rates'!$C$6:$C$40,MATCH(G272,'TDS Rates'!$B$6:$B$40,0)),""))</f>
        <v/>
      </c>
      <c r="K272" s="7" t="str">
        <f aca="false">IF(OR(G272="",H272=""),"",IFERROR(INDEX('TDS Rates'!$E$6:$E$40,MATCH(G272,'TDS Rates'!$B$6:$B$40,0)),""))</f>
        <v/>
      </c>
      <c r="L272" s="29" t="str">
        <f aca="false">IF(OR(G272="",H272=""),"",SUMIFS(H$6:H271,AA$6:AA271,AA272,G$6:G271,G272))</f>
        <v/>
      </c>
      <c r="M272" s="29" t="str">
        <f aca="false">IF(OR(G272="",H272=""),"",SUMIFS(H$6:H271,AA$6:AA271,AA272,G$6:G271,G272,N$6:N271,0))</f>
        <v/>
      </c>
      <c r="N272" s="29" t="str">
        <f aca="false">IF(OR(G272="",H272=""),"",IFERROR(IF(INDEX('TDS Rates'!$F$6:$F$40,MATCH(G272,'TDS Rates'!$B$6:$B$40,0))="NONE",H272,IF(INDEX('TDS Rates'!$F$6:$F$40,MATCH(G272,'TDS Rates'!$B$6:$B$40,0))="PER",IF(H272&gt;INDEX('TDS Rates'!$G$6:$G$40,MATCH(G272,'TDS Rates'!$B$6:$B$40,0)),H272,0),IF(INDEX('TDS Rates'!$F$6:$F$40,MATCH(G272,'TDS Rates'!$B$6:$B$40,0))="EXCESS",MAX(0,L272+H272-INDEX('TDS Rates'!$H$6:$H$40,MATCH(G272,'TDS Rates'!$B$6:$B$40,0)))-MAX(0,L272-INDEX('TDS Rates'!$H$6:$H$40,MATCH(G272,'TDS Rates'!$B$6:$B$40,0))),IF(INDEX('TDS Rates'!$F$6:$F$40,MATCH(G272,'TDS Rates'!$B$6:$B$40,0))="SA",IF(L272+H272&gt;INDEX('TDS Rates'!$H$6:$H$40,MATCH(G272,'TDS Rates'!$B$6:$B$40,0)),H272+M272,IF(H272&gt;INDEX('TDS Rates'!$G$6:$G$40,MATCH(G272,'TDS Rates'!$B$6:$B$40,0)),H272,0)),IF(L272+H272&gt;INDEX('TDS Rates'!$H$6:$H$40,MATCH(G272,'TDS Rates'!$B$6:$B$40,0)),H272+M272,0))))),0))</f>
        <v/>
      </c>
      <c r="O272" s="33" t="str">
        <f aca="false">IF(OR(G272="",H272=""),"",IFERROR(IF(F272="No",IF(INDEX('TDS Rates'!$C$6:$C$40,MATCH(G272,'TDS Rates'!$B$6:$B$40,0))="194Q",Settings!$C$14,MAX(Settings!$C$13,IF(E272="Individual / HUF",INDEX('TDS Rates'!$I$6:$I$40,MATCH(G272,'TDS Rates'!$B$6:$B$40,0)),IF(E272="Company",INDEX('TDS Rates'!$J$6:$J$40,MATCH(G272,'TDS Rates'!$B$6:$B$40,0)),INDEX('TDS Rates'!$K$6:$K$40,MATCH(G272,'TDS Rates'!$B$6:$B$40,0)))))),IF(E272="Individual / HUF",INDEX('TDS Rates'!$I$6:$I$40,MATCH(G272,'TDS Rates'!$B$6:$B$40,0)),IF(E272="Company",INDEX('TDS Rates'!$J$6:$J$40,MATCH(G272,'TDS Rates'!$B$6:$B$40,0)),INDEX('TDS Rates'!$K$6:$K$40,MATCH(G272,'TDS Rates'!$B$6:$B$40,0))))),0))</f>
        <v/>
      </c>
      <c r="P272" s="34" t="str">
        <f aca="false">IF(OR(G272="",H272=""),"",ROUND(N272*O272,0))</f>
        <v/>
      </c>
      <c r="Q272" s="27" t="str">
        <f aca="false">IF(OR(G272="",H272=""),"",IFERROR(IF(INDEX('TDS Rates'!$E$6:$E$40,MATCH(G272,'TDS Rates'!$B$6:$B$40,0))="Form 141",EOMONTH(IF(R272="",B272,R272),0)+30,IF(MONTH(IF(R272="",B272,R272))=3,DATE(YEAR(IF(R272="",B272,R272)),4,30),DATE(YEAR(IF(R272="",B272,R272)),MONTH(IF(R272="",B272,R272))+1,7))),""))</f>
        <v/>
      </c>
      <c r="R272" s="17"/>
      <c r="S272" s="17"/>
      <c r="T272" s="5"/>
      <c r="U272" s="28" t="str">
        <f aca="false">IF(OR(G272="",H272=""),"",IF(P272=0,0,IF(IF(R272="",Settings!$C$9,R272)&lt;=B272,0,((YEAR(IF(R272="",Settings!$C$9,R272))-YEAR(B272))*12+MONTH(IF(R272="",Settings!$C$9,R272))-MONTH(B272)+1))))</f>
        <v/>
      </c>
      <c r="V272" s="29" t="str">
        <f aca="false">IF(OR(G272="",H272=""),"",ROUND(P272*Settings!$C$10*U272,0))</f>
        <v/>
      </c>
      <c r="W272" s="28" t="str">
        <f aca="false">IF(OR(G272="",H272=""),"",IF(OR(P272=0,R272=""),0,IF(IF(S272="",Settings!$C$9,S272)&lt;=Q272,0,((YEAR(IF(S272="",Settings!$C$9,S272))-YEAR(R272))*12+MONTH(IF(S272="",Settings!$C$9,S272))-MONTH(R272)+1))))</f>
        <v/>
      </c>
      <c r="X272" s="29" t="str">
        <f aca="false">IF(OR(G272="",H272=""),"",ROUND(P272*Settings!$C$11*W272,0))</f>
        <v/>
      </c>
      <c r="Y272" s="29" t="str">
        <f aca="false">IF(OR(G272="",H272=""),"",V272+X272)</f>
        <v/>
      </c>
      <c r="Z272" s="7" t="str">
        <f aca="false">IF(OR(G272="",H272=""),"",IF(P272=0,"Below threshold",IF(R272="","Not yet deducted",IF(S272="",IF(Settings!$C$9&gt;Q272,"Overdue — pay now","Deducted, due "&amp;TEXT(Q272,"dd-mmm")),IF(S272&lt;=Q272,IF(N(U272)&gt;0,"Deducted late, paid on time","Paid on time"),"Paid late")))))</f>
        <v/>
      </c>
      <c r="AA272" s="35" t="str">
        <f aca="false">IF(OR(G272="",H272=""),"",IF(D272&lt;&gt;"",UPPER(TRIM(D272)),UPPER(TRIM(C272))))</f>
        <v/>
      </c>
    </row>
    <row r="273" customFormat="false" ht="15" hidden="false" customHeight="false" outlineLevel="0" collapsed="false">
      <c r="B273" s="17"/>
      <c r="C273" s="5"/>
      <c r="D273" s="5"/>
      <c r="E273" s="5"/>
      <c r="F273" s="5"/>
      <c r="G273" s="5"/>
      <c r="H273" s="16"/>
      <c r="I273" s="7" t="str">
        <f aca="false">IF(OR(G273="",H273=""),"",IFERROR(INDEX('TDS Rates'!$D$6:$D$40,MATCH(G273,'TDS Rates'!$B$6:$B$40,0)),"Check nature"))</f>
        <v/>
      </c>
      <c r="J273" s="7" t="str">
        <f aca="false">IF(OR(G273="",H273=""),"",IFERROR(INDEX('TDS Rates'!$C$6:$C$40,MATCH(G273,'TDS Rates'!$B$6:$B$40,0)),""))</f>
        <v/>
      </c>
      <c r="K273" s="7" t="str">
        <f aca="false">IF(OR(G273="",H273=""),"",IFERROR(INDEX('TDS Rates'!$E$6:$E$40,MATCH(G273,'TDS Rates'!$B$6:$B$40,0)),""))</f>
        <v/>
      </c>
      <c r="L273" s="29" t="str">
        <f aca="false">IF(OR(G273="",H273=""),"",SUMIFS(H$6:H272,AA$6:AA272,AA273,G$6:G272,G273))</f>
        <v/>
      </c>
      <c r="M273" s="29" t="str">
        <f aca="false">IF(OR(G273="",H273=""),"",SUMIFS(H$6:H272,AA$6:AA272,AA273,G$6:G272,G273,N$6:N272,0))</f>
        <v/>
      </c>
      <c r="N273" s="29" t="str">
        <f aca="false">IF(OR(G273="",H273=""),"",IFERROR(IF(INDEX('TDS Rates'!$F$6:$F$40,MATCH(G273,'TDS Rates'!$B$6:$B$40,0))="NONE",H273,IF(INDEX('TDS Rates'!$F$6:$F$40,MATCH(G273,'TDS Rates'!$B$6:$B$40,0))="PER",IF(H273&gt;INDEX('TDS Rates'!$G$6:$G$40,MATCH(G273,'TDS Rates'!$B$6:$B$40,0)),H273,0),IF(INDEX('TDS Rates'!$F$6:$F$40,MATCH(G273,'TDS Rates'!$B$6:$B$40,0))="EXCESS",MAX(0,L273+H273-INDEX('TDS Rates'!$H$6:$H$40,MATCH(G273,'TDS Rates'!$B$6:$B$40,0)))-MAX(0,L273-INDEX('TDS Rates'!$H$6:$H$40,MATCH(G273,'TDS Rates'!$B$6:$B$40,0))),IF(INDEX('TDS Rates'!$F$6:$F$40,MATCH(G273,'TDS Rates'!$B$6:$B$40,0))="SA",IF(L273+H273&gt;INDEX('TDS Rates'!$H$6:$H$40,MATCH(G273,'TDS Rates'!$B$6:$B$40,0)),H273+M273,IF(H273&gt;INDEX('TDS Rates'!$G$6:$G$40,MATCH(G273,'TDS Rates'!$B$6:$B$40,0)),H273,0)),IF(L273+H273&gt;INDEX('TDS Rates'!$H$6:$H$40,MATCH(G273,'TDS Rates'!$B$6:$B$40,0)),H273+M273,0))))),0))</f>
        <v/>
      </c>
      <c r="O273" s="33" t="str">
        <f aca="false">IF(OR(G273="",H273=""),"",IFERROR(IF(F273="No",IF(INDEX('TDS Rates'!$C$6:$C$40,MATCH(G273,'TDS Rates'!$B$6:$B$40,0))="194Q",Settings!$C$14,MAX(Settings!$C$13,IF(E273="Individual / HUF",INDEX('TDS Rates'!$I$6:$I$40,MATCH(G273,'TDS Rates'!$B$6:$B$40,0)),IF(E273="Company",INDEX('TDS Rates'!$J$6:$J$40,MATCH(G273,'TDS Rates'!$B$6:$B$40,0)),INDEX('TDS Rates'!$K$6:$K$40,MATCH(G273,'TDS Rates'!$B$6:$B$40,0)))))),IF(E273="Individual / HUF",INDEX('TDS Rates'!$I$6:$I$40,MATCH(G273,'TDS Rates'!$B$6:$B$40,0)),IF(E273="Company",INDEX('TDS Rates'!$J$6:$J$40,MATCH(G273,'TDS Rates'!$B$6:$B$40,0)),INDEX('TDS Rates'!$K$6:$K$40,MATCH(G273,'TDS Rates'!$B$6:$B$40,0))))),0))</f>
        <v/>
      </c>
      <c r="P273" s="34" t="str">
        <f aca="false">IF(OR(G273="",H273=""),"",ROUND(N273*O273,0))</f>
        <v/>
      </c>
      <c r="Q273" s="27" t="str">
        <f aca="false">IF(OR(G273="",H273=""),"",IFERROR(IF(INDEX('TDS Rates'!$E$6:$E$40,MATCH(G273,'TDS Rates'!$B$6:$B$40,0))="Form 141",EOMONTH(IF(R273="",B273,R273),0)+30,IF(MONTH(IF(R273="",B273,R273))=3,DATE(YEAR(IF(R273="",B273,R273)),4,30),DATE(YEAR(IF(R273="",B273,R273)),MONTH(IF(R273="",B273,R273))+1,7))),""))</f>
        <v/>
      </c>
      <c r="R273" s="17"/>
      <c r="S273" s="17"/>
      <c r="T273" s="5"/>
      <c r="U273" s="28" t="str">
        <f aca="false">IF(OR(G273="",H273=""),"",IF(P273=0,0,IF(IF(R273="",Settings!$C$9,R273)&lt;=B273,0,((YEAR(IF(R273="",Settings!$C$9,R273))-YEAR(B273))*12+MONTH(IF(R273="",Settings!$C$9,R273))-MONTH(B273)+1))))</f>
        <v/>
      </c>
      <c r="V273" s="29" t="str">
        <f aca="false">IF(OR(G273="",H273=""),"",ROUND(P273*Settings!$C$10*U273,0))</f>
        <v/>
      </c>
      <c r="W273" s="28" t="str">
        <f aca="false">IF(OR(G273="",H273=""),"",IF(OR(P273=0,R273=""),0,IF(IF(S273="",Settings!$C$9,S273)&lt;=Q273,0,((YEAR(IF(S273="",Settings!$C$9,S273))-YEAR(R273))*12+MONTH(IF(S273="",Settings!$C$9,S273))-MONTH(R273)+1))))</f>
        <v/>
      </c>
      <c r="X273" s="29" t="str">
        <f aca="false">IF(OR(G273="",H273=""),"",ROUND(P273*Settings!$C$11*W273,0))</f>
        <v/>
      </c>
      <c r="Y273" s="29" t="str">
        <f aca="false">IF(OR(G273="",H273=""),"",V273+X273)</f>
        <v/>
      </c>
      <c r="Z273" s="7" t="str">
        <f aca="false">IF(OR(G273="",H273=""),"",IF(P273=0,"Below threshold",IF(R273="","Not yet deducted",IF(S273="",IF(Settings!$C$9&gt;Q273,"Overdue — pay now","Deducted, due "&amp;TEXT(Q273,"dd-mmm")),IF(S273&lt;=Q273,IF(N(U273)&gt;0,"Deducted late, paid on time","Paid on time"),"Paid late")))))</f>
        <v/>
      </c>
      <c r="AA273" s="35" t="str">
        <f aca="false">IF(OR(G273="",H273=""),"",IF(D273&lt;&gt;"",UPPER(TRIM(D273)),UPPER(TRIM(C273))))</f>
        <v/>
      </c>
    </row>
    <row r="274" customFormat="false" ht="15" hidden="false" customHeight="false" outlineLevel="0" collapsed="false">
      <c r="B274" s="17"/>
      <c r="C274" s="5"/>
      <c r="D274" s="5"/>
      <c r="E274" s="5"/>
      <c r="F274" s="5"/>
      <c r="G274" s="5"/>
      <c r="H274" s="16"/>
      <c r="I274" s="7" t="str">
        <f aca="false">IF(OR(G274="",H274=""),"",IFERROR(INDEX('TDS Rates'!$D$6:$D$40,MATCH(G274,'TDS Rates'!$B$6:$B$40,0)),"Check nature"))</f>
        <v/>
      </c>
      <c r="J274" s="7" t="str">
        <f aca="false">IF(OR(G274="",H274=""),"",IFERROR(INDEX('TDS Rates'!$C$6:$C$40,MATCH(G274,'TDS Rates'!$B$6:$B$40,0)),""))</f>
        <v/>
      </c>
      <c r="K274" s="7" t="str">
        <f aca="false">IF(OR(G274="",H274=""),"",IFERROR(INDEX('TDS Rates'!$E$6:$E$40,MATCH(G274,'TDS Rates'!$B$6:$B$40,0)),""))</f>
        <v/>
      </c>
      <c r="L274" s="29" t="str">
        <f aca="false">IF(OR(G274="",H274=""),"",SUMIFS(H$6:H273,AA$6:AA273,AA274,G$6:G273,G274))</f>
        <v/>
      </c>
      <c r="M274" s="29" t="str">
        <f aca="false">IF(OR(G274="",H274=""),"",SUMIFS(H$6:H273,AA$6:AA273,AA274,G$6:G273,G274,N$6:N273,0))</f>
        <v/>
      </c>
      <c r="N274" s="29" t="str">
        <f aca="false">IF(OR(G274="",H274=""),"",IFERROR(IF(INDEX('TDS Rates'!$F$6:$F$40,MATCH(G274,'TDS Rates'!$B$6:$B$40,0))="NONE",H274,IF(INDEX('TDS Rates'!$F$6:$F$40,MATCH(G274,'TDS Rates'!$B$6:$B$40,0))="PER",IF(H274&gt;INDEX('TDS Rates'!$G$6:$G$40,MATCH(G274,'TDS Rates'!$B$6:$B$40,0)),H274,0),IF(INDEX('TDS Rates'!$F$6:$F$40,MATCH(G274,'TDS Rates'!$B$6:$B$40,0))="EXCESS",MAX(0,L274+H274-INDEX('TDS Rates'!$H$6:$H$40,MATCH(G274,'TDS Rates'!$B$6:$B$40,0)))-MAX(0,L274-INDEX('TDS Rates'!$H$6:$H$40,MATCH(G274,'TDS Rates'!$B$6:$B$40,0))),IF(INDEX('TDS Rates'!$F$6:$F$40,MATCH(G274,'TDS Rates'!$B$6:$B$40,0))="SA",IF(L274+H274&gt;INDEX('TDS Rates'!$H$6:$H$40,MATCH(G274,'TDS Rates'!$B$6:$B$40,0)),H274+M274,IF(H274&gt;INDEX('TDS Rates'!$G$6:$G$40,MATCH(G274,'TDS Rates'!$B$6:$B$40,0)),H274,0)),IF(L274+H274&gt;INDEX('TDS Rates'!$H$6:$H$40,MATCH(G274,'TDS Rates'!$B$6:$B$40,0)),H274+M274,0))))),0))</f>
        <v/>
      </c>
      <c r="O274" s="33" t="str">
        <f aca="false">IF(OR(G274="",H274=""),"",IFERROR(IF(F274="No",IF(INDEX('TDS Rates'!$C$6:$C$40,MATCH(G274,'TDS Rates'!$B$6:$B$40,0))="194Q",Settings!$C$14,MAX(Settings!$C$13,IF(E274="Individual / HUF",INDEX('TDS Rates'!$I$6:$I$40,MATCH(G274,'TDS Rates'!$B$6:$B$40,0)),IF(E274="Company",INDEX('TDS Rates'!$J$6:$J$40,MATCH(G274,'TDS Rates'!$B$6:$B$40,0)),INDEX('TDS Rates'!$K$6:$K$40,MATCH(G274,'TDS Rates'!$B$6:$B$40,0)))))),IF(E274="Individual / HUF",INDEX('TDS Rates'!$I$6:$I$40,MATCH(G274,'TDS Rates'!$B$6:$B$40,0)),IF(E274="Company",INDEX('TDS Rates'!$J$6:$J$40,MATCH(G274,'TDS Rates'!$B$6:$B$40,0)),INDEX('TDS Rates'!$K$6:$K$40,MATCH(G274,'TDS Rates'!$B$6:$B$40,0))))),0))</f>
        <v/>
      </c>
      <c r="P274" s="34" t="str">
        <f aca="false">IF(OR(G274="",H274=""),"",ROUND(N274*O274,0))</f>
        <v/>
      </c>
      <c r="Q274" s="27" t="str">
        <f aca="false">IF(OR(G274="",H274=""),"",IFERROR(IF(INDEX('TDS Rates'!$E$6:$E$40,MATCH(G274,'TDS Rates'!$B$6:$B$40,0))="Form 141",EOMONTH(IF(R274="",B274,R274),0)+30,IF(MONTH(IF(R274="",B274,R274))=3,DATE(YEAR(IF(R274="",B274,R274)),4,30),DATE(YEAR(IF(R274="",B274,R274)),MONTH(IF(R274="",B274,R274))+1,7))),""))</f>
        <v/>
      </c>
      <c r="R274" s="17"/>
      <c r="S274" s="17"/>
      <c r="T274" s="5"/>
      <c r="U274" s="28" t="str">
        <f aca="false">IF(OR(G274="",H274=""),"",IF(P274=0,0,IF(IF(R274="",Settings!$C$9,R274)&lt;=B274,0,((YEAR(IF(R274="",Settings!$C$9,R274))-YEAR(B274))*12+MONTH(IF(R274="",Settings!$C$9,R274))-MONTH(B274)+1))))</f>
        <v/>
      </c>
      <c r="V274" s="29" t="str">
        <f aca="false">IF(OR(G274="",H274=""),"",ROUND(P274*Settings!$C$10*U274,0))</f>
        <v/>
      </c>
      <c r="W274" s="28" t="str">
        <f aca="false">IF(OR(G274="",H274=""),"",IF(OR(P274=0,R274=""),0,IF(IF(S274="",Settings!$C$9,S274)&lt;=Q274,0,((YEAR(IF(S274="",Settings!$C$9,S274))-YEAR(R274))*12+MONTH(IF(S274="",Settings!$C$9,S274))-MONTH(R274)+1))))</f>
        <v/>
      </c>
      <c r="X274" s="29" t="str">
        <f aca="false">IF(OR(G274="",H274=""),"",ROUND(P274*Settings!$C$11*W274,0))</f>
        <v/>
      </c>
      <c r="Y274" s="29" t="str">
        <f aca="false">IF(OR(G274="",H274=""),"",V274+X274)</f>
        <v/>
      </c>
      <c r="Z274" s="7" t="str">
        <f aca="false">IF(OR(G274="",H274=""),"",IF(P274=0,"Below threshold",IF(R274="","Not yet deducted",IF(S274="",IF(Settings!$C$9&gt;Q274,"Overdue — pay now","Deducted, due "&amp;TEXT(Q274,"dd-mmm")),IF(S274&lt;=Q274,IF(N(U274)&gt;0,"Deducted late, paid on time","Paid on time"),"Paid late")))))</f>
        <v/>
      </c>
      <c r="AA274" s="35" t="str">
        <f aca="false">IF(OR(G274="",H274=""),"",IF(D274&lt;&gt;"",UPPER(TRIM(D274)),UPPER(TRIM(C274))))</f>
        <v/>
      </c>
    </row>
    <row r="275" customFormat="false" ht="15" hidden="false" customHeight="false" outlineLevel="0" collapsed="false">
      <c r="B275" s="17"/>
      <c r="C275" s="5"/>
      <c r="D275" s="5"/>
      <c r="E275" s="5"/>
      <c r="F275" s="5"/>
      <c r="G275" s="5"/>
      <c r="H275" s="16"/>
      <c r="I275" s="7" t="str">
        <f aca="false">IF(OR(G275="",H275=""),"",IFERROR(INDEX('TDS Rates'!$D$6:$D$40,MATCH(G275,'TDS Rates'!$B$6:$B$40,0)),"Check nature"))</f>
        <v/>
      </c>
      <c r="J275" s="7" t="str">
        <f aca="false">IF(OR(G275="",H275=""),"",IFERROR(INDEX('TDS Rates'!$C$6:$C$40,MATCH(G275,'TDS Rates'!$B$6:$B$40,0)),""))</f>
        <v/>
      </c>
      <c r="K275" s="7" t="str">
        <f aca="false">IF(OR(G275="",H275=""),"",IFERROR(INDEX('TDS Rates'!$E$6:$E$40,MATCH(G275,'TDS Rates'!$B$6:$B$40,0)),""))</f>
        <v/>
      </c>
      <c r="L275" s="29" t="str">
        <f aca="false">IF(OR(G275="",H275=""),"",SUMIFS(H$6:H274,AA$6:AA274,AA275,G$6:G274,G275))</f>
        <v/>
      </c>
      <c r="M275" s="29" t="str">
        <f aca="false">IF(OR(G275="",H275=""),"",SUMIFS(H$6:H274,AA$6:AA274,AA275,G$6:G274,G275,N$6:N274,0))</f>
        <v/>
      </c>
      <c r="N275" s="29" t="str">
        <f aca="false">IF(OR(G275="",H275=""),"",IFERROR(IF(INDEX('TDS Rates'!$F$6:$F$40,MATCH(G275,'TDS Rates'!$B$6:$B$40,0))="NONE",H275,IF(INDEX('TDS Rates'!$F$6:$F$40,MATCH(G275,'TDS Rates'!$B$6:$B$40,0))="PER",IF(H275&gt;INDEX('TDS Rates'!$G$6:$G$40,MATCH(G275,'TDS Rates'!$B$6:$B$40,0)),H275,0),IF(INDEX('TDS Rates'!$F$6:$F$40,MATCH(G275,'TDS Rates'!$B$6:$B$40,0))="EXCESS",MAX(0,L275+H275-INDEX('TDS Rates'!$H$6:$H$40,MATCH(G275,'TDS Rates'!$B$6:$B$40,0)))-MAX(0,L275-INDEX('TDS Rates'!$H$6:$H$40,MATCH(G275,'TDS Rates'!$B$6:$B$40,0))),IF(INDEX('TDS Rates'!$F$6:$F$40,MATCH(G275,'TDS Rates'!$B$6:$B$40,0))="SA",IF(L275+H275&gt;INDEX('TDS Rates'!$H$6:$H$40,MATCH(G275,'TDS Rates'!$B$6:$B$40,0)),H275+M275,IF(H275&gt;INDEX('TDS Rates'!$G$6:$G$40,MATCH(G275,'TDS Rates'!$B$6:$B$40,0)),H275,0)),IF(L275+H275&gt;INDEX('TDS Rates'!$H$6:$H$40,MATCH(G275,'TDS Rates'!$B$6:$B$40,0)),H275+M275,0))))),0))</f>
        <v/>
      </c>
      <c r="O275" s="33" t="str">
        <f aca="false">IF(OR(G275="",H275=""),"",IFERROR(IF(F275="No",IF(INDEX('TDS Rates'!$C$6:$C$40,MATCH(G275,'TDS Rates'!$B$6:$B$40,0))="194Q",Settings!$C$14,MAX(Settings!$C$13,IF(E275="Individual / HUF",INDEX('TDS Rates'!$I$6:$I$40,MATCH(G275,'TDS Rates'!$B$6:$B$40,0)),IF(E275="Company",INDEX('TDS Rates'!$J$6:$J$40,MATCH(G275,'TDS Rates'!$B$6:$B$40,0)),INDEX('TDS Rates'!$K$6:$K$40,MATCH(G275,'TDS Rates'!$B$6:$B$40,0)))))),IF(E275="Individual / HUF",INDEX('TDS Rates'!$I$6:$I$40,MATCH(G275,'TDS Rates'!$B$6:$B$40,0)),IF(E275="Company",INDEX('TDS Rates'!$J$6:$J$40,MATCH(G275,'TDS Rates'!$B$6:$B$40,0)),INDEX('TDS Rates'!$K$6:$K$40,MATCH(G275,'TDS Rates'!$B$6:$B$40,0))))),0))</f>
        <v/>
      </c>
      <c r="P275" s="34" t="str">
        <f aca="false">IF(OR(G275="",H275=""),"",ROUND(N275*O275,0))</f>
        <v/>
      </c>
      <c r="Q275" s="27" t="str">
        <f aca="false">IF(OR(G275="",H275=""),"",IFERROR(IF(INDEX('TDS Rates'!$E$6:$E$40,MATCH(G275,'TDS Rates'!$B$6:$B$40,0))="Form 141",EOMONTH(IF(R275="",B275,R275),0)+30,IF(MONTH(IF(R275="",B275,R275))=3,DATE(YEAR(IF(R275="",B275,R275)),4,30),DATE(YEAR(IF(R275="",B275,R275)),MONTH(IF(R275="",B275,R275))+1,7))),""))</f>
        <v/>
      </c>
      <c r="R275" s="17"/>
      <c r="S275" s="17"/>
      <c r="T275" s="5"/>
      <c r="U275" s="28" t="str">
        <f aca="false">IF(OR(G275="",H275=""),"",IF(P275=0,0,IF(IF(R275="",Settings!$C$9,R275)&lt;=B275,0,((YEAR(IF(R275="",Settings!$C$9,R275))-YEAR(B275))*12+MONTH(IF(R275="",Settings!$C$9,R275))-MONTH(B275)+1))))</f>
        <v/>
      </c>
      <c r="V275" s="29" t="str">
        <f aca="false">IF(OR(G275="",H275=""),"",ROUND(P275*Settings!$C$10*U275,0))</f>
        <v/>
      </c>
      <c r="W275" s="28" t="str">
        <f aca="false">IF(OR(G275="",H275=""),"",IF(OR(P275=0,R275=""),0,IF(IF(S275="",Settings!$C$9,S275)&lt;=Q275,0,((YEAR(IF(S275="",Settings!$C$9,S275))-YEAR(R275))*12+MONTH(IF(S275="",Settings!$C$9,S275))-MONTH(R275)+1))))</f>
        <v/>
      </c>
      <c r="X275" s="29" t="str">
        <f aca="false">IF(OR(G275="",H275=""),"",ROUND(P275*Settings!$C$11*W275,0))</f>
        <v/>
      </c>
      <c r="Y275" s="29" t="str">
        <f aca="false">IF(OR(G275="",H275=""),"",V275+X275)</f>
        <v/>
      </c>
      <c r="Z275" s="7" t="str">
        <f aca="false">IF(OR(G275="",H275=""),"",IF(P275=0,"Below threshold",IF(R275="","Not yet deducted",IF(S275="",IF(Settings!$C$9&gt;Q275,"Overdue — pay now","Deducted, due "&amp;TEXT(Q275,"dd-mmm")),IF(S275&lt;=Q275,IF(N(U275)&gt;0,"Deducted late, paid on time","Paid on time"),"Paid late")))))</f>
        <v/>
      </c>
      <c r="AA275" s="35" t="str">
        <f aca="false">IF(OR(G275="",H275=""),"",IF(D275&lt;&gt;"",UPPER(TRIM(D275)),UPPER(TRIM(C275))))</f>
        <v/>
      </c>
    </row>
    <row r="276" customFormat="false" ht="15" hidden="false" customHeight="false" outlineLevel="0" collapsed="false">
      <c r="B276" s="17"/>
      <c r="C276" s="5"/>
      <c r="D276" s="5"/>
      <c r="E276" s="5"/>
      <c r="F276" s="5"/>
      <c r="G276" s="5"/>
      <c r="H276" s="16"/>
      <c r="I276" s="7" t="str">
        <f aca="false">IF(OR(G276="",H276=""),"",IFERROR(INDEX('TDS Rates'!$D$6:$D$40,MATCH(G276,'TDS Rates'!$B$6:$B$40,0)),"Check nature"))</f>
        <v/>
      </c>
      <c r="J276" s="7" t="str">
        <f aca="false">IF(OR(G276="",H276=""),"",IFERROR(INDEX('TDS Rates'!$C$6:$C$40,MATCH(G276,'TDS Rates'!$B$6:$B$40,0)),""))</f>
        <v/>
      </c>
      <c r="K276" s="7" t="str">
        <f aca="false">IF(OR(G276="",H276=""),"",IFERROR(INDEX('TDS Rates'!$E$6:$E$40,MATCH(G276,'TDS Rates'!$B$6:$B$40,0)),""))</f>
        <v/>
      </c>
      <c r="L276" s="29" t="str">
        <f aca="false">IF(OR(G276="",H276=""),"",SUMIFS(H$6:H275,AA$6:AA275,AA276,G$6:G275,G276))</f>
        <v/>
      </c>
      <c r="M276" s="29" t="str">
        <f aca="false">IF(OR(G276="",H276=""),"",SUMIFS(H$6:H275,AA$6:AA275,AA276,G$6:G275,G276,N$6:N275,0))</f>
        <v/>
      </c>
      <c r="N276" s="29" t="str">
        <f aca="false">IF(OR(G276="",H276=""),"",IFERROR(IF(INDEX('TDS Rates'!$F$6:$F$40,MATCH(G276,'TDS Rates'!$B$6:$B$40,0))="NONE",H276,IF(INDEX('TDS Rates'!$F$6:$F$40,MATCH(G276,'TDS Rates'!$B$6:$B$40,0))="PER",IF(H276&gt;INDEX('TDS Rates'!$G$6:$G$40,MATCH(G276,'TDS Rates'!$B$6:$B$40,0)),H276,0),IF(INDEX('TDS Rates'!$F$6:$F$40,MATCH(G276,'TDS Rates'!$B$6:$B$40,0))="EXCESS",MAX(0,L276+H276-INDEX('TDS Rates'!$H$6:$H$40,MATCH(G276,'TDS Rates'!$B$6:$B$40,0)))-MAX(0,L276-INDEX('TDS Rates'!$H$6:$H$40,MATCH(G276,'TDS Rates'!$B$6:$B$40,0))),IF(INDEX('TDS Rates'!$F$6:$F$40,MATCH(G276,'TDS Rates'!$B$6:$B$40,0))="SA",IF(L276+H276&gt;INDEX('TDS Rates'!$H$6:$H$40,MATCH(G276,'TDS Rates'!$B$6:$B$40,0)),H276+M276,IF(H276&gt;INDEX('TDS Rates'!$G$6:$G$40,MATCH(G276,'TDS Rates'!$B$6:$B$40,0)),H276,0)),IF(L276+H276&gt;INDEX('TDS Rates'!$H$6:$H$40,MATCH(G276,'TDS Rates'!$B$6:$B$40,0)),H276+M276,0))))),0))</f>
        <v/>
      </c>
      <c r="O276" s="33" t="str">
        <f aca="false">IF(OR(G276="",H276=""),"",IFERROR(IF(F276="No",IF(INDEX('TDS Rates'!$C$6:$C$40,MATCH(G276,'TDS Rates'!$B$6:$B$40,0))="194Q",Settings!$C$14,MAX(Settings!$C$13,IF(E276="Individual / HUF",INDEX('TDS Rates'!$I$6:$I$40,MATCH(G276,'TDS Rates'!$B$6:$B$40,0)),IF(E276="Company",INDEX('TDS Rates'!$J$6:$J$40,MATCH(G276,'TDS Rates'!$B$6:$B$40,0)),INDEX('TDS Rates'!$K$6:$K$40,MATCH(G276,'TDS Rates'!$B$6:$B$40,0)))))),IF(E276="Individual / HUF",INDEX('TDS Rates'!$I$6:$I$40,MATCH(G276,'TDS Rates'!$B$6:$B$40,0)),IF(E276="Company",INDEX('TDS Rates'!$J$6:$J$40,MATCH(G276,'TDS Rates'!$B$6:$B$40,0)),INDEX('TDS Rates'!$K$6:$K$40,MATCH(G276,'TDS Rates'!$B$6:$B$40,0))))),0))</f>
        <v/>
      </c>
      <c r="P276" s="34" t="str">
        <f aca="false">IF(OR(G276="",H276=""),"",ROUND(N276*O276,0))</f>
        <v/>
      </c>
      <c r="Q276" s="27" t="str">
        <f aca="false">IF(OR(G276="",H276=""),"",IFERROR(IF(INDEX('TDS Rates'!$E$6:$E$40,MATCH(G276,'TDS Rates'!$B$6:$B$40,0))="Form 141",EOMONTH(IF(R276="",B276,R276),0)+30,IF(MONTH(IF(R276="",B276,R276))=3,DATE(YEAR(IF(R276="",B276,R276)),4,30),DATE(YEAR(IF(R276="",B276,R276)),MONTH(IF(R276="",B276,R276))+1,7))),""))</f>
        <v/>
      </c>
      <c r="R276" s="17"/>
      <c r="S276" s="17"/>
      <c r="T276" s="5"/>
      <c r="U276" s="28" t="str">
        <f aca="false">IF(OR(G276="",H276=""),"",IF(P276=0,0,IF(IF(R276="",Settings!$C$9,R276)&lt;=B276,0,((YEAR(IF(R276="",Settings!$C$9,R276))-YEAR(B276))*12+MONTH(IF(R276="",Settings!$C$9,R276))-MONTH(B276)+1))))</f>
        <v/>
      </c>
      <c r="V276" s="29" t="str">
        <f aca="false">IF(OR(G276="",H276=""),"",ROUND(P276*Settings!$C$10*U276,0))</f>
        <v/>
      </c>
      <c r="W276" s="28" t="str">
        <f aca="false">IF(OR(G276="",H276=""),"",IF(OR(P276=0,R276=""),0,IF(IF(S276="",Settings!$C$9,S276)&lt;=Q276,0,((YEAR(IF(S276="",Settings!$C$9,S276))-YEAR(R276))*12+MONTH(IF(S276="",Settings!$C$9,S276))-MONTH(R276)+1))))</f>
        <v/>
      </c>
      <c r="X276" s="29" t="str">
        <f aca="false">IF(OR(G276="",H276=""),"",ROUND(P276*Settings!$C$11*W276,0))</f>
        <v/>
      </c>
      <c r="Y276" s="29" t="str">
        <f aca="false">IF(OR(G276="",H276=""),"",V276+X276)</f>
        <v/>
      </c>
      <c r="Z276" s="7" t="str">
        <f aca="false">IF(OR(G276="",H276=""),"",IF(P276=0,"Below threshold",IF(R276="","Not yet deducted",IF(S276="",IF(Settings!$C$9&gt;Q276,"Overdue — pay now","Deducted, due "&amp;TEXT(Q276,"dd-mmm")),IF(S276&lt;=Q276,IF(N(U276)&gt;0,"Deducted late, paid on time","Paid on time"),"Paid late")))))</f>
        <v/>
      </c>
      <c r="AA276" s="35" t="str">
        <f aca="false">IF(OR(G276="",H276=""),"",IF(D276&lt;&gt;"",UPPER(TRIM(D276)),UPPER(TRIM(C276))))</f>
        <v/>
      </c>
    </row>
    <row r="277" customFormat="false" ht="15" hidden="false" customHeight="false" outlineLevel="0" collapsed="false">
      <c r="B277" s="17"/>
      <c r="C277" s="5"/>
      <c r="D277" s="5"/>
      <c r="E277" s="5"/>
      <c r="F277" s="5"/>
      <c r="G277" s="5"/>
      <c r="H277" s="16"/>
      <c r="I277" s="7" t="str">
        <f aca="false">IF(OR(G277="",H277=""),"",IFERROR(INDEX('TDS Rates'!$D$6:$D$40,MATCH(G277,'TDS Rates'!$B$6:$B$40,0)),"Check nature"))</f>
        <v/>
      </c>
      <c r="J277" s="7" t="str">
        <f aca="false">IF(OR(G277="",H277=""),"",IFERROR(INDEX('TDS Rates'!$C$6:$C$40,MATCH(G277,'TDS Rates'!$B$6:$B$40,0)),""))</f>
        <v/>
      </c>
      <c r="K277" s="7" t="str">
        <f aca="false">IF(OR(G277="",H277=""),"",IFERROR(INDEX('TDS Rates'!$E$6:$E$40,MATCH(G277,'TDS Rates'!$B$6:$B$40,0)),""))</f>
        <v/>
      </c>
      <c r="L277" s="29" t="str">
        <f aca="false">IF(OR(G277="",H277=""),"",SUMIFS(H$6:H276,AA$6:AA276,AA277,G$6:G276,G277))</f>
        <v/>
      </c>
      <c r="M277" s="29" t="str">
        <f aca="false">IF(OR(G277="",H277=""),"",SUMIFS(H$6:H276,AA$6:AA276,AA277,G$6:G276,G277,N$6:N276,0))</f>
        <v/>
      </c>
      <c r="N277" s="29" t="str">
        <f aca="false">IF(OR(G277="",H277=""),"",IFERROR(IF(INDEX('TDS Rates'!$F$6:$F$40,MATCH(G277,'TDS Rates'!$B$6:$B$40,0))="NONE",H277,IF(INDEX('TDS Rates'!$F$6:$F$40,MATCH(G277,'TDS Rates'!$B$6:$B$40,0))="PER",IF(H277&gt;INDEX('TDS Rates'!$G$6:$G$40,MATCH(G277,'TDS Rates'!$B$6:$B$40,0)),H277,0),IF(INDEX('TDS Rates'!$F$6:$F$40,MATCH(G277,'TDS Rates'!$B$6:$B$40,0))="EXCESS",MAX(0,L277+H277-INDEX('TDS Rates'!$H$6:$H$40,MATCH(G277,'TDS Rates'!$B$6:$B$40,0)))-MAX(0,L277-INDEX('TDS Rates'!$H$6:$H$40,MATCH(G277,'TDS Rates'!$B$6:$B$40,0))),IF(INDEX('TDS Rates'!$F$6:$F$40,MATCH(G277,'TDS Rates'!$B$6:$B$40,0))="SA",IF(L277+H277&gt;INDEX('TDS Rates'!$H$6:$H$40,MATCH(G277,'TDS Rates'!$B$6:$B$40,0)),H277+M277,IF(H277&gt;INDEX('TDS Rates'!$G$6:$G$40,MATCH(G277,'TDS Rates'!$B$6:$B$40,0)),H277,0)),IF(L277+H277&gt;INDEX('TDS Rates'!$H$6:$H$40,MATCH(G277,'TDS Rates'!$B$6:$B$40,0)),H277+M277,0))))),0))</f>
        <v/>
      </c>
      <c r="O277" s="33" t="str">
        <f aca="false">IF(OR(G277="",H277=""),"",IFERROR(IF(F277="No",IF(INDEX('TDS Rates'!$C$6:$C$40,MATCH(G277,'TDS Rates'!$B$6:$B$40,0))="194Q",Settings!$C$14,MAX(Settings!$C$13,IF(E277="Individual / HUF",INDEX('TDS Rates'!$I$6:$I$40,MATCH(G277,'TDS Rates'!$B$6:$B$40,0)),IF(E277="Company",INDEX('TDS Rates'!$J$6:$J$40,MATCH(G277,'TDS Rates'!$B$6:$B$40,0)),INDEX('TDS Rates'!$K$6:$K$40,MATCH(G277,'TDS Rates'!$B$6:$B$40,0)))))),IF(E277="Individual / HUF",INDEX('TDS Rates'!$I$6:$I$40,MATCH(G277,'TDS Rates'!$B$6:$B$40,0)),IF(E277="Company",INDEX('TDS Rates'!$J$6:$J$40,MATCH(G277,'TDS Rates'!$B$6:$B$40,0)),INDEX('TDS Rates'!$K$6:$K$40,MATCH(G277,'TDS Rates'!$B$6:$B$40,0))))),0))</f>
        <v/>
      </c>
      <c r="P277" s="34" t="str">
        <f aca="false">IF(OR(G277="",H277=""),"",ROUND(N277*O277,0))</f>
        <v/>
      </c>
      <c r="Q277" s="27" t="str">
        <f aca="false">IF(OR(G277="",H277=""),"",IFERROR(IF(INDEX('TDS Rates'!$E$6:$E$40,MATCH(G277,'TDS Rates'!$B$6:$B$40,0))="Form 141",EOMONTH(IF(R277="",B277,R277),0)+30,IF(MONTH(IF(R277="",B277,R277))=3,DATE(YEAR(IF(R277="",B277,R277)),4,30),DATE(YEAR(IF(R277="",B277,R277)),MONTH(IF(R277="",B277,R277))+1,7))),""))</f>
        <v/>
      </c>
      <c r="R277" s="17"/>
      <c r="S277" s="17"/>
      <c r="T277" s="5"/>
      <c r="U277" s="28" t="str">
        <f aca="false">IF(OR(G277="",H277=""),"",IF(P277=0,0,IF(IF(R277="",Settings!$C$9,R277)&lt;=B277,0,((YEAR(IF(R277="",Settings!$C$9,R277))-YEAR(B277))*12+MONTH(IF(R277="",Settings!$C$9,R277))-MONTH(B277)+1))))</f>
        <v/>
      </c>
      <c r="V277" s="29" t="str">
        <f aca="false">IF(OR(G277="",H277=""),"",ROUND(P277*Settings!$C$10*U277,0))</f>
        <v/>
      </c>
      <c r="W277" s="28" t="str">
        <f aca="false">IF(OR(G277="",H277=""),"",IF(OR(P277=0,R277=""),0,IF(IF(S277="",Settings!$C$9,S277)&lt;=Q277,0,((YEAR(IF(S277="",Settings!$C$9,S277))-YEAR(R277))*12+MONTH(IF(S277="",Settings!$C$9,S277))-MONTH(R277)+1))))</f>
        <v/>
      </c>
      <c r="X277" s="29" t="str">
        <f aca="false">IF(OR(G277="",H277=""),"",ROUND(P277*Settings!$C$11*W277,0))</f>
        <v/>
      </c>
      <c r="Y277" s="29" t="str">
        <f aca="false">IF(OR(G277="",H277=""),"",V277+X277)</f>
        <v/>
      </c>
      <c r="Z277" s="7" t="str">
        <f aca="false">IF(OR(G277="",H277=""),"",IF(P277=0,"Below threshold",IF(R277="","Not yet deducted",IF(S277="",IF(Settings!$C$9&gt;Q277,"Overdue — pay now","Deducted, due "&amp;TEXT(Q277,"dd-mmm")),IF(S277&lt;=Q277,IF(N(U277)&gt;0,"Deducted late, paid on time","Paid on time"),"Paid late")))))</f>
        <v/>
      </c>
      <c r="AA277" s="35" t="str">
        <f aca="false">IF(OR(G277="",H277=""),"",IF(D277&lt;&gt;"",UPPER(TRIM(D277)),UPPER(TRIM(C277))))</f>
        <v/>
      </c>
    </row>
    <row r="278" customFormat="false" ht="15" hidden="false" customHeight="false" outlineLevel="0" collapsed="false">
      <c r="B278" s="17"/>
      <c r="C278" s="5"/>
      <c r="D278" s="5"/>
      <c r="E278" s="5"/>
      <c r="F278" s="5"/>
      <c r="G278" s="5"/>
      <c r="H278" s="16"/>
      <c r="I278" s="7" t="str">
        <f aca="false">IF(OR(G278="",H278=""),"",IFERROR(INDEX('TDS Rates'!$D$6:$D$40,MATCH(G278,'TDS Rates'!$B$6:$B$40,0)),"Check nature"))</f>
        <v/>
      </c>
      <c r="J278" s="7" t="str">
        <f aca="false">IF(OR(G278="",H278=""),"",IFERROR(INDEX('TDS Rates'!$C$6:$C$40,MATCH(G278,'TDS Rates'!$B$6:$B$40,0)),""))</f>
        <v/>
      </c>
      <c r="K278" s="7" t="str">
        <f aca="false">IF(OR(G278="",H278=""),"",IFERROR(INDEX('TDS Rates'!$E$6:$E$40,MATCH(G278,'TDS Rates'!$B$6:$B$40,0)),""))</f>
        <v/>
      </c>
      <c r="L278" s="29" t="str">
        <f aca="false">IF(OR(G278="",H278=""),"",SUMIFS(H$6:H277,AA$6:AA277,AA278,G$6:G277,G278))</f>
        <v/>
      </c>
      <c r="M278" s="29" t="str">
        <f aca="false">IF(OR(G278="",H278=""),"",SUMIFS(H$6:H277,AA$6:AA277,AA278,G$6:G277,G278,N$6:N277,0))</f>
        <v/>
      </c>
      <c r="N278" s="29" t="str">
        <f aca="false">IF(OR(G278="",H278=""),"",IFERROR(IF(INDEX('TDS Rates'!$F$6:$F$40,MATCH(G278,'TDS Rates'!$B$6:$B$40,0))="NONE",H278,IF(INDEX('TDS Rates'!$F$6:$F$40,MATCH(G278,'TDS Rates'!$B$6:$B$40,0))="PER",IF(H278&gt;INDEX('TDS Rates'!$G$6:$G$40,MATCH(G278,'TDS Rates'!$B$6:$B$40,0)),H278,0),IF(INDEX('TDS Rates'!$F$6:$F$40,MATCH(G278,'TDS Rates'!$B$6:$B$40,0))="EXCESS",MAX(0,L278+H278-INDEX('TDS Rates'!$H$6:$H$40,MATCH(G278,'TDS Rates'!$B$6:$B$40,0)))-MAX(0,L278-INDEX('TDS Rates'!$H$6:$H$40,MATCH(G278,'TDS Rates'!$B$6:$B$40,0))),IF(INDEX('TDS Rates'!$F$6:$F$40,MATCH(G278,'TDS Rates'!$B$6:$B$40,0))="SA",IF(L278+H278&gt;INDEX('TDS Rates'!$H$6:$H$40,MATCH(G278,'TDS Rates'!$B$6:$B$40,0)),H278+M278,IF(H278&gt;INDEX('TDS Rates'!$G$6:$G$40,MATCH(G278,'TDS Rates'!$B$6:$B$40,0)),H278,0)),IF(L278+H278&gt;INDEX('TDS Rates'!$H$6:$H$40,MATCH(G278,'TDS Rates'!$B$6:$B$40,0)),H278+M278,0))))),0))</f>
        <v/>
      </c>
      <c r="O278" s="33" t="str">
        <f aca="false">IF(OR(G278="",H278=""),"",IFERROR(IF(F278="No",IF(INDEX('TDS Rates'!$C$6:$C$40,MATCH(G278,'TDS Rates'!$B$6:$B$40,0))="194Q",Settings!$C$14,MAX(Settings!$C$13,IF(E278="Individual / HUF",INDEX('TDS Rates'!$I$6:$I$40,MATCH(G278,'TDS Rates'!$B$6:$B$40,0)),IF(E278="Company",INDEX('TDS Rates'!$J$6:$J$40,MATCH(G278,'TDS Rates'!$B$6:$B$40,0)),INDEX('TDS Rates'!$K$6:$K$40,MATCH(G278,'TDS Rates'!$B$6:$B$40,0)))))),IF(E278="Individual / HUF",INDEX('TDS Rates'!$I$6:$I$40,MATCH(G278,'TDS Rates'!$B$6:$B$40,0)),IF(E278="Company",INDEX('TDS Rates'!$J$6:$J$40,MATCH(G278,'TDS Rates'!$B$6:$B$40,0)),INDEX('TDS Rates'!$K$6:$K$40,MATCH(G278,'TDS Rates'!$B$6:$B$40,0))))),0))</f>
        <v/>
      </c>
      <c r="P278" s="34" t="str">
        <f aca="false">IF(OR(G278="",H278=""),"",ROUND(N278*O278,0))</f>
        <v/>
      </c>
      <c r="Q278" s="27" t="str">
        <f aca="false">IF(OR(G278="",H278=""),"",IFERROR(IF(INDEX('TDS Rates'!$E$6:$E$40,MATCH(G278,'TDS Rates'!$B$6:$B$40,0))="Form 141",EOMONTH(IF(R278="",B278,R278),0)+30,IF(MONTH(IF(R278="",B278,R278))=3,DATE(YEAR(IF(R278="",B278,R278)),4,30),DATE(YEAR(IF(R278="",B278,R278)),MONTH(IF(R278="",B278,R278))+1,7))),""))</f>
        <v/>
      </c>
      <c r="R278" s="17"/>
      <c r="S278" s="17"/>
      <c r="T278" s="5"/>
      <c r="U278" s="28" t="str">
        <f aca="false">IF(OR(G278="",H278=""),"",IF(P278=0,0,IF(IF(R278="",Settings!$C$9,R278)&lt;=B278,0,((YEAR(IF(R278="",Settings!$C$9,R278))-YEAR(B278))*12+MONTH(IF(R278="",Settings!$C$9,R278))-MONTH(B278)+1))))</f>
        <v/>
      </c>
      <c r="V278" s="29" t="str">
        <f aca="false">IF(OR(G278="",H278=""),"",ROUND(P278*Settings!$C$10*U278,0))</f>
        <v/>
      </c>
      <c r="W278" s="28" t="str">
        <f aca="false">IF(OR(G278="",H278=""),"",IF(OR(P278=0,R278=""),0,IF(IF(S278="",Settings!$C$9,S278)&lt;=Q278,0,((YEAR(IF(S278="",Settings!$C$9,S278))-YEAR(R278))*12+MONTH(IF(S278="",Settings!$C$9,S278))-MONTH(R278)+1))))</f>
        <v/>
      </c>
      <c r="X278" s="29" t="str">
        <f aca="false">IF(OR(G278="",H278=""),"",ROUND(P278*Settings!$C$11*W278,0))</f>
        <v/>
      </c>
      <c r="Y278" s="29" t="str">
        <f aca="false">IF(OR(G278="",H278=""),"",V278+X278)</f>
        <v/>
      </c>
      <c r="Z278" s="7" t="str">
        <f aca="false">IF(OR(G278="",H278=""),"",IF(P278=0,"Below threshold",IF(R278="","Not yet deducted",IF(S278="",IF(Settings!$C$9&gt;Q278,"Overdue — pay now","Deducted, due "&amp;TEXT(Q278,"dd-mmm")),IF(S278&lt;=Q278,IF(N(U278)&gt;0,"Deducted late, paid on time","Paid on time"),"Paid late")))))</f>
        <v/>
      </c>
      <c r="AA278" s="35" t="str">
        <f aca="false">IF(OR(G278="",H278=""),"",IF(D278&lt;&gt;"",UPPER(TRIM(D278)),UPPER(TRIM(C278))))</f>
        <v/>
      </c>
    </row>
    <row r="279" customFormat="false" ht="15" hidden="false" customHeight="false" outlineLevel="0" collapsed="false">
      <c r="B279" s="17"/>
      <c r="C279" s="5"/>
      <c r="D279" s="5"/>
      <c r="E279" s="5"/>
      <c r="F279" s="5"/>
      <c r="G279" s="5"/>
      <c r="H279" s="16"/>
      <c r="I279" s="7" t="str">
        <f aca="false">IF(OR(G279="",H279=""),"",IFERROR(INDEX('TDS Rates'!$D$6:$D$40,MATCH(G279,'TDS Rates'!$B$6:$B$40,0)),"Check nature"))</f>
        <v/>
      </c>
      <c r="J279" s="7" t="str">
        <f aca="false">IF(OR(G279="",H279=""),"",IFERROR(INDEX('TDS Rates'!$C$6:$C$40,MATCH(G279,'TDS Rates'!$B$6:$B$40,0)),""))</f>
        <v/>
      </c>
      <c r="K279" s="7" t="str">
        <f aca="false">IF(OR(G279="",H279=""),"",IFERROR(INDEX('TDS Rates'!$E$6:$E$40,MATCH(G279,'TDS Rates'!$B$6:$B$40,0)),""))</f>
        <v/>
      </c>
      <c r="L279" s="29" t="str">
        <f aca="false">IF(OR(G279="",H279=""),"",SUMIFS(H$6:H278,AA$6:AA278,AA279,G$6:G278,G279))</f>
        <v/>
      </c>
      <c r="M279" s="29" t="str">
        <f aca="false">IF(OR(G279="",H279=""),"",SUMIFS(H$6:H278,AA$6:AA278,AA279,G$6:G278,G279,N$6:N278,0))</f>
        <v/>
      </c>
      <c r="N279" s="29" t="str">
        <f aca="false">IF(OR(G279="",H279=""),"",IFERROR(IF(INDEX('TDS Rates'!$F$6:$F$40,MATCH(G279,'TDS Rates'!$B$6:$B$40,0))="NONE",H279,IF(INDEX('TDS Rates'!$F$6:$F$40,MATCH(G279,'TDS Rates'!$B$6:$B$40,0))="PER",IF(H279&gt;INDEX('TDS Rates'!$G$6:$G$40,MATCH(G279,'TDS Rates'!$B$6:$B$40,0)),H279,0),IF(INDEX('TDS Rates'!$F$6:$F$40,MATCH(G279,'TDS Rates'!$B$6:$B$40,0))="EXCESS",MAX(0,L279+H279-INDEX('TDS Rates'!$H$6:$H$40,MATCH(G279,'TDS Rates'!$B$6:$B$40,0)))-MAX(0,L279-INDEX('TDS Rates'!$H$6:$H$40,MATCH(G279,'TDS Rates'!$B$6:$B$40,0))),IF(INDEX('TDS Rates'!$F$6:$F$40,MATCH(G279,'TDS Rates'!$B$6:$B$40,0))="SA",IF(L279+H279&gt;INDEX('TDS Rates'!$H$6:$H$40,MATCH(G279,'TDS Rates'!$B$6:$B$40,0)),H279+M279,IF(H279&gt;INDEX('TDS Rates'!$G$6:$G$40,MATCH(G279,'TDS Rates'!$B$6:$B$40,0)),H279,0)),IF(L279+H279&gt;INDEX('TDS Rates'!$H$6:$H$40,MATCH(G279,'TDS Rates'!$B$6:$B$40,0)),H279+M279,0))))),0))</f>
        <v/>
      </c>
      <c r="O279" s="33" t="str">
        <f aca="false">IF(OR(G279="",H279=""),"",IFERROR(IF(F279="No",IF(INDEX('TDS Rates'!$C$6:$C$40,MATCH(G279,'TDS Rates'!$B$6:$B$40,0))="194Q",Settings!$C$14,MAX(Settings!$C$13,IF(E279="Individual / HUF",INDEX('TDS Rates'!$I$6:$I$40,MATCH(G279,'TDS Rates'!$B$6:$B$40,0)),IF(E279="Company",INDEX('TDS Rates'!$J$6:$J$40,MATCH(G279,'TDS Rates'!$B$6:$B$40,0)),INDEX('TDS Rates'!$K$6:$K$40,MATCH(G279,'TDS Rates'!$B$6:$B$40,0)))))),IF(E279="Individual / HUF",INDEX('TDS Rates'!$I$6:$I$40,MATCH(G279,'TDS Rates'!$B$6:$B$40,0)),IF(E279="Company",INDEX('TDS Rates'!$J$6:$J$40,MATCH(G279,'TDS Rates'!$B$6:$B$40,0)),INDEX('TDS Rates'!$K$6:$K$40,MATCH(G279,'TDS Rates'!$B$6:$B$40,0))))),0))</f>
        <v/>
      </c>
      <c r="P279" s="34" t="str">
        <f aca="false">IF(OR(G279="",H279=""),"",ROUND(N279*O279,0))</f>
        <v/>
      </c>
      <c r="Q279" s="27" t="str">
        <f aca="false">IF(OR(G279="",H279=""),"",IFERROR(IF(INDEX('TDS Rates'!$E$6:$E$40,MATCH(G279,'TDS Rates'!$B$6:$B$40,0))="Form 141",EOMONTH(IF(R279="",B279,R279),0)+30,IF(MONTH(IF(R279="",B279,R279))=3,DATE(YEAR(IF(R279="",B279,R279)),4,30),DATE(YEAR(IF(R279="",B279,R279)),MONTH(IF(R279="",B279,R279))+1,7))),""))</f>
        <v/>
      </c>
      <c r="R279" s="17"/>
      <c r="S279" s="17"/>
      <c r="T279" s="5"/>
      <c r="U279" s="28" t="str">
        <f aca="false">IF(OR(G279="",H279=""),"",IF(P279=0,0,IF(IF(R279="",Settings!$C$9,R279)&lt;=B279,0,((YEAR(IF(R279="",Settings!$C$9,R279))-YEAR(B279))*12+MONTH(IF(R279="",Settings!$C$9,R279))-MONTH(B279)+1))))</f>
        <v/>
      </c>
      <c r="V279" s="29" t="str">
        <f aca="false">IF(OR(G279="",H279=""),"",ROUND(P279*Settings!$C$10*U279,0))</f>
        <v/>
      </c>
      <c r="W279" s="28" t="str">
        <f aca="false">IF(OR(G279="",H279=""),"",IF(OR(P279=0,R279=""),0,IF(IF(S279="",Settings!$C$9,S279)&lt;=Q279,0,((YEAR(IF(S279="",Settings!$C$9,S279))-YEAR(R279))*12+MONTH(IF(S279="",Settings!$C$9,S279))-MONTH(R279)+1))))</f>
        <v/>
      </c>
      <c r="X279" s="29" t="str">
        <f aca="false">IF(OR(G279="",H279=""),"",ROUND(P279*Settings!$C$11*W279,0))</f>
        <v/>
      </c>
      <c r="Y279" s="29" t="str">
        <f aca="false">IF(OR(G279="",H279=""),"",V279+X279)</f>
        <v/>
      </c>
      <c r="Z279" s="7" t="str">
        <f aca="false">IF(OR(G279="",H279=""),"",IF(P279=0,"Below threshold",IF(R279="","Not yet deducted",IF(S279="",IF(Settings!$C$9&gt;Q279,"Overdue — pay now","Deducted, due "&amp;TEXT(Q279,"dd-mmm")),IF(S279&lt;=Q279,IF(N(U279)&gt;0,"Deducted late, paid on time","Paid on time"),"Paid late")))))</f>
        <v/>
      </c>
      <c r="AA279" s="35" t="str">
        <f aca="false">IF(OR(G279="",H279=""),"",IF(D279&lt;&gt;"",UPPER(TRIM(D279)),UPPER(TRIM(C279))))</f>
        <v/>
      </c>
    </row>
    <row r="280" customFormat="false" ht="15" hidden="false" customHeight="false" outlineLevel="0" collapsed="false">
      <c r="B280" s="17"/>
      <c r="C280" s="5"/>
      <c r="D280" s="5"/>
      <c r="E280" s="5"/>
      <c r="F280" s="5"/>
      <c r="G280" s="5"/>
      <c r="H280" s="16"/>
      <c r="I280" s="7" t="str">
        <f aca="false">IF(OR(G280="",H280=""),"",IFERROR(INDEX('TDS Rates'!$D$6:$D$40,MATCH(G280,'TDS Rates'!$B$6:$B$40,0)),"Check nature"))</f>
        <v/>
      </c>
      <c r="J280" s="7" t="str">
        <f aca="false">IF(OR(G280="",H280=""),"",IFERROR(INDEX('TDS Rates'!$C$6:$C$40,MATCH(G280,'TDS Rates'!$B$6:$B$40,0)),""))</f>
        <v/>
      </c>
      <c r="K280" s="7" t="str">
        <f aca="false">IF(OR(G280="",H280=""),"",IFERROR(INDEX('TDS Rates'!$E$6:$E$40,MATCH(G280,'TDS Rates'!$B$6:$B$40,0)),""))</f>
        <v/>
      </c>
      <c r="L280" s="29" t="str">
        <f aca="false">IF(OR(G280="",H280=""),"",SUMIFS(H$6:H279,AA$6:AA279,AA280,G$6:G279,G280))</f>
        <v/>
      </c>
      <c r="M280" s="29" t="str">
        <f aca="false">IF(OR(G280="",H280=""),"",SUMIFS(H$6:H279,AA$6:AA279,AA280,G$6:G279,G280,N$6:N279,0))</f>
        <v/>
      </c>
      <c r="N280" s="29" t="str">
        <f aca="false">IF(OR(G280="",H280=""),"",IFERROR(IF(INDEX('TDS Rates'!$F$6:$F$40,MATCH(G280,'TDS Rates'!$B$6:$B$40,0))="NONE",H280,IF(INDEX('TDS Rates'!$F$6:$F$40,MATCH(G280,'TDS Rates'!$B$6:$B$40,0))="PER",IF(H280&gt;INDEX('TDS Rates'!$G$6:$G$40,MATCH(G280,'TDS Rates'!$B$6:$B$40,0)),H280,0),IF(INDEX('TDS Rates'!$F$6:$F$40,MATCH(G280,'TDS Rates'!$B$6:$B$40,0))="EXCESS",MAX(0,L280+H280-INDEX('TDS Rates'!$H$6:$H$40,MATCH(G280,'TDS Rates'!$B$6:$B$40,0)))-MAX(0,L280-INDEX('TDS Rates'!$H$6:$H$40,MATCH(G280,'TDS Rates'!$B$6:$B$40,0))),IF(INDEX('TDS Rates'!$F$6:$F$40,MATCH(G280,'TDS Rates'!$B$6:$B$40,0))="SA",IF(L280+H280&gt;INDEX('TDS Rates'!$H$6:$H$40,MATCH(G280,'TDS Rates'!$B$6:$B$40,0)),H280+M280,IF(H280&gt;INDEX('TDS Rates'!$G$6:$G$40,MATCH(G280,'TDS Rates'!$B$6:$B$40,0)),H280,0)),IF(L280+H280&gt;INDEX('TDS Rates'!$H$6:$H$40,MATCH(G280,'TDS Rates'!$B$6:$B$40,0)),H280+M280,0))))),0))</f>
        <v/>
      </c>
      <c r="O280" s="33" t="str">
        <f aca="false">IF(OR(G280="",H280=""),"",IFERROR(IF(F280="No",IF(INDEX('TDS Rates'!$C$6:$C$40,MATCH(G280,'TDS Rates'!$B$6:$B$40,0))="194Q",Settings!$C$14,MAX(Settings!$C$13,IF(E280="Individual / HUF",INDEX('TDS Rates'!$I$6:$I$40,MATCH(G280,'TDS Rates'!$B$6:$B$40,0)),IF(E280="Company",INDEX('TDS Rates'!$J$6:$J$40,MATCH(G280,'TDS Rates'!$B$6:$B$40,0)),INDEX('TDS Rates'!$K$6:$K$40,MATCH(G280,'TDS Rates'!$B$6:$B$40,0)))))),IF(E280="Individual / HUF",INDEX('TDS Rates'!$I$6:$I$40,MATCH(G280,'TDS Rates'!$B$6:$B$40,0)),IF(E280="Company",INDEX('TDS Rates'!$J$6:$J$40,MATCH(G280,'TDS Rates'!$B$6:$B$40,0)),INDEX('TDS Rates'!$K$6:$K$40,MATCH(G280,'TDS Rates'!$B$6:$B$40,0))))),0))</f>
        <v/>
      </c>
      <c r="P280" s="34" t="str">
        <f aca="false">IF(OR(G280="",H280=""),"",ROUND(N280*O280,0))</f>
        <v/>
      </c>
      <c r="Q280" s="27" t="str">
        <f aca="false">IF(OR(G280="",H280=""),"",IFERROR(IF(INDEX('TDS Rates'!$E$6:$E$40,MATCH(G280,'TDS Rates'!$B$6:$B$40,0))="Form 141",EOMONTH(IF(R280="",B280,R280),0)+30,IF(MONTH(IF(R280="",B280,R280))=3,DATE(YEAR(IF(R280="",B280,R280)),4,30),DATE(YEAR(IF(R280="",B280,R280)),MONTH(IF(R280="",B280,R280))+1,7))),""))</f>
        <v/>
      </c>
      <c r="R280" s="17"/>
      <c r="S280" s="17"/>
      <c r="T280" s="5"/>
      <c r="U280" s="28" t="str">
        <f aca="false">IF(OR(G280="",H280=""),"",IF(P280=0,0,IF(IF(R280="",Settings!$C$9,R280)&lt;=B280,0,((YEAR(IF(R280="",Settings!$C$9,R280))-YEAR(B280))*12+MONTH(IF(R280="",Settings!$C$9,R280))-MONTH(B280)+1))))</f>
        <v/>
      </c>
      <c r="V280" s="29" t="str">
        <f aca="false">IF(OR(G280="",H280=""),"",ROUND(P280*Settings!$C$10*U280,0))</f>
        <v/>
      </c>
      <c r="W280" s="28" t="str">
        <f aca="false">IF(OR(G280="",H280=""),"",IF(OR(P280=0,R280=""),0,IF(IF(S280="",Settings!$C$9,S280)&lt;=Q280,0,((YEAR(IF(S280="",Settings!$C$9,S280))-YEAR(R280))*12+MONTH(IF(S280="",Settings!$C$9,S280))-MONTH(R280)+1))))</f>
        <v/>
      </c>
      <c r="X280" s="29" t="str">
        <f aca="false">IF(OR(G280="",H280=""),"",ROUND(P280*Settings!$C$11*W280,0))</f>
        <v/>
      </c>
      <c r="Y280" s="29" t="str">
        <f aca="false">IF(OR(G280="",H280=""),"",V280+X280)</f>
        <v/>
      </c>
      <c r="Z280" s="7" t="str">
        <f aca="false">IF(OR(G280="",H280=""),"",IF(P280=0,"Below threshold",IF(R280="","Not yet deducted",IF(S280="",IF(Settings!$C$9&gt;Q280,"Overdue — pay now","Deducted, due "&amp;TEXT(Q280,"dd-mmm")),IF(S280&lt;=Q280,IF(N(U280)&gt;0,"Deducted late, paid on time","Paid on time"),"Paid late")))))</f>
        <v/>
      </c>
      <c r="AA280" s="35" t="str">
        <f aca="false">IF(OR(G280="",H280=""),"",IF(D280&lt;&gt;"",UPPER(TRIM(D280)),UPPER(TRIM(C280))))</f>
        <v/>
      </c>
    </row>
    <row r="281" customFormat="false" ht="15" hidden="false" customHeight="false" outlineLevel="0" collapsed="false">
      <c r="B281" s="17"/>
      <c r="C281" s="5"/>
      <c r="D281" s="5"/>
      <c r="E281" s="5"/>
      <c r="F281" s="5"/>
      <c r="G281" s="5"/>
      <c r="H281" s="16"/>
      <c r="I281" s="7" t="str">
        <f aca="false">IF(OR(G281="",H281=""),"",IFERROR(INDEX('TDS Rates'!$D$6:$D$40,MATCH(G281,'TDS Rates'!$B$6:$B$40,0)),"Check nature"))</f>
        <v/>
      </c>
      <c r="J281" s="7" t="str">
        <f aca="false">IF(OR(G281="",H281=""),"",IFERROR(INDEX('TDS Rates'!$C$6:$C$40,MATCH(G281,'TDS Rates'!$B$6:$B$40,0)),""))</f>
        <v/>
      </c>
      <c r="K281" s="7" t="str">
        <f aca="false">IF(OR(G281="",H281=""),"",IFERROR(INDEX('TDS Rates'!$E$6:$E$40,MATCH(G281,'TDS Rates'!$B$6:$B$40,0)),""))</f>
        <v/>
      </c>
      <c r="L281" s="29" t="str">
        <f aca="false">IF(OR(G281="",H281=""),"",SUMIFS(H$6:H280,AA$6:AA280,AA281,G$6:G280,G281))</f>
        <v/>
      </c>
      <c r="M281" s="29" t="str">
        <f aca="false">IF(OR(G281="",H281=""),"",SUMIFS(H$6:H280,AA$6:AA280,AA281,G$6:G280,G281,N$6:N280,0))</f>
        <v/>
      </c>
      <c r="N281" s="29" t="str">
        <f aca="false">IF(OR(G281="",H281=""),"",IFERROR(IF(INDEX('TDS Rates'!$F$6:$F$40,MATCH(G281,'TDS Rates'!$B$6:$B$40,0))="NONE",H281,IF(INDEX('TDS Rates'!$F$6:$F$40,MATCH(G281,'TDS Rates'!$B$6:$B$40,0))="PER",IF(H281&gt;INDEX('TDS Rates'!$G$6:$G$40,MATCH(G281,'TDS Rates'!$B$6:$B$40,0)),H281,0),IF(INDEX('TDS Rates'!$F$6:$F$40,MATCH(G281,'TDS Rates'!$B$6:$B$40,0))="EXCESS",MAX(0,L281+H281-INDEX('TDS Rates'!$H$6:$H$40,MATCH(G281,'TDS Rates'!$B$6:$B$40,0)))-MAX(0,L281-INDEX('TDS Rates'!$H$6:$H$40,MATCH(G281,'TDS Rates'!$B$6:$B$40,0))),IF(INDEX('TDS Rates'!$F$6:$F$40,MATCH(G281,'TDS Rates'!$B$6:$B$40,0))="SA",IF(L281+H281&gt;INDEX('TDS Rates'!$H$6:$H$40,MATCH(G281,'TDS Rates'!$B$6:$B$40,0)),H281+M281,IF(H281&gt;INDEX('TDS Rates'!$G$6:$G$40,MATCH(G281,'TDS Rates'!$B$6:$B$40,0)),H281,0)),IF(L281+H281&gt;INDEX('TDS Rates'!$H$6:$H$40,MATCH(G281,'TDS Rates'!$B$6:$B$40,0)),H281+M281,0))))),0))</f>
        <v/>
      </c>
      <c r="O281" s="33" t="str">
        <f aca="false">IF(OR(G281="",H281=""),"",IFERROR(IF(F281="No",IF(INDEX('TDS Rates'!$C$6:$C$40,MATCH(G281,'TDS Rates'!$B$6:$B$40,0))="194Q",Settings!$C$14,MAX(Settings!$C$13,IF(E281="Individual / HUF",INDEX('TDS Rates'!$I$6:$I$40,MATCH(G281,'TDS Rates'!$B$6:$B$40,0)),IF(E281="Company",INDEX('TDS Rates'!$J$6:$J$40,MATCH(G281,'TDS Rates'!$B$6:$B$40,0)),INDEX('TDS Rates'!$K$6:$K$40,MATCH(G281,'TDS Rates'!$B$6:$B$40,0)))))),IF(E281="Individual / HUF",INDEX('TDS Rates'!$I$6:$I$40,MATCH(G281,'TDS Rates'!$B$6:$B$40,0)),IF(E281="Company",INDEX('TDS Rates'!$J$6:$J$40,MATCH(G281,'TDS Rates'!$B$6:$B$40,0)),INDEX('TDS Rates'!$K$6:$K$40,MATCH(G281,'TDS Rates'!$B$6:$B$40,0))))),0))</f>
        <v/>
      </c>
      <c r="P281" s="34" t="str">
        <f aca="false">IF(OR(G281="",H281=""),"",ROUND(N281*O281,0))</f>
        <v/>
      </c>
      <c r="Q281" s="27" t="str">
        <f aca="false">IF(OR(G281="",H281=""),"",IFERROR(IF(INDEX('TDS Rates'!$E$6:$E$40,MATCH(G281,'TDS Rates'!$B$6:$B$40,0))="Form 141",EOMONTH(IF(R281="",B281,R281),0)+30,IF(MONTH(IF(R281="",B281,R281))=3,DATE(YEAR(IF(R281="",B281,R281)),4,30),DATE(YEAR(IF(R281="",B281,R281)),MONTH(IF(R281="",B281,R281))+1,7))),""))</f>
        <v/>
      </c>
      <c r="R281" s="17"/>
      <c r="S281" s="17"/>
      <c r="T281" s="5"/>
      <c r="U281" s="28" t="str">
        <f aca="false">IF(OR(G281="",H281=""),"",IF(P281=0,0,IF(IF(R281="",Settings!$C$9,R281)&lt;=B281,0,((YEAR(IF(R281="",Settings!$C$9,R281))-YEAR(B281))*12+MONTH(IF(R281="",Settings!$C$9,R281))-MONTH(B281)+1))))</f>
        <v/>
      </c>
      <c r="V281" s="29" t="str">
        <f aca="false">IF(OR(G281="",H281=""),"",ROUND(P281*Settings!$C$10*U281,0))</f>
        <v/>
      </c>
      <c r="W281" s="28" t="str">
        <f aca="false">IF(OR(G281="",H281=""),"",IF(OR(P281=0,R281=""),0,IF(IF(S281="",Settings!$C$9,S281)&lt;=Q281,0,((YEAR(IF(S281="",Settings!$C$9,S281))-YEAR(R281))*12+MONTH(IF(S281="",Settings!$C$9,S281))-MONTH(R281)+1))))</f>
        <v/>
      </c>
      <c r="X281" s="29" t="str">
        <f aca="false">IF(OR(G281="",H281=""),"",ROUND(P281*Settings!$C$11*W281,0))</f>
        <v/>
      </c>
      <c r="Y281" s="29" t="str">
        <f aca="false">IF(OR(G281="",H281=""),"",V281+X281)</f>
        <v/>
      </c>
      <c r="Z281" s="7" t="str">
        <f aca="false">IF(OR(G281="",H281=""),"",IF(P281=0,"Below threshold",IF(R281="","Not yet deducted",IF(S281="",IF(Settings!$C$9&gt;Q281,"Overdue — pay now","Deducted, due "&amp;TEXT(Q281,"dd-mmm")),IF(S281&lt;=Q281,IF(N(U281)&gt;0,"Deducted late, paid on time","Paid on time"),"Paid late")))))</f>
        <v/>
      </c>
      <c r="AA281" s="35" t="str">
        <f aca="false">IF(OR(G281="",H281=""),"",IF(D281&lt;&gt;"",UPPER(TRIM(D281)),UPPER(TRIM(C281))))</f>
        <v/>
      </c>
    </row>
    <row r="282" customFormat="false" ht="15" hidden="false" customHeight="false" outlineLevel="0" collapsed="false">
      <c r="B282" s="17"/>
      <c r="C282" s="5"/>
      <c r="D282" s="5"/>
      <c r="E282" s="5"/>
      <c r="F282" s="5"/>
      <c r="G282" s="5"/>
      <c r="H282" s="16"/>
      <c r="I282" s="7" t="str">
        <f aca="false">IF(OR(G282="",H282=""),"",IFERROR(INDEX('TDS Rates'!$D$6:$D$40,MATCH(G282,'TDS Rates'!$B$6:$B$40,0)),"Check nature"))</f>
        <v/>
      </c>
      <c r="J282" s="7" t="str">
        <f aca="false">IF(OR(G282="",H282=""),"",IFERROR(INDEX('TDS Rates'!$C$6:$C$40,MATCH(G282,'TDS Rates'!$B$6:$B$40,0)),""))</f>
        <v/>
      </c>
      <c r="K282" s="7" t="str">
        <f aca="false">IF(OR(G282="",H282=""),"",IFERROR(INDEX('TDS Rates'!$E$6:$E$40,MATCH(G282,'TDS Rates'!$B$6:$B$40,0)),""))</f>
        <v/>
      </c>
      <c r="L282" s="29" t="str">
        <f aca="false">IF(OR(G282="",H282=""),"",SUMIFS(H$6:H281,AA$6:AA281,AA282,G$6:G281,G282))</f>
        <v/>
      </c>
      <c r="M282" s="29" t="str">
        <f aca="false">IF(OR(G282="",H282=""),"",SUMIFS(H$6:H281,AA$6:AA281,AA282,G$6:G281,G282,N$6:N281,0))</f>
        <v/>
      </c>
      <c r="N282" s="29" t="str">
        <f aca="false">IF(OR(G282="",H282=""),"",IFERROR(IF(INDEX('TDS Rates'!$F$6:$F$40,MATCH(G282,'TDS Rates'!$B$6:$B$40,0))="NONE",H282,IF(INDEX('TDS Rates'!$F$6:$F$40,MATCH(G282,'TDS Rates'!$B$6:$B$40,0))="PER",IF(H282&gt;INDEX('TDS Rates'!$G$6:$G$40,MATCH(G282,'TDS Rates'!$B$6:$B$40,0)),H282,0),IF(INDEX('TDS Rates'!$F$6:$F$40,MATCH(G282,'TDS Rates'!$B$6:$B$40,0))="EXCESS",MAX(0,L282+H282-INDEX('TDS Rates'!$H$6:$H$40,MATCH(G282,'TDS Rates'!$B$6:$B$40,0)))-MAX(0,L282-INDEX('TDS Rates'!$H$6:$H$40,MATCH(G282,'TDS Rates'!$B$6:$B$40,0))),IF(INDEX('TDS Rates'!$F$6:$F$40,MATCH(G282,'TDS Rates'!$B$6:$B$40,0))="SA",IF(L282+H282&gt;INDEX('TDS Rates'!$H$6:$H$40,MATCH(G282,'TDS Rates'!$B$6:$B$40,0)),H282+M282,IF(H282&gt;INDEX('TDS Rates'!$G$6:$G$40,MATCH(G282,'TDS Rates'!$B$6:$B$40,0)),H282,0)),IF(L282+H282&gt;INDEX('TDS Rates'!$H$6:$H$40,MATCH(G282,'TDS Rates'!$B$6:$B$40,0)),H282+M282,0))))),0))</f>
        <v/>
      </c>
      <c r="O282" s="33" t="str">
        <f aca="false">IF(OR(G282="",H282=""),"",IFERROR(IF(F282="No",IF(INDEX('TDS Rates'!$C$6:$C$40,MATCH(G282,'TDS Rates'!$B$6:$B$40,0))="194Q",Settings!$C$14,MAX(Settings!$C$13,IF(E282="Individual / HUF",INDEX('TDS Rates'!$I$6:$I$40,MATCH(G282,'TDS Rates'!$B$6:$B$40,0)),IF(E282="Company",INDEX('TDS Rates'!$J$6:$J$40,MATCH(G282,'TDS Rates'!$B$6:$B$40,0)),INDEX('TDS Rates'!$K$6:$K$40,MATCH(G282,'TDS Rates'!$B$6:$B$40,0)))))),IF(E282="Individual / HUF",INDEX('TDS Rates'!$I$6:$I$40,MATCH(G282,'TDS Rates'!$B$6:$B$40,0)),IF(E282="Company",INDEX('TDS Rates'!$J$6:$J$40,MATCH(G282,'TDS Rates'!$B$6:$B$40,0)),INDEX('TDS Rates'!$K$6:$K$40,MATCH(G282,'TDS Rates'!$B$6:$B$40,0))))),0))</f>
        <v/>
      </c>
      <c r="P282" s="34" t="str">
        <f aca="false">IF(OR(G282="",H282=""),"",ROUND(N282*O282,0))</f>
        <v/>
      </c>
      <c r="Q282" s="27" t="str">
        <f aca="false">IF(OR(G282="",H282=""),"",IFERROR(IF(INDEX('TDS Rates'!$E$6:$E$40,MATCH(G282,'TDS Rates'!$B$6:$B$40,0))="Form 141",EOMONTH(IF(R282="",B282,R282),0)+30,IF(MONTH(IF(R282="",B282,R282))=3,DATE(YEAR(IF(R282="",B282,R282)),4,30),DATE(YEAR(IF(R282="",B282,R282)),MONTH(IF(R282="",B282,R282))+1,7))),""))</f>
        <v/>
      </c>
      <c r="R282" s="17"/>
      <c r="S282" s="17"/>
      <c r="T282" s="5"/>
      <c r="U282" s="28" t="str">
        <f aca="false">IF(OR(G282="",H282=""),"",IF(P282=0,0,IF(IF(R282="",Settings!$C$9,R282)&lt;=B282,0,((YEAR(IF(R282="",Settings!$C$9,R282))-YEAR(B282))*12+MONTH(IF(R282="",Settings!$C$9,R282))-MONTH(B282)+1))))</f>
        <v/>
      </c>
      <c r="V282" s="29" t="str">
        <f aca="false">IF(OR(G282="",H282=""),"",ROUND(P282*Settings!$C$10*U282,0))</f>
        <v/>
      </c>
      <c r="W282" s="28" t="str">
        <f aca="false">IF(OR(G282="",H282=""),"",IF(OR(P282=0,R282=""),0,IF(IF(S282="",Settings!$C$9,S282)&lt;=Q282,0,((YEAR(IF(S282="",Settings!$C$9,S282))-YEAR(R282))*12+MONTH(IF(S282="",Settings!$C$9,S282))-MONTH(R282)+1))))</f>
        <v/>
      </c>
      <c r="X282" s="29" t="str">
        <f aca="false">IF(OR(G282="",H282=""),"",ROUND(P282*Settings!$C$11*W282,0))</f>
        <v/>
      </c>
      <c r="Y282" s="29" t="str">
        <f aca="false">IF(OR(G282="",H282=""),"",V282+X282)</f>
        <v/>
      </c>
      <c r="Z282" s="7" t="str">
        <f aca="false">IF(OR(G282="",H282=""),"",IF(P282=0,"Below threshold",IF(R282="","Not yet deducted",IF(S282="",IF(Settings!$C$9&gt;Q282,"Overdue — pay now","Deducted, due "&amp;TEXT(Q282,"dd-mmm")),IF(S282&lt;=Q282,IF(N(U282)&gt;0,"Deducted late, paid on time","Paid on time"),"Paid late")))))</f>
        <v/>
      </c>
      <c r="AA282" s="35" t="str">
        <f aca="false">IF(OR(G282="",H282=""),"",IF(D282&lt;&gt;"",UPPER(TRIM(D282)),UPPER(TRIM(C282))))</f>
        <v/>
      </c>
    </row>
    <row r="283" customFormat="false" ht="15" hidden="false" customHeight="false" outlineLevel="0" collapsed="false">
      <c r="B283" s="17"/>
      <c r="C283" s="5"/>
      <c r="D283" s="5"/>
      <c r="E283" s="5"/>
      <c r="F283" s="5"/>
      <c r="G283" s="5"/>
      <c r="H283" s="16"/>
      <c r="I283" s="7" t="str">
        <f aca="false">IF(OR(G283="",H283=""),"",IFERROR(INDEX('TDS Rates'!$D$6:$D$40,MATCH(G283,'TDS Rates'!$B$6:$B$40,0)),"Check nature"))</f>
        <v/>
      </c>
      <c r="J283" s="7" t="str">
        <f aca="false">IF(OR(G283="",H283=""),"",IFERROR(INDEX('TDS Rates'!$C$6:$C$40,MATCH(G283,'TDS Rates'!$B$6:$B$40,0)),""))</f>
        <v/>
      </c>
      <c r="K283" s="7" t="str">
        <f aca="false">IF(OR(G283="",H283=""),"",IFERROR(INDEX('TDS Rates'!$E$6:$E$40,MATCH(G283,'TDS Rates'!$B$6:$B$40,0)),""))</f>
        <v/>
      </c>
      <c r="L283" s="29" t="str">
        <f aca="false">IF(OR(G283="",H283=""),"",SUMIFS(H$6:H282,AA$6:AA282,AA283,G$6:G282,G283))</f>
        <v/>
      </c>
      <c r="M283" s="29" t="str">
        <f aca="false">IF(OR(G283="",H283=""),"",SUMIFS(H$6:H282,AA$6:AA282,AA283,G$6:G282,G283,N$6:N282,0))</f>
        <v/>
      </c>
      <c r="N283" s="29" t="str">
        <f aca="false">IF(OR(G283="",H283=""),"",IFERROR(IF(INDEX('TDS Rates'!$F$6:$F$40,MATCH(G283,'TDS Rates'!$B$6:$B$40,0))="NONE",H283,IF(INDEX('TDS Rates'!$F$6:$F$40,MATCH(G283,'TDS Rates'!$B$6:$B$40,0))="PER",IF(H283&gt;INDEX('TDS Rates'!$G$6:$G$40,MATCH(G283,'TDS Rates'!$B$6:$B$40,0)),H283,0),IF(INDEX('TDS Rates'!$F$6:$F$40,MATCH(G283,'TDS Rates'!$B$6:$B$40,0))="EXCESS",MAX(0,L283+H283-INDEX('TDS Rates'!$H$6:$H$40,MATCH(G283,'TDS Rates'!$B$6:$B$40,0)))-MAX(0,L283-INDEX('TDS Rates'!$H$6:$H$40,MATCH(G283,'TDS Rates'!$B$6:$B$40,0))),IF(INDEX('TDS Rates'!$F$6:$F$40,MATCH(G283,'TDS Rates'!$B$6:$B$40,0))="SA",IF(L283+H283&gt;INDEX('TDS Rates'!$H$6:$H$40,MATCH(G283,'TDS Rates'!$B$6:$B$40,0)),H283+M283,IF(H283&gt;INDEX('TDS Rates'!$G$6:$G$40,MATCH(G283,'TDS Rates'!$B$6:$B$40,0)),H283,0)),IF(L283+H283&gt;INDEX('TDS Rates'!$H$6:$H$40,MATCH(G283,'TDS Rates'!$B$6:$B$40,0)),H283+M283,0))))),0))</f>
        <v/>
      </c>
      <c r="O283" s="33" t="str">
        <f aca="false">IF(OR(G283="",H283=""),"",IFERROR(IF(F283="No",IF(INDEX('TDS Rates'!$C$6:$C$40,MATCH(G283,'TDS Rates'!$B$6:$B$40,0))="194Q",Settings!$C$14,MAX(Settings!$C$13,IF(E283="Individual / HUF",INDEX('TDS Rates'!$I$6:$I$40,MATCH(G283,'TDS Rates'!$B$6:$B$40,0)),IF(E283="Company",INDEX('TDS Rates'!$J$6:$J$40,MATCH(G283,'TDS Rates'!$B$6:$B$40,0)),INDEX('TDS Rates'!$K$6:$K$40,MATCH(G283,'TDS Rates'!$B$6:$B$40,0)))))),IF(E283="Individual / HUF",INDEX('TDS Rates'!$I$6:$I$40,MATCH(G283,'TDS Rates'!$B$6:$B$40,0)),IF(E283="Company",INDEX('TDS Rates'!$J$6:$J$40,MATCH(G283,'TDS Rates'!$B$6:$B$40,0)),INDEX('TDS Rates'!$K$6:$K$40,MATCH(G283,'TDS Rates'!$B$6:$B$40,0))))),0))</f>
        <v/>
      </c>
      <c r="P283" s="34" t="str">
        <f aca="false">IF(OR(G283="",H283=""),"",ROUND(N283*O283,0))</f>
        <v/>
      </c>
      <c r="Q283" s="27" t="str">
        <f aca="false">IF(OR(G283="",H283=""),"",IFERROR(IF(INDEX('TDS Rates'!$E$6:$E$40,MATCH(G283,'TDS Rates'!$B$6:$B$40,0))="Form 141",EOMONTH(IF(R283="",B283,R283),0)+30,IF(MONTH(IF(R283="",B283,R283))=3,DATE(YEAR(IF(R283="",B283,R283)),4,30),DATE(YEAR(IF(R283="",B283,R283)),MONTH(IF(R283="",B283,R283))+1,7))),""))</f>
        <v/>
      </c>
      <c r="R283" s="17"/>
      <c r="S283" s="17"/>
      <c r="T283" s="5"/>
      <c r="U283" s="28" t="str">
        <f aca="false">IF(OR(G283="",H283=""),"",IF(P283=0,0,IF(IF(R283="",Settings!$C$9,R283)&lt;=B283,0,((YEAR(IF(R283="",Settings!$C$9,R283))-YEAR(B283))*12+MONTH(IF(R283="",Settings!$C$9,R283))-MONTH(B283)+1))))</f>
        <v/>
      </c>
      <c r="V283" s="29" t="str">
        <f aca="false">IF(OR(G283="",H283=""),"",ROUND(P283*Settings!$C$10*U283,0))</f>
        <v/>
      </c>
      <c r="W283" s="28" t="str">
        <f aca="false">IF(OR(G283="",H283=""),"",IF(OR(P283=0,R283=""),0,IF(IF(S283="",Settings!$C$9,S283)&lt;=Q283,0,((YEAR(IF(S283="",Settings!$C$9,S283))-YEAR(R283))*12+MONTH(IF(S283="",Settings!$C$9,S283))-MONTH(R283)+1))))</f>
        <v/>
      </c>
      <c r="X283" s="29" t="str">
        <f aca="false">IF(OR(G283="",H283=""),"",ROUND(P283*Settings!$C$11*W283,0))</f>
        <v/>
      </c>
      <c r="Y283" s="29" t="str">
        <f aca="false">IF(OR(G283="",H283=""),"",V283+X283)</f>
        <v/>
      </c>
      <c r="Z283" s="7" t="str">
        <f aca="false">IF(OR(G283="",H283=""),"",IF(P283=0,"Below threshold",IF(R283="","Not yet deducted",IF(S283="",IF(Settings!$C$9&gt;Q283,"Overdue — pay now","Deducted, due "&amp;TEXT(Q283,"dd-mmm")),IF(S283&lt;=Q283,IF(N(U283)&gt;0,"Deducted late, paid on time","Paid on time"),"Paid late")))))</f>
        <v/>
      </c>
      <c r="AA283" s="35" t="str">
        <f aca="false">IF(OR(G283="",H283=""),"",IF(D283&lt;&gt;"",UPPER(TRIM(D283)),UPPER(TRIM(C283))))</f>
        <v/>
      </c>
    </row>
    <row r="284" customFormat="false" ht="15" hidden="false" customHeight="false" outlineLevel="0" collapsed="false">
      <c r="B284" s="17"/>
      <c r="C284" s="5"/>
      <c r="D284" s="5"/>
      <c r="E284" s="5"/>
      <c r="F284" s="5"/>
      <c r="G284" s="5"/>
      <c r="H284" s="16"/>
      <c r="I284" s="7" t="str">
        <f aca="false">IF(OR(G284="",H284=""),"",IFERROR(INDEX('TDS Rates'!$D$6:$D$40,MATCH(G284,'TDS Rates'!$B$6:$B$40,0)),"Check nature"))</f>
        <v/>
      </c>
      <c r="J284" s="7" t="str">
        <f aca="false">IF(OR(G284="",H284=""),"",IFERROR(INDEX('TDS Rates'!$C$6:$C$40,MATCH(G284,'TDS Rates'!$B$6:$B$40,0)),""))</f>
        <v/>
      </c>
      <c r="K284" s="7" t="str">
        <f aca="false">IF(OR(G284="",H284=""),"",IFERROR(INDEX('TDS Rates'!$E$6:$E$40,MATCH(G284,'TDS Rates'!$B$6:$B$40,0)),""))</f>
        <v/>
      </c>
      <c r="L284" s="29" t="str">
        <f aca="false">IF(OR(G284="",H284=""),"",SUMIFS(H$6:H283,AA$6:AA283,AA284,G$6:G283,G284))</f>
        <v/>
      </c>
      <c r="M284" s="29" t="str">
        <f aca="false">IF(OR(G284="",H284=""),"",SUMIFS(H$6:H283,AA$6:AA283,AA284,G$6:G283,G284,N$6:N283,0))</f>
        <v/>
      </c>
      <c r="N284" s="29" t="str">
        <f aca="false">IF(OR(G284="",H284=""),"",IFERROR(IF(INDEX('TDS Rates'!$F$6:$F$40,MATCH(G284,'TDS Rates'!$B$6:$B$40,0))="NONE",H284,IF(INDEX('TDS Rates'!$F$6:$F$40,MATCH(G284,'TDS Rates'!$B$6:$B$40,0))="PER",IF(H284&gt;INDEX('TDS Rates'!$G$6:$G$40,MATCH(G284,'TDS Rates'!$B$6:$B$40,0)),H284,0),IF(INDEX('TDS Rates'!$F$6:$F$40,MATCH(G284,'TDS Rates'!$B$6:$B$40,0))="EXCESS",MAX(0,L284+H284-INDEX('TDS Rates'!$H$6:$H$40,MATCH(G284,'TDS Rates'!$B$6:$B$40,0)))-MAX(0,L284-INDEX('TDS Rates'!$H$6:$H$40,MATCH(G284,'TDS Rates'!$B$6:$B$40,0))),IF(INDEX('TDS Rates'!$F$6:$F$40,MATCH(G284,'TDS Rates'!$B$6:$B$40,0))="SA",IF(L284+H284&gt;INDEX('TDS Rates'!$H$6:$H$40,MATCH(G284,'TDS Rates'!$B$6:$B$40,0)),H284+M284,IF(H284&gt;INDEX('TDS Rates'!$G$6:$G$40,MATCH(G284,'TDS Rates'!$B$6:$B$40,0)),H284,0)),IF(L284+H284&gt;INDEX('TDS Rates'!$H$6:$H$40,MATCH(G284,'TDS Rates'!$B$6:$B$40,0)),H284+M284,0))))),0))</f>
        <v/>
      </c>
      <c r="O284" s="33" t="str">
        <f aca="false">IF(OR(G284="",H284=""),"",IFERROR(IF(F284="No",IF(INDEX('TDS Rates'!$C$6:$C$40,MATCH(G284,'TDS Rates'!$B$6:$B$40,0))="194Q",Settings!$C$14,MAX(Settings!$C$13,IF(E284="Individual / HUF",INDEX('TDS Rates'!$I$6:$I$40,MATCH(G284,'TDS Rates'!$B$6:$B$40,0)),IF(E284="Company",INDEX('TDS Rates'!$J$6:$J$40,MATCH(G284,'TDS Rates'!$B$6:$B$40,0)),INDEX('TDS Rates'!$K$6:$K$40,MATCH(G284,'TDS Rates'!$B$6:$B$40,0)))))),IF(E284="Individual / HUF",INDEX('TDS Rates'!$I$6:$I$40,MATCH(G284,'TDS Rates'!$B$6:$B$40,0)),IF(E284="Company",INDEX('TDS Rates'!$J$6:$J$40,MATCH(G284,'TDS Rates'!$B$6:$B$40,0)),INDEX('TDS Rates'!$K$6:$K$40,MATCH(G284,'TDS Rates'!$B$6:$B$40,0))))),0))</f>
        <v/>
      </c>
      <c r="P284" s="34" t="str">
        <f aca="false">IF(OR(G284="",H284=""),"",ROUND(N284*O284,0))</f>
        <v/>
      </c>
      <c r="Q284" s="27" t="str">
        <f aca="false">IF(OR(G284="",H284=""),"",IFERROR(IF(INDEX('TDS Rates'!$E$6:$E$40,MATCH(G284,'TDS Rates'!$B$6:$B$40,0))="Form 141",EOMONTH(IF(R284="",B284,R284),0)+30,IF(MONTH(IF(R284="",B284,R284))=3,DATE(YEAR(IF(R284="",B284,R284)),4,30),DATE(YEAR(IF(R284="",B284,R284)),MONTH(IF(R284="",B284,R284))+1,7))),""))</f>
        <v/>
      </c>
      <c r="R284" s="17"/>
      <c r="S284" s="17"/>
      <c r="T284" s="5"/>
      <c r="U284" s="28" t="str">
        <f aca="false">IF(OR(G284="",H284=""),"",IF(P284=0,0,IF(IF(R284="",Settings!$C$9,R284)&lt;=B284,0,((YEAR(IF(R284="",Settings!$C$9,R284))-YEAR(B284))*12+MONTH(IF(R284="",Settings!$C$9,R284))-MONTH(B284)+1))))</f>
        <v/>
      </c>
      <c r="V284" s="29" t="str">
        <f aca="false">IF(OR(G284="",H284=""),"",ROUND(P284*Settings!$C$10*U284,0))</f>
        <v/>
      </c>
      <c r="W284" s="28" t="str">
        <f aca="false">IF(OR(G284="",H284=""),"",IF(OR(P284=0,R284=""),0,IF(IF(S284="",Settings!$C$9,S284)&lt;=Q284,0,((YEAR(IF(S284="",Settings!$C$9,S284))-YEAR(R284))*12+MONTH(IF(S284="",Settings!$C$9,S284))-MONTH(R284)+1))))</f>
        <v/>
      </c>
      <c r="X284" s="29" t="str">
        <f aca="false">IF(OR(G284="",H284=""),"",ROUND(P284*Settings!$C$11*W284,0))</f>
        <v/>
      </c>
      <c r="Y284" s="29" t="str">
        <f aca="false">IF(OR(G284="",H284=""),"",V284+X284)</f>
        <v/>
      </c>
      <c r="Z284" s="7" t="str">
        <f aca="false">IF(OR(G284="",H284=""),"",IF(P284=0,"Below threshold",IF(R284="","Not yet deducted",IF(S284="",IF(Settings!$C$9&gt;Q284,"Overdue — pay now","Deducted, due "&amp;TEXT(Q284,"dd-mmm")),IF(S284&lt;=Q284,IF(N(U284)&gt;0,"Deducted late, paid on time","Paid on time"),"Paid late")))))</f>
        <v/>
      </c>
      <c r="AA284" s="35" t="str">
        <f aca="false">IF(OR(G284="",H284=""),"",IF(D284&lt;&gt;"",UPPER(TRIM(D284)),UPPER(TRIM(C284))))</f>
        <v/>
      </c>
    </row>
    <row r="285" customFormat="false" ht="15" hidden="false" customHeight="false" outlineLevel="0" collapsed="false">
      <c r="B285" s="17"/>
      <c r="C285" s="5"/>
      <c r="D285" s="5"/>
      <c r="E285" s="5"/>
      <c r="F285" s="5"/>
      <c r="G285" s="5"/>
      <c r="H285" s="16"/>
      <c r="I285" s="7" t="str">
        <f aca="false">IF(OR(G285="",H285=""),"",IFERROR(INDEX('TDS Rates'!$D$6:$D$40,MATCH(G285,'TDS Rates'!$B$6:$B$40,0)),"Check nature"))</f>
        <v/>
      </c>
      <c r="J285" s="7" t="str">
        <f aca="false">IF(OR(G285="",H285=""),"",IFERROR(INDEX('TDS Rates'!$C$6:$C$40,MATCH(G285,'TDS Rates'!$B$6:$B$40,0)),""))</f>
        <v/>
      </c>
      <c r="K285" s="7" t="str">
        <f aca="false">IF(OR(G285="",H285=""),"",IFERROR(INDEX('TDS Rates'!$E$6:$E$40,MATCH(G285,'TDS Rates'!$B$6:$B$40,0)),""))</f>
        <v/>
      </c>
      <c r="L285" s="29" t="str">
        <f aca="false">IF(OR(G285="",H285=""),"",SUMIFS(H$6:H284,AA$6:AA284,AA285,G$6:G284,G285))</f>
        <v/>
      </c>
      <c r="M285" s="29" t="str">
        <f aca="false">IF(OR(G285="",H285=""),"",SUMIFS(H$6:H284,AA$6:AA284,AA285,G$6:G284,G285,N$6:N284,0))</f>
        <v/>
      </c>
      <c r="N285" s="29" t="str">
        <f aca="false">IF(OR(G285="",H285=""),"",IFERROR(IF(INDEX('TDS Rates'!$F$6:$F$40,MATCH(G285,'TDS Rates'!$B$6:$B$40,0))="NONE",H285,IF(INDEX('TDS Rates'!$F$6:$F$40,MATCH(G285,'TDS Rates'!$B$6:$B$40,0))="PER",IF(H285&gt;INDEX('TDS Rates'!$G$6:$G$40,MATCH(G285,'TDS Rates'!$B$6:$B$40,0)),H285,0),IF(INDEX('TDS Rates'!$F$6:$F$40,MATCH(G285,'TDS Rates'!$B$6:$B$40,0))="EXCESS",MAX(0,L285+H285-INDEX('TDS Rates'!$H$6:$H$40,MATCH(G285,'TDS Rates'!$B$6:$B$40,0)))-MAX(0,L285-INDEX('TDS Rates'!$H$6:$H$40,MATCH(G285,'TDS Rates'!$B$6:$B$40,0))),IF(INDEX('TDS Rates'!$F$6:$F$40,MATCH(G285,'TDS Rates'!$B$6:$B$40,0))="SA",IF(L285+H285&gt;INDEX('TDS Rates'!$H$6:$H$40,MATCH(G285,'TDS Rates'!$B$6:$B$40,0)),H285+M285,IF(H285&gt;INDEX('TDS Rates'!$G$6:$G$40,MATCH(G285,'TDS Rates'!$B$6:$B$40,0)),H285,0)),IF(L285+H285&gt;INDEX('TDS Rates'!$H$6:$H$40,MATCH(G285,'TDS Rates'!$B$6:$B$40,0)),H285+M285,0))))),0))</f>
        <v/>
      </c>
      <c r="O285" s="33" t="str">
        <f aca="false">IF(OR(G285="",H285=""),"",IFERROR(IF(F285="No",IF(INDEX('TDS Rates'!$C$6:$C$40,MATCH(G285,'TDS Rates'!$B$6:$B$40,0))="194Q",Settings!$C$14,MAX(Settings!$C$13,IF(E285="Individual / HUF",INDEX('TDS Rates'!$I$6:$I$40,MATCH(G285,'TDS Rates'!$B$6:$B$40,0)),IF(E285="Company",INDEX('TDS Rates'!$J$6:$J$40,MATCH(G285,'TDS Rates'!$B$6:$B$40,0)),INDEX('TDS Rates'!$K$6:$K$40,MATCH(G285,'TDS Rates'!$B$6:$B$40,0)))))),IF(E285="Individual / HUF",INDEX('TDS Rates'!$I$6:$I$40,MATCH(G285,'TDS Rates'!$B$6:$B$40,0)),IF(E285="Company",INDEX('TDS Rates'!$J$6:$J$40,MATCH(G285,'TDS Rates'!$B$6:$B$40,0)),INDEX('TDS Rates'!$K$6:$K$40,MATCH(G285,'TDS Rates'!$B$6:$B$40,0))))),0))</f>
        <v/>
      </c>
      <c r="P285" s="34" t="str">
        <f aca="false">IF(OR(G285="",H285=""),"",ROUND(N285*O285,0))</f>
        <v/>
      </c>
      <c r="Q285" s="27" t="str">
        <f aca="false">IF(OR(G285="",H285=""),"",IFERROR(IF(INDEX('TDS Rates'!$E$6:$E$40,MATCH(G285,'TDS Rates'!$B$6:$B$40,0))="Form 141",EOMONTH(IF(R285="",B285,R285),0)+30,IF(MONTH(IF(R285="",B285,R285))=3,DATE(YEAR(IF(R285="",B285,R285)),4,30),DATE(YEAR(IF(R285="",B285,R285)),MONTH(IF(R285="",B285,R285))+1,7))),""))</f>
        <v/>
      </c>
      <c r="R285" s="17"/>
      <c r="S285" s="17"/>
      <c r="T285" s="5"/>
      <c r="U285" s="28" t="str">
        <f aca="false">IF(OR(G285="",H285=""),"",IF(P285=0,0,IF(IF(R285="",Settings!$C$9,R285)&lt;=B285,0,((YEAR(IF(R285="",Settings!$C$9,R285))-YEAR(B285))*12+MONTH(IF(R285="",Settings!$C$9,R285))-MONTH(B285)+1))))</f>
        <v/>
      </c>
      <c r="V285" s="29" t="str">
        <f aca="false">IF(OR(G285="",H285=""),"",ROUND(P285*Settings!$C$10*U285,0))</f>
        <v/>
      </c>
      <c r="W285" s="28" t="str">
        <f aca="false">IF(OR(G285="",H285=""),"",IF(OR(P285=0,R285=""),0,IF(IF(S285="",Settings!$C$9,S285)&lt;=Q285,0,((YEAR(IF(S285="",Settings!$C$9,S285))-YEAR(R285))*12+MONTH(IF(S285="",Settings!$C$9,S285))-MONTH(R285)+1))))</f>
        <v/>
      </c>
      <c r="X285" s="29" t="str">
        <f aca="false">IF(OR(G285="",H285=""),"",ROUND(P285*Settings!$C$11*W285,0))</f>
        <v/>
      </c>
      <c r="Y285" s="29" t="str">
        <f aca="false">IF(OR(G285="",H285=""),"",V285+X285)</f>
        <v/>
      </c>
      <c r="Z285" s="7" t="str">
        <f aca="false">IF(OR(G285="",H285=""),"",IF(P285=0,"Below threshold",IF(R285="","Not yet deducted",IF(S285="",IF(Settings!$C$9&gt;Q285,"Overdue — pay now","Deducted, due "&amp;TEXT(Q285,"dd-mmm")),IF(S285&lt;=Q285,IF(N(U285)&gt;0,"Deducted late, paid on time","Paid on time"),"Paid late")))))</f>
        <v/>
      </c>
      <c r="AA285" s="35" t="str">
        <f aca="false">IF(OR(G285="",H285=""),"",IF(D285&lt;&gt;"",UPPER(TRIM(D285)),UPPER(TRIM(C285))))</f>
        <v/>
      </c>
    </row>
    <row r="286" customFormat="false" ht="15" hidden="false" customHeight="false" outlineLevel="0" collapsed="false">
      <c r="B286" s="17"/>
      <c r="C286" s="5"/>
      <c r="D286" s="5"/>
      <c r="E286" s="5"/>
      <c r="F286" s="5"/>
      <c r="G286" s="5"/>
      <c r="H286" s="16"/>
      <c r="I286" s="7" t="str">
        <f aca="false">IF(OR(G286="",H286=""),"",IFERROR(INDEX('TDS Rates'!$D$6:$D$40,MATCH(G286,'TDS Rates'!$B$6:$B$40,0)),"Check nature"))</f>
        <v/>
      </c>
      <c r="J286" s="7" t="str">
        <f aca="false">IF(OR(G286="",H286=""),"",IFERROR(INDEX('TDS Rates'!$C$6:$C$40,MATCH(G286,'TDS Rates'!$B$6:$B$40,0)),""))</f>
        <v/>
      </c>
      <c r="K286" s="7" t="str">
        <f aca="false">IF(OR(G286="",H286=""),"",IFERROR(INDEX('TDS Rates'!$E$6:$E$40,MATCH(G286,'TDS Rates'!$B$6:$B$40,0)),""))</f>
        <v/>
      </c>
      <c r="L286" s="29" t="str">
        <f aca="false">IF(OR(G286="",H286=""),"",SUMIFS(H$6:H285,AA$6:AA285,AA286,G$6:G285,G286))</f>
        <v/>
      </c>
      <c r="M286" s="29" t="str">
        <f aca="false">IF(OR(G286="",H286=""),"",SUMIFS(H$6:H285,AA$6:AA285,AA286,G$6:G285,G286,N$6:N285,0))</f>
        <v/>
      </c>
      <c r="N286" s="29" t="str">
        <f aca="false">IF(OR(G286="",H286=""),"",IFERROR(IF(INDEX('TDS Rates'!$F$6:$F$40,MATCH(G286,'TDS Rates'!$B$6:$B$40,0))="NONE",H286,IF(INDEX('TDS Rates'!$F$6:$F$40,MATCH(G286,'TDS Rates'!$B$6:$B$40,0))="PER",IF(H286&gt;INDEX('TDS Rates'!$G$6:$G$40,MATCH(G286,'TDS Rates'!$B$6:$B$40,0)),H286,0),IF(INDEX('TDS Rates'!$F$6:$F$40,MATCH(G286,'TDS Rates'!$B$6:$B$40,0))="EXCESS",MAX(0,L286+H286-INDEX('TDS Rates'!$H$6:$H$40,MATCH(G286,'TDS Rates'!$B$6:$B$40,0)))-MAX(0,L286-INDEX('TDS Rates'!$H$6:$H$40,MATCH(G286,'TDS Rates'!$B$6:$B$40,0))),IF(INDEX('TDS Rates'!$F$6:$F$40,MATCH(G286,'TDS Rates'!$B$6:$B$40,0))="SA",IF(L286+H286&gt;INDEX('TDS Rates'!$H$6:$H$40,MATCH(G286,'TDS Rates'!$B$6:$B$40,0)),H286+M286,IF(H286&gt;INDEX('TDS Rates'!$G$6:$G$40,MATCH(G286,'TDS Rates'!$B$6:$B$40,0)),H286,0)),IF(L286+H286&gt;INDEX('TDS Rates'!$H$6:$H$40,MATCH(G286,'TDS Rates'!$B$6:$B$40,0)),H286+M286,0))))),0))</f>
        <v/>
      </c>
      <c r="O286" s="33" t="str">
        <f aca="false">IF(OR(G286="",H286=""),"",IFERROR(IF(F286="No",IF(INDEX('TDS Rates'!$C$6:$C$40,MATCH(G286,'TDS Rates'!$B$6:$B$40,0))="194Q",Settings!$C$14,MAX(Settings!$C$13,IF(E286="Individual / HUF",INDEX('TDS Rates'!$I$6:$I$40,MATCH(G286,'TDS Rates'!$B$6:$B$40,0)),IF(E286="Company",INDEX('TDS Rates'!$J$6:$J$40,MATCH(G286,'TDS Rates'!$B$6:$B$40,0)),INDEX('TDS Rates'!$K$6:$K$40,MATCH(G286,'TDS Rates'!$B$6:$B$40,0)))))),IF(E286="Individual / HUF",INDEX('TDS Rates'!$I$6:$I$40,MATCH(G286,'TDS Rates'!$B$6:$B$40,0)),IF(E286="Company",INDEX('TDS Rates'!$J$6:$J$40,MATCH(G286,'TDS Rates'!$B$6:$B$40,0)),INDEX('TDS Rates'!$K$6:$K$40,MATCH(G286,'TDS Rates'!$B$6:$B$40,0))))),0))</f>
        <v/>
      </c>
      <c r="P286" s="34" t="str">
        <f aca="false">IF(OR(G286="",H286=""),"",ROUND(N286*O286,0))</f>
        <v/>
      </c>
      <c r="Q286" s="27" t="str">
        <f aca="false">IF(OR(G286="",H286=""),"",IFERROR(IF(INDEX('TDS Rates'!$E$6:$E$40,MATCH(G286,'TDS Rates'!$B$6:$B$40,0))="Form 141",EOMONTH(IF(R286="",B286,R286),0)+30,IF(MONTH(IF(R286="",B286,R286))=3,DATE(YEAR(IF(R286="",B286,R286)),4,30),DATE(YEAR(IF(R286="",B286,R286)),MONTH(IF(R286="",B286,R286))+1,7))),""))</f>
        <v/>
      </c>
      <c r="R286" s="17"/>
      <c r="S286" s="17"/>
      <c r="T286" s="5"/>
      <c r="U286" s="28" t="str">
        <f aca="false">IF(OR(G286="",H286=""),"",IF(P286=0,0,IF(IF(R286="",Settings!$C$9,R286)&lt;=B286,0,((YEAR(IF(R286="",Settings!$C$9,R286))-YEAR(B286))*12+MONTH(IF(R286="",Settings!$C$9,R286))-MONTH(B286)+1))))</f>
        <v/>
      </c>
      <c r="V286" s="29" t="str">
        <f aca="false">IF(OR(G286="",H286=""),"",ROUND(P286*Settings!$C$10*U286,0))</f>
        <v/>
      </c>
      <c r="W286" s="28" t="str">
        <f aca="false">IF(OR(G286="",H286=""),"",IF(OR(P286=0,R286=""),0,IF(IF(S286="",Settings!$C$9,S286)&lt;=Q286,0,((YEAR(IF(S286="",Settings!$C$9,S286))-YEAR(R286))*12+MONTH(IF(S286="",Settings!$C$9,S286))-MONTH(R286)+1))))</f>
        <v/>
      </c>
      <c r="X286" s="29" t="str">
        <f aca="false">IF(OR(G286="",H286=""),"",ROUND(P286*Settings!$C$11*W286,0))</f>
        <v/>
      </c>
      <c r="Y286" s="29" t="str">
        <f aca="false">IF(OR(G286="",H286=""),"",V286+X286)</f>
        <v/>
      </c>
      <c r="Z286" s="7" t="str">
        <f aca="false">IF(OR(G286="",H286=""),"",IF(P286=0,"Below threshold",IF(R286="","Not yet deducted",IF(S286="",IF(Settings!$C$9&gt;Q286,"Overdue — pay now","Deducted, due "&amp;TEXT(Q286,"dd-mmm")),IF(S286&lt;=Q286,IF(N(U286)&gt;0,"Deducted late, paid on time","Paid on time"),"Paid late")))))</f>
        <v/>
      </c>
      <c r="AA286" s="35" t="str">
        <f aca="false">IF(OR(G286="",H286=""),"",IF(D286&lt;&gt;"",UPPER(TRIM(D286)),UPPER(TRIM(C286))))</f>
        <v/>
      </c>
    </row>
    <row r="287" customFormat="false" ht="15" hidden="false" customHeight="false" outlineLevel="0" collapsed="false">
      <c r="B287" s="17"/>
      <c r="C287" s="5"/>
      <c r="D287" s="5"/>
      <c r="E287" s="5"/>
      <c r="F287" s="5"/>
      <c r="G287" s="5"/>
      <c r="H287" s="16"/>
      <c r="I287" s="7" t="str">
        <f aca="false">IF(OR(G287="",H287=""),"",IFERROR(INDEX('TDS Rates'!$D$6:$D$40,MATCH(G287,'TDS Rates'!$B$6:$B$40,0)),"Check nature"))</f>
        <v/>
      </c>
      <c r="J287" s="7" t="str">
        <f aca="false">IF(OR(G287="",H287=""),"",IFERROR(INDEX('TDS Rates'!$C$6:$C$40,MATCH(G287,'TDS Rates'!$B$6:$B$40,0)),""))</f>
        <v/>
      </c>
      <c r="K287" s="7" t="str">
        <f aca="false">IF(OR(G287="",H287=""),"",IFERROR(INDEX('TDS Rates'!$E$6:$E$40,MATCH(G287,'TDS Rates'!$B$6:$B$40,0)),""))</f>
        <v/>
      </c>
      <c r="L287" s="29" t="str">
        <f aca="false">IF(OR(G287="",H287=""),"",SUMIFS(H$6:H286,AA$6:AA286,AA287,G$6:G286,G287))</f>
        <v/>
      </c>
      <c r="M287" s="29" t="str">
        <f aca="false">IF(OR(G287="",H287=""),"",SUMIFS(H$6:H286,AA$6:AA286,AA287,G$6:G286,G287,N$6:N286,0))</f>
        <v/>
      </c>
      <c r="N287" s="29" t="str">
        <f aca="false">IF(OR(G287="",H287=""),"",IFERROR(IF(INDEX('TDS Rates'!$F$6:$F$40,MATCH(G287,'TDS Rates'!$B$6:$B$40,0))="NONE",H287,IF(INDEX('TDS Rates'!$F$6:$F$40,MATCH(G287,'TDS Rates'!$B$6:$B$40,0))="PER",IF(H287&gt;INDEX('TDS Rates'!$G$6:$G$40,MATCH(G287,'TDS Rates'!$B$6:$B$40,0)),H287,0),IF(INDEX('TDS Rates'!$F$6:$F$40,MATCH(G287,'TDS Rates'!$B$6:$B$40,0))="EXCESS",MAX(0,L287+H287-INDEX('TDS Rates'!$H$6:$H$40,MATCH(G287,'TDS Rates'!$B$6:$B$40,0)))-MAX(0,L287-INDEX('TDS Rates'!$H$6:$H$40,MATCH(G287,'TDS Rates'!$B$6:$B$40,0))),IF(INDEX('TDS Rates'!$F$6:$F$40,MATCH(G287,'TDS Rates'!$B$6:$B$40,0))="SA",IF(L287+H287&gt;INDEX('TDS Rates'!$H$6:$H$40,MATCH(G287,'TDS Rates'!$B$6:$B$40,0)),H287+M287,IF(H287&gt;INDEX('TDS Rates'!$G$6:$G$40,MATCH(G287,'TDS Rates'!$B$6:$B$40,0)),H287,0)),IF(L287+H287&gt;INDEX('TDS Rates'!$H$6:$H$40,MATCH(G287,'TDS Rates'!$B$6:$B$40,0)),H287+M287,0))))),0))</f>
        <v/>
      </c>
      <c r="O287" s="33" t="str">
        <f aca="false">IF(OR(G287="",H287=""),"",IFERROR(IF(F287="No",IF(INDEX('TDS Rates'!$C$6:$C$40,MATCH(G287,'TDS Rates'!$B$6:$B$40,0))="194Q",Settings!$C$14,MAX(Settings!$C$13,IF(E287="Individual / HUF",INDEX('TDS Rates'!$I$6:$I$40,MATCH(G287,'TDS Rates'!$B$6:$B$40,0)),IF(E287="Company",INDEX('TDS Rates'!$J$6:$J$40,MATCH(G287,'TDS Rates'!$B$6:$B$40,0)),INDEX('TDS Rates'!$K$6:$K$40,MATCH(G287,'TDS Rates'!$B$6:$B$40,0)))))),IF(E287="Individual / HUF",INDEX('TDS Rates'!$I$6:$I$40,MATCH(G287,'TDS Rates'!$B$6:$B$40,0)),IF(E287="Company",INDEX('TDS Rates'!$J$6:$J$40,MATCH(G287,'TDS Rates'!$B$6:$B$40,0)),INDEX('TDS Rates'!$K$6:$K$40,MATCH(G287,'TDS Rates'!$B$6:$B$40,0))))),0))</f>
        <v/>
      </c>
      <c r="P287" s="34" t="str">
        <f aca="false">IF(OR(G287="",H287=""),"",ROUND(N287*O287,0))</f>
        <v/>
      </c>
      <c r="Q287" s="27" t="str">
        <f aca="false">IF(OR(G287="",H287=""),"",IFERROR(IF(INDEX('TDS Rates'!$E$6:$E$40,MATCH(G287,'TDS Rates'!$B$6:$B$40,0))="Form 141",EOMONTH(IF(R287="",B287,R287),0)+30,IF(MONTH(IF(R287="",B287,R287))=3,DATE(YEAR(IF(R287="",B287,R287)),4,30),DATE(YEAR(IF(R287="",B287,R287)),MONTH(IF(R287="",B287,R287))+1,7))),""))</f>
        <v/>
      </c>
      <c r="R287" s="17"/>
      <c r="S287" s="17"/>
      <c r="T287" s="5"/>
      <c r="U287" s="28" t="str">
        <f aca="false">IF(OR(G287="",H287=""),"",IF(P287=0,0,IF(IF(R287="",Settings!$C$9,R287)&lt;=B287,0,((YEAR(IF(R287="",Settings!$C$9,R287))-YEAR(B287))*12+MONTH(IF(R287="",Settings!$C$9,R287))-MONTH(B287)+1))))</f>
        <v/>
      </c>
      <c r="V287" s="29" t="str">
        <f aca="false">IF(OR(G287="",H287=""),"",ROUND(P287*Settings!$C$10*U287,0))</f>
        <v/>
      </c>
      <c r="W287" s="28" t="str">
        <f aca="false">IF(OR(G287="",H287=""),"",IF(OR(P287=0,R287=""),0,IF(IF(S287="",Settings!$C$9,S287)&lt;=Q287,0,((YEAR(IF(S287="",Settings!$C$9,S287))-YEAR(R287))*12+MONTH(IF(S287="",Settings!$C$9,S287))-MONTH(R287)+1))))</f>
        <v/>
      </c>
      <c r="X287" s="29" t="str">
        <f aca="false">IF(OR(G287="",H287=""),"",ROUND(P287*Settings!$C$11*W287,0))</f>
        <v/>
      </c>
      <c r="Y287" s="29" t="str">
        <f aca="false">IF(OR(G287="",H287=""),"",V287+X287)</f>
        <v/>
      </c>
      <c r="Z287" s="7" t="str">
        <f aca="false">IF(OR(G287="",H287=""),"",IF(P287=0,"Below threshold",IF(R287="","Not yet deducted",IF(S287="",IF(Settings!$C$9&gt;Q287,"Overdue — pay now","Deducted, due "&amp;TEXT(Q287,"dd-mmm")),IF(S287&lt;=Q287,IF(N(U287)&gt;0,"Deducted late, paid on time","Paid on time"),"Paid late")))))</f>
        <v/>
      </c>
      <c r="AA287" s="35" t="str">
        <f aca="false">IF(OR(G287="",H287=""),"",IF(D287&lt;&gt;"",UPPER(TRIM(D287)),UPPER(TRIM(C287))))</f>
        <v/>
      </c>
    </row>
    <row r="288" customFormat="false" ht="15" hidden="false" customHeight="false" outlineLevel="0" collapsed="false">
      <c r="B288" s="17"/>
      <c r="C288" s="5"/>
      <c r="D288" s="5"/>
      <c r="E288" s="5"/>
      <c r="F288" s="5"/>
      <c r="G288" s="5"/>
      <c r="H288" s="16"/>
      <c r="I288" s="7" t="str">
        <f aca="false">IF(OR(G288="",H288=""),"",IFERROR(INDEX('TDS Rates'!$D$6:$D$40,MATCH(G288,'TDS Rates'!$B$6:$B$40,0)),"Check nature"))</f>
        <v/>
      </c>
      <c r="J288" s="7" t="str">
        <f aca="false">IF(OR(G288="",H288=""),"",IFERROR(INDEX('TDS Rates'!$C$6:$C$40,MATCH(G288,'TDS Rates'!$B$6:$B$40,0)),""))</f>
        <v/>
      </c>
      <c r="K288" s="7" t="str">
        <f aca="false">IF(OR(G288="",H288=""),"",IFERROR(INDEX('TDS Rates'!$E$6:$E$40,MATCH(G288,'TDS Rates'!$B$6:$B$40,0)),""))</f>
        <v/>
      </c>
      <c r="L288" s="29" t="str">
        <f aca="false">IF(OR(G288="",H288=""),"",SUMIFS(H$6:H287,AA$6:AA287,AA288,G$6:G287,G288))</f>
        <v/>
      </c>
      <c r="M288" s="29" t="str">
        <f aca="false">IF(OR(G288="",H288=""),"",SUMIFS(H$6:H287,AA$6:AA287,AA288,G$6:G287,G288,N$6:N287,0))</f>
        <v/>
      </c>
      <c r="N288" s="29" t="str">
        <f aca="false">IF(OR(G288="",H288=""),"",IFERROR(IF(INDEX('TDS Rates'!$F$6:$F$40,MATCH(G288,'TDS Rates'!$B$6:$B$40,0))="NONE",H288,IF(INDEX('TDS Rates'!$F$6:$F$40,MATCH(G288,'TDS Rates'!$B$6:$B$40,0))="PER",IF(H288&gt;INDEX('TDS Rates'!$G$6:$G$40,MATCH(G288,'TDS Rates'!$B$6:$B$40,0)),H288,0),IF(INDEX('TDS Rates'!$F$6:$F$40,MATCH(G288,'TDS Rates'!$B$6:$B$40,0))="EXCESS",MAX(0,L288+H288-INDEX('TDS Rates'!$H$6:$H$40,MATCH(G288,'TDS Rates'!$B$6:$B$40,0)))-MAX(0,L288-INDEX('TDS Rates'!$H$6:$H$40,MATCH(G288,'TDS Rates'!$B$6:$B$40,0))),IF(INDEX('TDS Rates'!$F$6:$F$40,MATCH(G288,'TDS Rates'!$B$6:$B$40,0))="SA",IF(L288+H288&gt;INDEX('TDS Rates'!$H$6:$H$40,MATCH(G288,'TDS Rates'!$B$6:$B$40,0)),H288+M288,IF(H288&gt;INDEX('TDS Rates'!$G$6:$G$40,MATCH(G288,'TDS Rates'!$B$6:$B$40,0)),H288,0)),IF(L288+H288&gt;INDEX('TDS Rates'!$H$6:$H$40,MATCH(G288,'TDS Rates'!$B$6:$B$40,0)),H288+M288,0))))),0))</f>
        <v/>
      </c>
      <c r="O288" s="33" t="str">
        <f aca="false">IF(OR(G288="",H288=""),"",IFERROR(IF(F288="No",IF(INDEX('TDS Rates'!$C$6:$C$40,MATCH(G288,'TDS Rates'!$B$6:$B$40,0))="194Q",Settings!$C$14,MAX(Settings!$C$13,IF(E288="Individual / HUF",INDEX('TDS Rates'!$I$6:$I$40,MATCH(G288,'TDS Rates'!$B$6:$B$40,0)),IF(E288="Company",INDEX('TDS Rates'!$J$6:$J$40,MATCH(G288,'TDS Rates'!$B$6:$B$40,0)),INDEX('TDS Rates'!$K$6:$K$40,MATCH(G288,'TDS Rates'!$B$6:$B$40,0)))))),IF(E288="Individual / HUF",INDEX('TDS Rates'!$I$6:$I$40,MATCH(G288,'TDS Rates'!$B$6:$B$40,0)),IF(E288="Company",INDEX('TDS Rates'!$J$6:$J$40,MATCH(G288,'TDS Rates'!$B$6:$B$40,0)),INDEX('TDS Rates'!$K$6:$K$40,MATCH(G288,'TDS Rates'!$B$6:$B$40,0))))),0))</f>
        <v/>
      </c>
      <c r="P288" s="34" t="str">
        <f aca="false">IF(OR(G288="",H288=""),"",ROUND(N288*O288,0))</f>
        <v/>
      </c>
      <c r="Q288" s="27" t="str">
        <f aca="false">IF(OR(G288="",H288=""),"",IFERROR(IF(INDEX('TDS Rates'!$E$6:$E$40,MATCH(G288,'TDS Rates'!$B$6:$B$40,0))="Form 141",EOMONTH(IF(R288="",B288,R288),0)+30,IF(MONTH(IF(R288="",B288,R288))=3,DATE(YEAR(IF(R288="",B288,R288)),4,30),DATE(YEAR(IF(R288="",B288,R288)),MONTH(IF(R288="",B288,R288))+1,7))),""))</f>
        <v/>
      </c>
      <c r="R288" s="17"/>
      <c r="S288" s="17"/>
      <c r="T288" s="5"/>
      <c r="U288" s="28" t="str">
        <f aca="false">IF(OR(G288="",H288=""),"",IF(P288=0,0,IF(IF(R288="",Settings!$C$9,R288)&lt;=B288,0,((YEAR(IF(R288="",Settings!$C$9,R288))-YEAR(B288))*12+MONTH(IF(R288="",Settings!$C$9,R288))-MONTH(B288)+1))))</f>
        <v/>
      </c>
      <c r="V288" s="29" t="str">
        <f aca="false">IF(OR(G288="",H288=""),"",ROUND(P288*Settings!$C$10*U288,0))</f>
        <v/>
      </c>
      <c r="W288" s="28" t="str">
        <f aca="false">IF(OR(G288="",H288=""),"",IF(OR(P288=0,R288=""),0,IF(IF(S288="",Settings!$C$9,S288)&lt;=Q288,0,((YEAR(IF(S288="",Settings!$C$9,S288))-YEAR(R288))*12+MONTH(IF(S288="",Settings!$C$9,S288))-MONTH(R288)+1))))</f>
        <v/>
      </c>
      <c r="X288" s="29" t="str">
        <f aca="false">IF(OR(G288="",H288=""),"",ROUND(P288*Settings!$C$11*W288,0))</f>
        <v/>
      </c>
      <c r="Y288" s="29" t="str">
        <f aca="false">IF(OR(G288="",H288=""),"",V288+X288)</f>
        <v/>
      </c>
      <c r="Z288" s="7" t="str">
        <f aca="false">IF(OR(G288="",H288=""),"",IF(P288=0,"Below threshold",IF(R288="","Not yet deducted",IF(S288="",IF(Settings!$C$9&gt;Q288,"Overdue — pay now","Deducted, due "&amp;TEXT(Q288,"dd-mmm")),IF(S288&lt;=Q288,IF(N(U288)&gt;0,"Deducted late, paid on time","Paid on time"),"Paid late")))))</f>
        <v/>
      </c>
      <c r="AA288" s="35" t="str">
        <f aca="false">IF(OR(G288="",H288=""),"",IF(D288&lt;&gt;"",UPPER(TRIM(D288)),UPPER(TRIM(C288))))</f>
        <v/>
      </c>
    </row>
    <row r="289" customFormat="false" ht="15" hidden="false" customHeight="false" outlineLevel="0" collapsed="false">
      <c r="B289" s="17"/>
      <c r="C289" s="5"/>
      <c r="D289" s="5"/>
      <c r="E289" s="5"/>
      <c r="F289" s="5"/>
      <c r="G289" s="5"/>
      <c r="H289" s="16"/>
      <c r="I289" s="7" t="str">
        <f aca="false">IF(OR(G289="",H289=""),"",IFERROR(INDEX('TDS Rates'!$D$6:$D$40,MATCH(G289,'TDS Rates'!$B$6:$B$40,0)),"Check nature"))</f>
        <v/>
      </c>
      <c r="J289" s="7" t="str">
        <f aca="false">IF(OR(G289="",H289=""),"",IFERROR(INDEX('TDS Rates'!$C$6:$C$40,MATCH(G289,'TDS Rates'!$B$6:$B$40,0)),""))</f>
        <v/>
      </c>
      <c r="K289" s="7" t="str">
        <f aca="false">IF(OR(G289="",H289=""),"",IFERROR(INDEX('TDS Rates'!$E$6:$E$40,MATCH(G289,'TDS Rates'!$B$6:$B$40,0)),""))</f>
        <v/>
      </c>
      <c r="L289" s="29" t="str">
        <f aca="false">IF(OR(G289="",H289=""),"",SUMIFS(H$6:H288,AA$6:AA288,AA289,G$6:G288,G289))</f>
        <v/>
      </c>
      <c r="M289" s="29" t="str">
        <f aca="false">IF(OR(G289="",H289=""),"",SUMIFS(H$6:H288,AA$6:AA288,AA289,G$6:G288,G289,N$6:N288,0))</f>
        <v/>
      </c>
      <c r="N289" s="29" t="str">
        <f aca="false">IF(OR(G289="",H289=""),"",IFERROR(IF(INDEX('TDS Rates'!$F$6:$F$40,MATCH(G289,'TDS Rates'!$B$6:$B$40,0))="NONE",H289,IF(INDEX('TDS Rates'!$F$6:$F$40,MATCH(G289,'TDS Rates'!$B$6:$B$40,0))="PER",IF(H289&gt;INDEX('TDS Rates'!$G$6:$G$40,MATCH(G289,'TDS Rates'!$B$6:$B$40,0)),H289,0),IF(INDEX('TDS Rates'!$F$6:$F$40,MATCH(G289,'TDS Rates'!$B$6:$B$40,0))="EXCESS",MAX(0,L289+H289-INDEX('TDS Rates'!$H$6:$H$40,MATCH(G289,'TDS Rates'!$B$6:$B$40,0)))-MAX(0,L289-INDEX('TDS Rates'!$H$6:$H$40,MATCH(G289,'TDS Rates'!$B$6:$B$40,0))),IF(INDEX('TDS Rates'!$F$6:$F$40,MATCH(G289,'TDS Rates'!$B$6:$B$40,0))="SA",IF(L289+H289&gt;INDEX('TDS Rates'!$H$6:$H$40,MATCH(G289,'TDS Rates'!$B$6:$B$40,0)),H289+M289,IF(H289&gt;INDEX('TDS Rates'!$G$6:$G$40,MATCH(G289,'TDS Rates'!$B$6:$B$40,0)),H289,0)),IF(L289+H289&gt;INDEX('TDS Rates'!$H$6:$H$40,MATCH(G289,'TDS Rates'!$B$6:$B$40,0)),H289+M289,0))))),0))</f>
        <v/>
      </c>
      <c r="O289" s="33" t="str">
        <f aca="false">IF(OR(G289="",H289=""),"",IFERROR(IF(F289="No",IF(INDEX('TDS Rates'!$C$6:$C$40,MATCH(G289,'TDS Rates'!$B$6:$B$40,0))="194Q",Settings!$C$14,MAX(Settings!$C$13,IF(E289="Individual / HUF",INDEX('TDS Rates'!$I$6:$I$40,MATCH(G289,'TDS Rates'!$B$6:$B$40,0)),IF(E289="Company",INDEX('TDS Rates'!$J$6:$J$40,MATCH(G289,'TDS Rates'!$B$6:$B$40,0)),INDEX('TDS Rates'!$K$6:$K$40,MATCH(G289,'TDS Rates'!$B$6:$B$40,0)))))),IF(E289="Individual / HUF",INDEX('TDS Rates'!$I$6:$I$40,MATCH(G289,'TDS Rates'!$B$6:$B$40,0)),IF(E289="Company",INDEX('TDS Rates'!$J$6:$J$40,MATCH(G289,'TDS Rates'!$B$6:$B$40,0)),INDEX('TDS Rates'!$K$6:$K$40,MATCH(G289,'TDS Rates'!$B$6:$B$40,0))))),0))</f>
        <v/>
      </c>
      <c r="P289" s="34" t="str">
        <f aca="false">IF(OR(G289="",H289=""),"",ROUND(N289*O289,0))</f>
        <v/>
      </c>
      <c r="Q289" s="27" t="str">
        <f aca="false">IF(OR(G289="",H289=""),"",IFERROR(IF(INDEX('TDS Rates'!$E$6:$E$40,MATCH(G289,'TDS Rates'!$B$6:$B$40,0))="Form 141",EOMONTH(IF(R289="",B289,R289),0)+30,IF(MONTH(IF(R289="",B289,R289))=3,DATE(YEAR(IF(R289="",B289,R289)),4,30),DATE(YEAR(IF(R289="",B289,R289)),MONTH(IF(R289="",B289,R289))+1,7))),""))</f>
        <v/>
      </c>
      <c r="R289" s="17"/>
      <c r="S289" s="17"/>
      <c r="T289" s="5"/>
      <c r="U289" s="28" t="str">
        <f aca="false">IF(OR(G289="",H289=""),"",IF(P289=0,0,IF(IF(R289="",Settings!$C$9,R289)&lt;=B289,0,((YEAR(IF(R289="",Settings!$C$9,R289))-YEAR(B289))*12+MONTH(IF(R289="",Settings!$C$9,R289))-MONTH(B289)+1))))</f>
        <v/>
      </c>
      <c r="V289" s="29" t="str">
        <f aca="false">IF(OR(G289="",H289=""),"",ROUND(P289*Settings!$C$10*U289,0))</f>
        <v/>
      </c>
      <c r="W289" s="28" t="str">
        <f aca="false">IF(OR(G289="",H289=""),"",IF(OR(P289=0,R289=""),0,IF(IF(S289="",Settings!$C$9,S289)&lt;=Q289,0,((YEAR(IF(S289="",Settings!$C$9,S289))-YEAR(R289))*12+MONTH(IF(S289="",Settings!$C$9,S289))-MONTH(R289)+1))))</f>
        <v/>
      </c>
      <c r="X289" s="29" t="str">
        <f aca="false">IF(OR(G289="",H289=""),"",ROUND(P289*Settings!$C$11*W289,0))</f>
        <v/>
      </c>
      <c r="Y289" s="29" t="str">
        <f aca="false">IF(OR(G289="",H289=""),"",V289+X289)</f>
        <v/>
      </c>
      <c r="Z289" s="7" t="str">
        <f aca="false">IF(OR(G289="",H289=""),"",IF(P289=0,"Below threshold",IF(R289="","Not yet deducted",IF(S289="",IF(Settings!$C$9&gt;Q289,"Overdue — pay now","Deducted, due "&amp;TEXT(Q289,"dd-mmm")),IF(S289&lt;=Q289,IF(N(U289)&gt;0,"Deducted late, paid on time","Paid on time"),"Paid late")))))</f>
        <v/>
      </c>
      <c r="AA289" s="35" t="str">
        <f aca="false">IF(OR(G289="",H289=""),"",IF(D289&lt;&gt;"",UPPER(TRIM(D289)),UPPER(TRIM(C289))))</f>
        <v/>
      </c>
    </row>
    <row r="290" customFormat="false" ht="15" hidden="false" customHeight="false" outlineLevel="0" collapsed="false">
      <c r="B290" s="17"/>
      <c r="C290" s="5"/>
      <c r="D290" s="5"/>
      <c r="E290" s="5"/>
      <c r="F290" s="5"/>
      <c r="G290" s="5"/>
      <c r="H290" s="16"/>
      <c r="I290" s="7" t="str">
        <f aca="false">IF(OR(G290="",H290=""),"",IFERROR(INDEX('TDS Rates'!$D$6:$D$40,MATCH(G290,'TDS Rates'!$B$6:$B$40,0)),"Check nature"))</f>
        <v/>
      </c>
      <c r="J290" s="7" t="str">
        <f aca="false">IF(OR(G290="",H290=""),"",IFERROR(INDEX('TDS Rates'!$C$6:$C$40,MATCH(G290,'TDS Rates'!$B$6:$B$40,0)),""))</f>
        <v/>
      </c>
      <c r="K290" s="7" t="str">
        <f aca="false">IF(OR(G290="",H290=""),"",IFERROR(INDEX('TDS Rates'!$E$6:$E$40,MATCH(G290,'TDS Rates'!$B$6:$B$40,0)),""))</f>
        <v/>
      </c>
      <c r="L290" s="29" t="str">
        <f aca="false">IF(OR(G290="",H290=""),"",SUMIFS(H$6:H289,AA$6:AA289,AA290,G$6:G289,G290))</f>
        <v/>
      </c>
      <c r="M290" s="29" t="str">
        <f aca="false">IF(OR(G290="",H290=""),"",SUMIFS(H$6:H289,AA$6:AA289,AA290,G$6:G289,G290,N$6:N289,0))</f>
        <v/>
      </c>
      <c r="N290" s="29" t="str">
        <f aca="false">IF(OR(G290="",H290=""),"",IFERROR(IF(INDEX('TDS Rates'!$F$6:$F$40,MATCH(G290,'TDS Rates'!$B$6:$B$40,0))="NONE",H290,IF(INDEX('TDS Rates'!$F$6:$F$40,MATCH(G290,'TDS Rates'!$B$6:$B$40,0))="PER",IF(H290&gt;INDEX('TDS Rates'!$G$6:$G$40,MATCH(G290,'TDS Rates'!$B$6:$B$40,0)),H290,0),IF(INDEX('TDS Rates'!$F$6:$F$40,MATCH(G290,'TDS Rates'!$B$6:$B$40,0))="EXCESS",MAX(0,L290+H290-INDEX('TDS Rates'!$H$6:$H$40,MATCH(G290,'TDS Rates'!$B$6:$B$40,0)))-MAX(0,L290-INDEX('TDS Rates'!$H$6:$H$40,MATCH(G290,'TDS Rates'!$B$6:$B$40,0))),IF(INDEX('TDS Rates'!$F$6:$F$40,MATCH(G290,'TDS Rates'!$B$6:$B$40,0))="SA",IF(L290+H290&gt;INDEX('TDS Rates'!$H$6:$H$40,MATCH(G290,'TDS Rates'!$B$6:$B$40,0)),H290+M290,IF(H290&gt;INDEX('TDS Rates'!$G$6:$G$40,MATCH(G290,'TDS Rates'!$B$6:$B$40,0)),H290,0)),IF(L290+H290&gt;INDEX('TDS Rates'!$H$6:$H$40,MATCH(G290,'TDS Rates'!$B$6:$B$40,0)),H290+M290,0))))),0))</f>
        <v/>
      </c>
      <c r="O290" s="33" t="str">
        <f aca="false">IF(OR(G290="",H290=""),"",IFERROR(IF(F290="No",IF(INDEX('TDS Rates'!$C$6:$C$40,MATCH(G290,'TDS Rates'!$B$6:$B$40,0))="194Q",Settings!$C$14,MAX(Settings!$C$13,IF(E290="Individual / HUF",INDEX('TDS Rates'!$I$6:$I$40,MATCH(G290,'TDS Rates'!$B$6:$B$40,0)),IF(E290="Company",INDEX('TDS Rates'!$J$6:$J$40,MATCH(G290,'TDS Rates'!$B$6:$B$40,0)),INDEX('TDS Rates'!$K$6:$K$40,MATCH(G290,'TDS Rates'!$B$6:$B$40,0)))))),IF(E290="Individual / HUF",INDEX('TDS Rates'!$I$6:$I$40,MATCH(G290,'TDS Rates'!$B$6:$B$40,0)),IF(E290="Company",INDEX('TDS Rates'!$J$6:$J$40,MATCH(G290,'TDS Rates'!$B$6:$B$40,0)),INDEX('TDS Rates'!$K$6:$K$40,MATCH(G290,'TDS Rates'!$B$6:$B$40,0))))),0))</f>
        <v/>
      </c>
      <c r="P290" s="34" t="str">
        <f aca="false">IF(OR(G290="",H290=""),"",ROUND(N290*O290,0))</f>
        <v/>
      </c>
      <c r="Q290" s="27" t="str">
        <f aca="false">IF(OR(G290="",H290=""),"",IFERROR(IF(INDEX('TDS Rates'!$E$6:$E$40,MATCH(G290,'TDS Rates'!$B$6:$B$40,0))="Form 141",EOMONTH(IF(R290="",B290,R290),0)+30,IF(MONTH(IF(R290="",B290,R290))=3,DATE(YEAR(IF(R290="",B290,R290)),4,30),DATE(YEAR(IF(R290="",B290,R290)),MONTH(IF(R290="",B290,R290))+1,7))),""))</f>
        <v/>
      </c>
      <c r="R290" s="17"/>
      <c r="S290" s="17"/>
      <c r="T290" s="5"/>
      <c r="U290" s="28" t="str">
        <f aca="false">IF(OR(G290="",H290=""),"",IF(P290=0,0,IF(IF(R290="",Settings!$C$9,R290)&lt;=B290,0,((YEAR(IF(R290="",Settings!$C$9,R290))-YEAR(B290))*12+MONTH(IF(R290="",Settings!$C$9,R290))-MONTH(B290)+1))))</f>
        <v/>
      </c>
      <c r="V290" s="29" t="str">
        <f aca="false">IF(OR(G290="",H290=""),"",ROUND(P290*Settings!$C$10*U290,0))</f>
        <v/>
      </c>
      <c r="W290" s="28" t="str">
        <f aca="false">IF(OR(G290="",H290=""),"",IF(OR(P290=0,R290=""),0,IF(IF(S290="",Settings!$C$9,S290)&lt;=Q290,0,((YEAR(IF(S290="",Settings!$C$9,S290))-YEAR(R290))*12+MONTH(IF(S290="",Settings!$C$9,S290))-MONTH(R290)+1))))</f>
        <v/>
      </c>
      <c r="X290" s="29" t="str">
        <f aca="false">IF(OR(G290="",H290=""),"",ROUND(P290*Settings!$C$11*W290,0))</f>
        <v/>
      </c>
      <c r="Y290" s="29" t="str">
        <f aca="false">IF(OR(G290="",H290=""),"",V290+X290)</f>
        <v/>
      </c>
      <c r="Z290" s="7" t="str">
        <f aca="false">IF(OR(G290="",H290=""),"",IF(P290=0,"Below threshold",IF(R290="","Not yet deducted",IF(S290="",IF(Settings!$C$9&gt;Q290,"Overdue — pay now","Deducted, due "&amp;TEXT(Q290,"dd-mmm")),IF(S290&lt;=Q290,IF(N(U290)&gt;0,"Deducted late, paid on time","Paid on time"),"Paid late")))))</f>
        <v/>
      </c>
      <c r="AA290" s="35" t="str">
        <f aca="false">IF(OR(G290="",H290=""),"",IF(D290&lt;&gt;"",UPPER(TRIM(D290)),UPPER(TRIM(C290))))</f>
        <v/>
      </c>
    </row>
    <row r="291" customFormat="false" ht="15" hidden="false" customHeight="false" outlineLevel="0" collapsed="false">
      <c r="B291" s="17"/>
      <c r="C291" s="5"/>
      <c r="D291" s="5"/>
      <c r="E291" s="5"/>
      <c r="F291" s="5"/>
      <c r="G291" s="5"/>
      <c r="H291" s="16"/>
      <c r="I291" s="7" t="str">
        <f aca="false">IF(OR(G291="",H291=""),"",IFERROR(INDEX('TDS Rates'!$D$6:$D$40,MATCH(G291,'TDS Rates'!$B$6:$B$40,0)),"Check nature"))</f>
        <v/>
      </c>
      <c r="J291" s="7" t="str">
        <f aca="false">IF(OR(G291="",H291=""),"",IFERROR(INDEX('TDS Rates'!$C$6:$C$40,MATCH(G291,'TDS Rates'!$B$6:$B$40,0)),""))</f>
        <v/>
      </c>
      <c r="K291" s="7" t="str">
        <f aca="false">IF(OR(G291="",H291=""),"",IFERROR(INDEX('TDS Rates'!$E$6:$E$40,MATCH(G291,'TDS Rates'!$B$6:$B$40,0)),""))</f>
        <v/>
      </c>
      <c r="L291" s="29" t="str">
        <f aca="false">IF(OR(G291="",H291=""),"",SUMIFS(H$6:H290,AA$6:AA290,AA291,G$6:G290,G291))</f>
        <v/>
      </c>
      <c r="M291" s="29" t="str">
        <f aca="false">IF(OR(G291="",H291=""),"",SUMIFS(H$6:H290,AA$6:AA290,AA291,G$6:G290,G291,N$6:N290,0))</f>
        <v/>
      </c>
      <c r="N291" s="29" t="str">
        <f aca="false">IF(OR(G291="",H291=""),"",IFERROR(IF(INDEX('TDS Rates'!$F$6:$F$40,MATCH(G291,'TDS Rates'!$B$6:$B$40,0))="NONE",H291,IF(INDEX('TDS Rates'!$F$6:$F$40,MATCH(G291,'TDS Rates'!$B$6:$B$40,0))="PER",IF(H291&gt;INDEX('TDS Rates'!$G$6:$G$40,MATCH(G291,'TDS Rates'!$B$6:$B$40,0)),H291,0),IF(INDEX('TDS Rates'!$F$6:$F$40,MATCH(G291,'TDS Rates'!$B$6:$B$40,0))="EXCESS",MAX(0,L291+H291-INDEX('TDS Rates'!$H$6:$H$40,MATCH(G291,'TDS Rates'!$B$6:$B$40,0)))-MAX(0,L291-INDEX('TDS Rates'!$H$6:$H$40,MATCH(G291,'TDS Rates'!$B$6:$B$40,0))),IF(INDEX('TDS Rates'!$F$6:$F$40,MATCH(G291,'TDS Rates'!$B$6:$B$40,0))="SA",IF(L291+H291&gt;INDEX('TDS Rates'!$H$6:$H$40,MATCH(G291,'TDS Rates'!$B$6:$B$40,0)),H291+M291,IF(H291&gt;INDEX('TDS Rates'!$G$6:$G$40,MATCH(G291,'TDS Rates'!$B$6:$B$40,0)),H291,0)),IF(L291+H291&gt;INDEX('TDS Rates'!$H$6:$H$40,MATCH(G291,'TDS Rates'!$B$6:$B$40,0)),H291+M291,0))))),0))</f>
        <v/>
      </c>
      <c r="O291" s="33" t="str">
        <f aca="false">IF(OR(G291="",H291=""),"",IFERROR(IF(F291="No",IF(INDEX('TDS Rates'!$C$6:$C$40,MATCH(G291,'TDS Rates'!$B$6:$B$40,0))="194Q",Settings!$C$14,MAX(Settings!$C$13,IF(E291="Individual / HUF",INDEX('TDS Rates'!$I$6:$I$40,MATCH(G291,'TDS Rates'!$B$6:$B$40,0)),IF(E291="Company",INDEX('TDS Rates'!$J$6:$J$40,MATCH(G291,'TDS Rates'!$B$6:$B$40,0)),INDEX('TDS Rates'!$K$6:$K$40,MATCH(G291,'TDS Rates'!$B$6:$B$40,0)))))),IF(E291="Individual / HUF",INDEX('TDS Rates'!$I$6:$I$40,MATCH(G291,'TDS Rates'!$B$6:$B$40,0)),IF(E291="Company",INDEX('TDS Rates'!$J$6:$J$40,MATCH(G291,'TDS Rates'!$B$6:$B$40,0)),INDEX('TDS Rates'!$K$6:$K$40,MATCH(G291,'TDS Rates'!$B$6:$B$40,0))))),0))</f>
        <v/>
      </c>
      <c r="P291" s="34" t="str">
        <f aca="false">IF(OR(G291="",H291=""),"",ROUND(N291*O291,0))</f>
        <v/>
      </c>
      <c r="Q291" s="27" t="str">
        <f aca="false">IF(OR(G291="",H291=""),"",IFERROR(IF(INDEX('TDS Rates'!$E$6:$E$40,MATCH(G291,'TDS Rates'!$B$6:$B$40,0))="Form 141",EOMONTH(IF(R291="",B291,R291),0)+30,IF(MONTH(IF(R291="",B291,R291))=3,DATE(YEAR(IF(R291="",B291,R291)),4,30),DATE(YEAR(IF(R291="",B291,R291)),MONTH(IF(R291="",B291,R291))+1,7))),""))</f>
        <v/>
      </c>
      <c r="R291" s="17"/>
      <c r="S291" s="17"/>
      <c r="T291" s="5"/>
      <c r="U291" s="28" t="str">
        <f aca="false">IF(OR(G291="",H291=""),"",IF(P291=0,0,IF(IF(R291="",Settings!$C$9,R291)&lt;=B291,0,((YEAR(IF(R291="",Settings!$C$9,R291))-YEAR(B291))*12+MONTH(IF(R291="",Settings!$C$9,R291))-MONTH(B291)+1))))</f>
        <v/>
      </c>
      <c r="V291" s="29" t="str">
        <f aca="false">IF(OR(G291="",H291=""),"",ROUND(P291*Settings!$C$10*U291,0))</f>
        <v/>
      </c>
      <c r="W291" s="28" t="str">
        <f aca="false">IF(OR(G291="",H291=""),"",IF(OR(P291=0,R291=""),0,IF(IF(S291="",Settings!$C$9,S291)&lt;=Q291,0,((YEAR(IF(S291="",Settings!$C$9,S291))-YEAR(R291))*12+MONTH(IF(S291="",Settings!$C$9,S291))-MONTH(R291)+1))))</f>
        <v/>
      </c>
      <c r="X291" s="29" t="str">
        <f aca="false">IF(OR(G291="",H291=""),"",ROUND(P291*Settings!$C$11*W291,0))</f>
        <v/>
      </c>
      <c r="Y291" s="29" t="str">
        <f aca="false">IF(OR(G291="",H291=""),"",V291+X291)</f>
        <v/>
      </c>
      <c r="Z291" s="7" t="str">
        <f aca="false">IF(OR(G291="",H291=""),"",IF(P291=0,"Below threshold",IF(R291="","Not yet deducted",IF(S291="",IF(Settings!$C$9&gt;Q291,"Overdue — pay now","Deducted, due "&amp;TEXT(Q291,"dd-mmm")),IF(S291&lt;=Q291,IF(N(U291)&gt;0,"Deducted late, paid on time","Paid on time"),"Paid late")))))</f>
        <v/>
      </c>
      <c r="AA291" s="35" t="str">
        <f aca="false">IF(OR(G291="",H291=""),"",IF(D291&lt;&gt;"",UPPER(TRIM(D291)),UPPER(TRIM(C291))))</f>
        <v/>
      </c>
    </row>
    <row r="292" customFormat="false" ht="15" hidden="false" customHeight="false" outlineLevel="0" collapsed="false">
      <c r="B292" s="17"/>
      <c r="C292" s="5"/>
      <c r="D292" s="5"/>
      <c r="E292" s="5"/>
      <c r="F292" s="5"/>
      <c r="G292" s="5"/>
      <c r="H292" s="16"/>
      <c r="I292" s="7" t="str">
        <f aca="false">IF(OR(G292="",H292=""),"",IFERROR(INDEX('TDS Rates'!$D$6:$D$40,MATCH(G292,'TDS Rates'!$B$6:$B$40,0)),"Check nature"))</f>
        <v/>
      </c>
      <c r="J292" s="7" t="str">
        <f aca="false">IF(OR(G292="",H292=""),"",IFERROR(INDEX('TDS Rates'!$C$6:$C$40,MATCH(G292,'TDS Rates'!$B$6:$B$40,0)),""))</f>
        <v/>
      </c>
      <c r="K292" s="7" t="str">
        <f aca="false">IF(OR(G292="",H292=""),"",IFERROR(INDEX('TDS Rates'!$E$6:$E$40,MATCH(G292,'TDS Rates'!$B$6:$B$40,0)),""))</f>
        <v/>
      </c>
      <c r="L292" s="29" t="str">
        <f aca="false">IF(OR(G292="",H292=""),"",SUMIFS(H$6:H291,AA$6:AA291,AA292,G$6:G291,G292))</f>
        <v/>
      </c>
      <c r="M292" s="29" t="str">
        <f aca="false">IF(OR(G292="",H292=""),"",SUMIFS(H$6:H291,AA$6:AA291,AA292,G$6:G291,G292,N$6:N291,0))</f>
        <v/>
      </c>
      <c r="N292" s="29" t="str">
        <f aca="false">IF(OR(G292="",H292=""),"",IFERROR(IF(INDEX('TDS Rates'!$F$6:$F$40,MATCH(G292,'TDS Rates'!$B$6:$B$40,0))="NONE",H292,IF(INDEX('TDS Rates'!$F$6:$F$40,MATCH(G292,'TDS Rates'!$B$6:$B$40,0))="PER",IF(H292&gt;INDEX('TDS Rates'!$G$6:$G$40,MATCH(G292,'TDS Rates'!$B$6:$B$40,0)),H292,0),IF(INDEX('TDS Rates'!$F$6:$F$40,MATCH(G292,'TDS Rates'!$B$6:$B$40,0))="EXCESS",MAX(0,L292+H292-INDEX('TDS Rates'!$H$6:$H$40,MATCH(G292,'TDS Rates'!$B$6:$B$40,0)))-MAX(0,L292-INDEX('TDS Rates'!$H$6:$H$40,MATCH(G292,'TDS Rates'!$B$6:$B$40,0))),IF(INDEX('TDS Rates'!$F$6:$F$40,MATCH(G292,'TDS Rates'!$B$6:$B$40,0))="SA",IF(L292+H292&gt;INDEX('TDS Rates'!$H$6:$H$40,MATCH(G292,'TDS Rates'!$B$6:$B$40,0)),H292+M292,IF(H292&gt;INDEX('TDS Rates'!$G$6:$G$40,MATCH(G292,'TDS Rates'!$B$6:$B$40,0)),H292,0)),IF(L292+H292&gt;INDEX('TDS Rates'!$H$6:$H$40,MATCH(G292,'TDS Rates'!$B$6:$B$40,0)),H292+M292,0))))),0))</f>
        <v/>
      </c>
      <c r="O292" s="33" t="str">
        <f aca="false">IF(OR(G292="",H292=""),"",IFERROR(IF(F292="No",IF(INDEX('TDS Rates'!$C$6:$C$40,MATCH(G292,'TDS Rates'!$B$6:$B$40,0))="194Q",Settings!$C$14,MAX(Settings!$C$13,IF(E292="Individual / HUF",INDEX('TDS Rates'!$I$6:$I$40,MATCH(G292,'TDS Rates'!$B$6:$B$40,0)),IF(E292="Company",INDEX('TDS Rates'!$J$6:$J$40,MATCH(G292,'TDS Rates'!$B$6:$B$40,0)),INDEX('TDS Rates'!$K$6:$K$40,MATCH(G292,'TDS Rates'!$B$6:$B$40,0)))))),IF(E292="Individual / HUF",INDEX('TDS Rates'!$I$6:$I$40,MATCH(G292,'TDS Rates'!$B$6:$B$40,0)),IF(E292="Company",INDEX('TDS Rates'!$J$6:$J$40,MATCH(G292,'TDS Rates'!$B$6:$B$40,0)),INDEX('TDS Rates'!$K$6:$K$40,MATCH(G292,'TDS Rates'!$B$6:$B$40,0))))),0))</f>
        <v/>
      </c>
      <c r="P292" s="34" t="str">
        <f aca="false">IF(OR(G292="",H292=""),"",ROUND(N292*O292,0))</f>
        <v/>
      </c>
      <c r="Q292" s="27" t="str">
        <f aca="false">IF(OR(G292="",H292=""),"",IFERROR(IF(INDEX('TDS Rates'!$E$6:$E$40,MATCH(G292,'TDS Rates'!$B$6:$B$40,0))="Form 141",EOMONTH(IF(R292="",B292,R292),0)+30,IF(MONTH(IF(R292="",B292,R292))=3,DATE(YEAR(IF(R292="",B292,R292)),4,30),DATE(YEAR(IF(R292="",B292,R292)),MONTH(IF(R292="",B292,R292))+1,7))),""))</f>
        <v/>
      </c>
      <c r="R292" s="17"/>
      <c r="S292" s="17"/>
      <c r="T292" s="5"/>
      <c r="U292" s="28" t="str">
        <f aca="false">IF(OR(G292="",H292=""),"",IF(P292=0,0,IF(IF(R292="",Settings!$C$9,R292)&lt;=B292,0,((YEAR(IF(R292="",Settings!$C$9,R292))-YEAR(B292))*12+MONTH(IF(R292="",Settings!$C$9,R292))-MONTH(B292)+1))))</f>
        <v/>
      </c>
      <c r="V292" s="29" t="str">
        <f aca="false">IF(OR(G292="",H292=""),"",ROUND(P292*Settings!$C$10*U292,0))</f>
        <v/>
      </c>
      <c r="W292" s="28" t="str">
        <f aca="false">IF(OR(G292="",H292=""),"",IF(OR(P292=0,R292=""),0,IF(IF(S292="",Settings!$C$9,S292)&lt;=Q292,0,((YEAR(IF(S292="",Settings!$C$9,S292))-YEAR(R292))*12+MONTH(IF(S292="",Settings!$C$9,S292))-MONTH(R292)+1))))</f>
        <v/>
      </c>
      <c r="X292" s="29" t="str">
        <f aca="false">IF(OR(G292="",H292=""),"",ROUND(P292*Settings!$C$11*W292,0))</f>
        <v/>
      </c>
      <c r="Y292" s="29" t="str">
        <f aca="false">IF(OR(G292="",H292=""),"",V292+X292)</f>
        <v/>
      </c>
      <c r="Z292" s="7" t="str">
        <f aca="false">IF(OR(G292="",H292=""),"",IF(P292=0,"Below threshold",IF(R292="","Not yet deducted",IF(S292="",IF(Settings!$C$9&gt;Q292,"Overdue — pay now","Deducted, due "&amp;TEXT(Q292,"dd-mmm")),IF(S292&lt;=Q292,IF(N(U292)&gt;0,"Deducted late, paid on time","Paid on time"),"Paid late")))))</f>
        <v/>
      </c>
      <c r="AA292" s="35" t="str">
        <f aca="false">IF(OR(G292="",H292=""),"",IF(D292&lt;&gt;"",UPPER(TRIM(D292)),UPPER(TRIM(C292))))</f>
        <v/>
      </c>
    </row>
    <row r="293" customFormat="false" ht="15" hidden="false" customHeight="false" outlineLevel="0" collapsed="false">
      <c r="B293" s="17"/>
      <c r="C293" s="5"/>
      <c r="D293" s="5"/>
      <c r="E293" s="5"/>
      <c r="F293" s="5"/>
      <c r="G293" s="5"/>
      <c r="H293" s="16"/>
      <c r="I293" s="7" t="str">
        <f aca="false">IF(OR(G293="",H293=""),"",IFERROR(INDEX('TDS Rates'!$D$6:$D$40,MATCH(G293,'TDS Rates'!$B$6:$B$40,0)),"Check nature"))</f>
        <v/>
      </c>
      <c r="J293" s="7" t="str">
        <f aca="false">IF(OR(G293="",H293=""),"",IFERROR(INDEX('TDS Rates'!$C$6:$C$40,MATCH(G293,'TDS Rates'!$B$6:$B$40,0)),""))</f>
        <v/>
      </c>
      <c r="K293" s="7" t="str">
        <f aca="false">IF(OR(G293="",H293=""),"",IFERROR(INDEX('TDS Rates'!$E$6:$E$40,MATCH(G293,'TDS Rates'!$B$6:$B$40,0)),""))</f>
        <v/>
      </c>
      <c r="L293" s="29" t="str">
        <f aca="false">IF(OR(G293="",H293=""),"",SUMIFS(H$6:H292,AA$6:AA292,AA293,G$6:G292,G293))</f>
        <v/>
      </c>
      <c r="M293" s="29" t="str">
        <f aca="false">IF(OR(G293="",H293=""),"",SUMIFS(H$6:H292,AA$6:AA292,AA293,G$6:G292,G293,N$6:N292,0))</f>
        <v/>
      </c>
      <c r="N293" s="29" t="str">
        <f aca="false">IF(OR(G293="",H293=""),"",IFERROR(IF(INDEX('TDS Rates'!$F$6:$F$40,MATCH(G293,'TDS Rates'!$B$6:$B$40,0))="NONE",H293,IF(INDEX('TDS Rates'!$F$6:$F$40,MATCH(G293,'TDS Rates'!$B$6:$B$40,0))="PER",IF(H293&gt;INDEX('TDS Rates'!$G$6:$G$40,MATCH(G293,'TDS Rates'!$B$6:$B$40,0)),H293,0),IF(INDEX('TDS Rates'!$F$6:$F$40,MATCH(G293,'TDS Rates'!$B$6:$B$40,0))="EXCESS",MAX(0,L293+H293-INDEX('TDS Rates'!$H$6:$H$40,MATCH(G293,'TDS Rates'!$B$6:$B$40,0)))-MAX(0,L293-INDEX('TDS Rates'!$H$6:$H$40,MATCH(G293,'TDS Rates'!$B$6:$B$40,0))),IF(INDEX('TDS Rates'!$F$6:$F$40,MATCH(G293,'TDS Rates'!$B$6:$B$40,0))="SA",IF(L293+H293&gt;INDEX('TDS Rates'!$H$6:$H$40,MATCH(G293,'TDS Rates'!$B$6:$B$40,0)),H293+M293,IF(H293&gt;INDEX('TDS Rates'!$G$6:$G$40,MATCH(G293,'TDS Rates'!$B$6:$B$40,0)),H293,0)),IF(L293+H293&gt;INDEX('TDS Rates'!$H$6:$H$40,MATCH(G293,'TDS Rates'!$B$6:$B$40,0)),H293+M293,0))))),0))</f>
        <v/>
      </c>
      <c r="O293" s="33" t="str">
        <f aca="false">IF(OR(G293="",H293=""),"",IFERROR(IF(F293="No",IF(INDEX('TDS Rates'!$C$6:$C$40,MATCH(G293,'TDS Rates'!$B$6:$B$40,0))="194Q",Settings!$C$14,MAX(Settings!$C$13,IF(E293="Individual / HUF",INDEX('TDS Rates'!$I$6:$I$40,MATCH(G293,'TDS Rates'!$B$6:$B$40,0)),IF(E293="Company",INDEX('TDS Rates'!$J$6:$J$40,MATCH(G293,'TDS Rates'!$B$6:$B$40,0)),INDEX('TDS Rates'!$K$6:$K$40,MATCH(G293,'TDS Rates'!$B$6:$B$40,0)))))),IF(E293="Individual / HUF",INDEX('TDS Rates'!$I$6:$I$40,MATCH(G293,'TDS Rates'!$B$6:$B$40,0)),IF(E293="Company",INDEX('TDS Rates'!$J$6:$J$40,MATCH(G293,'TDS Rates'!$B$6:$B$40,0)),INDEX('TDS Rates'!$K$6:$K$40,MATCH(G293,'TDS Rates'!$B$6:$B$40,0))))),0))</f>
        <v/>
      </c>
      <c r="P293" s="34" t="str">
        <f aca="false">IF(OR(G293="",H293=""),"",ROUND(N293*O293,0))</f>
        <v/>
      </c>
      <c r="Q293" s="27" t="str">
        <f aca="false">IF(OR(G293="",H293=""),"",IFERROR(IF(INDEX('TDS Rates'!$E$6:$E$40,MATCH(G293,'TDS Rates'!$B$6:$B$40,0))="Form 141",EOMONTH(IF(R293="",B293,R293),0)+30,IF(MONTH(IF(R293="",B293,R293))=3,DATE(YEAR(IF(R293="",B293,R293)),4,30),DATE(YEAR(IF(R293="",B293,R293)),MONTH(IF(R293="",B293,R293))+1,7))),""))</f>
        <v/>
      </c>
      <c r="R293" s="17"/>
      <c r="S293" s="17"/>
      <c r="T293" s="5"/>
      <c r="U293" s="28" t="str">
        <f aca="false">IF(OR(G293="",H293=""),"",IF(P293=0,0,IF(IF(R293="",Settings!$C$9,R293)&lt;=B293,0,((YEAR(IF(R293="",Settings!$C$9,R293))-YEAR(B293))*12+MONTH(IF(R293="",Settings!$C$9,R293))-MONTH(B293)+1))))</f>
        <v/>
      </c>
      <c r="V293" s="29" t="str">
        <f aca="false">IF(OR(G293="",H293=""),"",ROUND(P293*Settings!$C$10*U293,0))</f>
        <v/>
      </c>
      <c r="W293" s="28" t="str">
        <f aca="false">IF(OR(G293="",H293=""),"",IF(OR(P293=0,R293=""),0,IF(IF(S293="",Settings!$C$9,S293)&lt;=Q293,0,((YEAR(IF(S293="",Settings!$C$9,S293))-YEAR(R293))*12+MONTH(IF(S293="",Settings!$C$9,S293))-MONTH(R293)+1))))</f>
        <v/>
      </c>
      <c r="X293" s="29" t="str">
        <f aca="false">IF(OR(G293="",H293=""),"",ROUND(P293*Settings!$C$11*W293,0))</f>
        <v/>
      </c>
      <c r="Y293" s="29" t="str">
        <f aca="false">IF(OR(G293="",H293=""),"",V293+X293)</f>
        <v/>
      </c>
      <c r="Z293" s="7" t="str">
        <f aca="false">IF(OR(G293="",H293=""),"",IF(P293=0,"Below threshold",IF(R293="","Not yet deducted",IF(S293="",IF(Settings!$C$9&gt;Q293,"Overdue — pay now","Deducted, due "&amp;TEXT(Q293,"dd-mmm")),IF(S293&lt;=Q293,IF(N(U293)&gt;0,"Deducted late, paid on time","Paid on time"),"Paid late")))))</f>
        <v/>
      </c>
      <c r="AA293" s="35" t="str">
        <f aca="false">IF(OR(G293="",H293=""),"",IF(D293&lt;&gt;"",UPPER(TRIM(D293)),UPPER(TRIM(C293))))</f>
        <v/>
      </c>
    </row>
    <row r="294" customFormat="false" ht="15" hidden="false" customHeight="false" outlineLevel="0" collapsed="false">
      <c r="B294" s="17"/>
      <c r="C294" s="5"/>
      <c r="D294" s="5"/>
      <c r="E294" s="5"/>
      <c r="F294" s="5"/>
      <c r="G294" s="5"/>
      <c r="H294" s="16"/>
      <c r="I294" s="7" t="str">
        <f aca="false">IF(OR(G294="",H294=""),"",IFERROR(INDEX('TDS Rates'!$D$6:$D$40,MATCH(G294,'TDS Rates'!$B$6:$B$40,0)),"Check nature"))</f>
        <v/>
      </c>
      <c r="J294" s="7" t="str">
        <f aca="false">IF(OR(G294="",H294=""),"",IFERROR(INDEX('TDS Rates'!$C$6:$C$40,MATCH(G294,'TDS Rates'!$B$6:$B$40,0)),""))</f>
        <v/>
      </c>
      <c r="K294" s="7" t="str">
        <f aca="false">IF(OR(G294="",H294=""),"",IFERROR(INDEX('TDS Rates'!$E$6:$E$40,MATCH(G294,'TDS Rates'!$B$6:$B$40,0)),""))</f>
        <v/>
      </c>
      <c r="L294" s="29" t="str">
        <f aca="false">IF(OR(G294="",H294=""),"",SUMIFS(H$6:H293,AA$6:AA293,AA294,G$6:G293,G294))</f>
        <v/>
      </c>
      <c r="M294" s="29" t="str">
        <f aca="false">IF(OR(G294="",H294=""),"",SUMIFS(H$6:H293,AA$6:AA293,AA294,G$6:G293,G294,N$6:N293,0))</f>
        <v/>
      </c>
      <c r="N294" s="29" t="str">
        <f aca="false">IF(OR(G294="",H294=""),"",IFERROR(IF(INDEX('TDS Rates'!$F$6:$F$40,MATCH(G294,'TDS Rates'!$B$6:$B$40,0))="NONE",H294,IF(INDEX('TDS Rates'!$F$6:$F$40,MATCH(G294,'TDS Rates'!$B$6:$B$40,0))="PER",IF(H294&gt;INDEX('TDS Rates'!$G$6:$G$40,MATCH(G294,'TDS Rates'!$B$6:$B$40,0)),H294,0),IF(INDEX('TDS Rates'!$F$6:$F$40,MATCH(G294,'TDS Rates'!$B$6:$B$40,0))="EXCESS",MAX(0,L294+H294-INDEX('TDS Rates'!$H$6:$H$40,MATCH(G294,'TDS Rates'!$B$6:$B$40,0)))-MAX(0,L294-INDEX('TDS Rates'!$H$6:$H$40,MATCH(G294,'TDS Rates'!$B$6:$B$40,0))),IF(INDEX('TDS Rates'!$F$6:$F$40,MATCH(G294,'TDS Rates'!$B$6:$B$40,0))="SA",IF(L294+H294&gt;INDEX('TDS Rates'!$H$6:$H$40,MATCH(G294,'TDS Rates'!$B$6:$B$40,0)),H294+M294,IF(H294&gt;INDEX('TDS Rates'!$G$6:$G$40,MATCH(G294,'TDS Rates'!$B$6:$B$40,0)),H294,0)),IF(L294+H294&gt;INDEX('TDS Rates'!$H$6:$H$40,MATCH(G294,'TDS Rates'!$B$6:$B$40,0)),H294+M294,0))))),0))</f>
        <v/>
      </c>
      <c r="O294" s="33" t="str">
        <f aca="false">IF(OR(G294="",H294=""),"",IFERROR(IF(F294="No",IF(INDEX('TDS Rates'!$C$6:$C$40,MATCH(G294,'TDS Rates'!$B$6:$B$40,0))="194Q",Settings!$C$14,MAX(Settings!$C$13,IF(E294="Individual / HUF",INDEX('TDS Rates'!$I$6:$I$40,MATCH(G294,'TDS Rates'!$B$6:$B$40,0)),IF(E294="Company",INDEX('TDS Rates'!$J$6:$J$40,MATCH(G294,'TDS Rates'!$B$6:$B$40,0)),INDEX('TDS Rates'!$K$6:$K$40,MATCH(G294,'TDS Rates'!$B$6:$B$40,0)))))),IF(E294="Individual / HUF",INDEX('TDS Rates'!$I$6:$I$40,MATCH(G294,'TDS Rates'!$B$6:$B$40,0)),IF(E294="Company",INDEX('TDS Rates'!$J$6:$J$40,MATCH(G294,'TDS Rates'!$B$6:$B$40,0)),INDEX('TDS Rates'!$K$6:$K$40,MATCH(G294,'TDS Rates'!$B$6:$B$40,0))))),0))</f>
        <v/>
      </c>
      <c r="P294" s="34" t="str">
        <f aca="false">IF(OR(G294="",H294=""),"",ROUND(N294*O294,0))</f>
        <v/>
      </c>
      <c r="Q294" s="27" t="str">
        <f aca="false">IF(OR(G294="",H294=""),"",IFERROR(IF(INDEX('TDS Rates'!$E$6:$E$40,MATCH(G294,'TDS Rates'!$B$6:$B$40,0))="Form 141",EOMONTH(IF(R294="",B294,R294),0)+30,IF(MONTH(IF(R294="",B294,R294))=3,DATE(YEAR(IF(R294="",B294,R294)),4,30),DATE(YEAR(IF(R294="",B294,R294)),MONTH(IF(R294="",B294,R294))+1,7))),""))</f>
        <v/>
      </c>
      <c r="R294" s="17"/>
      <c r="S294" s="17"/>
      <c r="T294" s="5"/>
      <c r="U294" s="28" t="str">
        <f aca="false">IF(OR(G294="",H294=""),"",IF(P294=0,0,IF(IF(R294="",Settings!$C$9,R294)&lt;=B294,0,((YEAR(IF(R294="",Settings!$C$9,R294))-YEAR(B294))*12+MONTH(IF(R294="",Settings!$C$9,R294))-MONTH(B294)+1))))</f>
        <v/>
      </c>
      <c r="V294" s="29" t="str">
        <f aca="false">IF(OR(G294="",H294=""),"",ROUND(P294*Settings!$C$10*U294,0))</f>
        <v/>
      </c>
      <c r="W294" s="28" t="str">
        <f aca="false">IF(OR(G294="",H294=""),"",IF(OR(P294=0,R294=""),0,IF(IF(S294="",Settings!$C$9,S294)&lt;=Q294,0,((YEAR(IF(S294="",Settings!$C$9,S294))-YEAR(R294))*12+MONTH(IF(S294="",Settings!$C$9,S294))-MONTH(R294)+1))))</f>
        <v/>
      </c>
      <c r="X294" s="29" t="str">
        <f aca="false">IF(OR(G294="",H294=""),"",ROUND(P294*Settings!$C$11*W294,0))</f>
        <v/>
      </c>
      <c r="Y294" s="29" t="str">
        <f aca="false">IF(OR(G294="",H294=""),"",V294+X294)</f>
        <v/>
      </c>
      <c r="Z294" s="7" t="str">
        <f aca="false">IF(OR(G294="",H294=""),"",IF(P294=0,"Below threshold",IF(R294="","Not yet deducted",IF(S294="",IF(Settings!$C$9&gt;Q294,"Overdue — pay now","Deducted, due "&amp;TEXT(Q294,"dd-mmm")),IF(S294&lt;=Q294,IF(N(U294)&gt;0,"Deducted late, paid on time","Paid on time"),"Paid late")))))</f>
        <v/>
      </c>
      <c r="AA294" s="35" t="str">
        <f aca="false">IF(OR(G294="",H294=""),"",IF(D294&lt;&gt;"",UPPER(TRIM(D294)),UPPER(TRIM(C294))))</f>
        <v/>
      </c>
    </row>
    <row r="295" customFormat="false" ht="15" hidden="false" customHeight="false" outlineLevel="0" collapsed="false">
      <c r="B295" s="17"/>
      <c r="C295" s="5"/>
      <c r="D295" s="5"/>
      <c r="E295" s="5"/>
      <c r="F295" s="5"/>
      <c r="G295" s="5"/>
      <c r="H295" s="16"/>
      <c r="I295" s="7" t="str">
        <f aca="false">IF(OR(G295="",H295=""),"",IFERROR(INDEX('TDS Rates'!$D$6:$D$40,MATCH(G295,'TDS Rates'!$B$6:$B$40,0)),"Check nature"))</f>
        <v/>
      </c>
      <c r="J295" s="7" t="str">
        <f aca="false">IF(OR(G295="",H295=""),"",IFERROR(INDEX('TDS Rates'!$C$6:$C$40,MATCH(G295,'TDS Rates'!$B$6:$B$40,0)),""))</f>
        <v/>
      </c>
      <c r="K295" s="7" t="str">
        <f aca="false">IF(OR(G295="",H295=""),"",IFERROR(INDEX('TDS Rates'!$E$6:$E$40,MATCH(G295,'TDS Rates'!$B$6:$B$40,0)),""))</f>
        <v/>
      </c>
      <c r="L295" s="29" t="str">
        <f aca="false">IF(OR(G295="",H295=""),"",SUMIFS(H$6:H294,AA$6:AA294,AA295,G$6:G294,G295))</f>
        <v/>
      </c>
      <c r="M295" s="29" t="str">
        <f aca="false">IF(OR(G295="",H295=""),"",SUMIFS(H$6:H294,AA$6:AA294,AA295,G$6:G294,G295,N$6:N294,0))</f>
        <v/>
      </c>
      <c r="N295" s="29" t="str">
        <f aca="false">IF(OR(G295="",H295=""),"",IFERROR(IF(INDEX('TDS Rates'!$F$6:$F$40,MATCH(G295,'TDS Rates'!$B$6:$B$40,0))="NONE",H295,IF(INDEX('TDS Rates'!$F$6:$F$40,MATCH(G295,'TDS Rates'!$B$6:$B$40,0))="PER",IF(H295&gt;INDEX('TDS Rates'!$G$6:$G$40,MATCH(G295,'TDS Rates'!$B$6:$B$40,0)),H295,0),IF(INDEX('TDS Rates'!$F$6:$F$40,MATCH(G295,'TDS Rates'!$B$6:$B$40,0))="EXCESS",MAX(0,L295+H295-INDEX('TDS Rates'!$H$6:$H$40,MATCH(G295,'TDS Rates'!$B$6:$B$40,0)))-MAX(0,L295-INDEX('TDS Rates'!$H$6:$H$40,MATCH(G295,'TDS Rates'!$B$6:$B$40,0))),IF(INDEX('TDS Rates'!$F$6:$F$40,MATCH(G295,'TDS Rates'!$B$6:$B$40,0))="SA",IF(L295+H295&gt;INDEX('TDS Rates'!$H$6:$H$40,MATCH(G295,'TDS Rates'!$B$6:$B$40,0)),H295+M295,IF(H295&gt;INDEX('TDS Rates'!$G$6:$G$40,MATCH(G295,'TDS Rates'!$B$6:$B$40,0)),H295,0)),IF(L295+H295&gt;INDEX('TDS Rates'!$H$6:$H$40,MATCH(G295,'TDS Rates'!$B$6:$B$40,0)),H295+M295,0))))),0))</f>
        <v/>
      </c>
      <c r="O295" s="33" t="str">
        <f aca="false">IF(OR(G295="",H295=""),"",IFERROR(IF(F295="No",IF(INDEX('TDS Rates'!$C$6:$C$40,MATCH(G295,'TDS Rates'!$B$6:$B$40,0))="194Q",Settings!$C$14,MAX(Settings!$C$13,IF(E295="Individual / HUF",INDEX('TDS Rates'!$I$6:$I$40,MATCH(G295,'TDS Rates'!$B$6:$B$40,0)),IF(E295="Company",INDEX('TDS Rates'!$J$6:$J$40,MATCH(G295,'TDS Rates'!$B$6:$B$40,0)),INDEX('TDS Rates'!$K$6:$K$40,MATCH(G295,'TDS Rates'!$B$6:$B$40,0)))))),IF(E295="Individual / HUF",INDEX('TDS Rates'!$I$6:$I$40,MATCH(G295,'TDS Rates'!$B$6:$B$40,0)),IF(E295="Company",INDEX('TDS Rates'!$J$6:$J$40,MATCH(G295,'TDS Rates'!$B$6:$B$40,0)),INDEX('TDS Rates'!$K$6:$K$40,MATCH(G295,'TDS Rates'!$B$6:$B$40,0))))),0))</f>
        <v/>
      </c>
      <c r="P295" s="34" t="str">
        <f aca="false">IF(OR(G295="",H295=""),"",ROUND(N295*O295,0))</f>
        <v/>
      </c>
      <c r="Q295" s="27" t="str">
        <f aca="false">IF(OR(G295="",H295=""),"",IFERROR(IF(INDEX('TDS Rates'!$E$6:$E$40,MATCH(G295,'TDS Rates'!$B$6:$B$40,0))="Form 141",EOMONTH(IF(R295="",B295,R295),0)+30,IF(MONTH(IF(R295="",B295,R295))=3,DATE(YEAR(IF(R295="",B295,R295)),4,30),DATE(YEAR(IF(R295="",B295,R295)),MONTH(IF(R295="",B295,R295))+1,7))),""))</f>
        <v/>
      </c>
      <c r="R295" s="17"/>
      <c r="S295" s="17"/>
      <c r="T295" s="5"/>
      <c r="U295" s="28" t="str">
        <f aca="false">IF(OR(G295="",H295=""),"",IF(P295=0,0,IF(IF(R295="",Settings!$C$9,R295)&lt;=B295,0,((YEAR(IF(R295="",Settings!$C$9,R295))-YEAR(B295))*12+MONTH(IF(R295="",Settings!$C$9,R295))-MONTH(B295)+1))))</f>
        <v/>
      </c>
      <c r="V295" s="29" t="str">
        <f aca="false">IF(OR(G295="",H295=""),"",ROUND(P295*Settings!$C$10*U295,0))</f>
        <v/>
      </c>
      <c r="W295" s="28" t="str">
        <f aca="false">IF(OR(G295="",H295=""),"",IF(OR(P295=0,R295=""),0,IF(IF(S295="",Settings!$C$9,S295)&lt;=Q295,0,((YEAR(IF(S295="",Settings!$C$9,S295))-YEAR(R295))*12+MONTH(IF(S295="",Settings!$C$9,S295))-MONTH(R295)+1))))</f>
        <v/>
      </c>
      <c r="X295" s="29" t="str">
        <f aca="false">IF(OR(G295="",H295=""),"",ROUND(P295*Settings!$C$11*W295,0))</f>
        <v/>
      </c>
      <c r="Y295" s="29" t="str">
        <f aca="false">IF(OR(G295="",H295=""),"",V295+X295)</f>
        <v/>
      </c>
      <c r="Z295" s="7" t="str">
        <f aca="false">IF(OR(G295="",H295=""),"",IF(P295=0,"Below threshold",IF(R295="","Not yet deducted",IF(S295="",IF(Settings!$C$9&gt;Q295,"Overdue — pay now","Deducted, due "&amp;TEXT(Q295,"dd-mmm")),IF(S295&lt;=Q295,IF(N(U295)&gt;0,"Deducted late, paid on time","Paid on time"),"Paid late")))))</f>
        <v/>
      </c>
      <c r="AA295" s="35" t="str">
        <f aca="false">IF(OR(G295="",H295=""),"",IF(D295&lt;&gt;"",UPPER(TRIM(D295)),UPPER(TRIM(C295))))</f>
        <v/>
      </c>
    </row>
    <row r="296" customFormat="false" ht="15" hidden="false" customHeight="false" outlineLevel="0" collapsed="false">
      <c r="B296" s="17"/>
      <c r="C296" s="5"/>
      <c r="D296" s="5"/>
      <c r="E296" s="5"/>
      <c r="F296" s="5"/>
      <c r="G296" s="5"/>
      <c r="H296" s="16"/>
      <c r="I296" s="7" t="str">
        <f aca="false">IF(OR(G296="",H296=""),"",IFERROR(INDEX('TDS Rates'!$D$6:$D$40,MATCH(G296,'TDS Rates'!$B$6:$B$40,0)),"Check nature"))</f>
        <v/>
      </c>
      <c r="J296" s="7" t="str">
        <f aca="false">IF(OR(G296="",H296=""),"",IFERROR(INDEX('TDS Rates'!$C$6:$C$40,MATCH(G296,'TDS Rates'!$B$6:$B$40,0)),""))</f>
        <v/>
      </c>
      <c r="K296" s="7" t="str">
        <f aca="false">IF(OR(G296="",H296=""),"",IFERROR(INDEX('TDS Rates'!$E$6:$E$40,MATCH(G296,'TDS Rates'!$B$6:$B$40,0)),""))</f>
        <v/>
      </c>
      <c r="L296" s="29" t="str">
        <f aca="false">IF(OR(G296="",H296=""),"",SUMIFS(H$6:H295,AA$6:AA295,AA296,G$6:G295,G296))</f>
        <v/>
      </c>
      <c r="M296" s="29" t="str">
        <f aca="false">IF(OR(G296="",H296=""),"",SUMIFS(H$6:H295,AA$6:AA295,AA296,G$6:G295,G296,N$6:N295,0))</f>
        <v/>
      </c>
      <c r="N296" s="29" t="str">
        <f aca="false">IF(OR(G296="",H296=""),"",IFERROR(IF(INDEX('TDS Rates'!$F$6:$F$40,MATCH(G296,'TDS Rates'!$B$6:$B$40,0))="NONE",H296,IF(INDEX('TDS Rates'!$F$6:$F$40,MATCH(G296,'TDS Rates'!$B$6:$B$40,0))="PER",IF(H296&gt;INDEX('TDS Rates'!$G$6:$G$40,MATCH(G296,'TDS Rates'!$B$6:$B$40,0)),H296,0),IF(INDEX('TDS Rates'!$F$6:$F$40,MATCH(G296,'TDS Rates'!$B$6:$B$40,0))="EXCESS",MAX(0,L296+H296-INDEX('TDS Rates'!$H$6:$H$40,MATCH(G296,'TDS Rates'!$B$6:$B$40,0)))-MAX(0,L296-INDEX('TDS Rates'!$H$6:$H$40,MATCH(G296,'TDS Rates'!$B$6:$B$40,0))),IF(INDEX('TDS Rates'!$F$6:$F$40,MATCH(G296,'TDS Rates'!$B$6:$B$40,0))="SA",IF(L296+H296&gt;INDEX('TDS Rates'!$H$6:$H$40,MATCH(G296,'TDS Rates'!$B$6:$B$40,0)),H296+M296,IF(H296&gt;INDEX('TDS Rates'!$G$6:$G$40,MATCH(G296,'TDS Rates'!$B$6:$B$40,0)),H296,0)),IF(L296+H296&gt;INDEX('TDS Rates'!$H$6:$H$40,MATCH(G296,'TDS Rates'!$B$6:$B$40,0)),H296+M296,0))))),0))</f>
        <v/>
      </c>
      <c r="O296" s="33" t="str">
        <f aca="false">IF(OR(G296="",H296=""),"",IFERROR(IF(F296="No",IF(INDEX('TDS Rates'!$C$6:$C$40,MATCH(G296,'TDS Rates'!$B$6:$B$40,0))="194Q",Settings!$C$14,MAX(Settings!$C$13,IF(E296="Individual / HUF",INDEX('TDS Rates'!$I$6:$I$40,MATCH(G296,'TDS Rates'!$B$6:$B$40,0)),IF(E296="Company",INDEX('TDS Rates'!$J$6:$J$40,MATCH(G296,'TDS Rates'!$B$6:$B$40,0)),INDEX('TDS Rates'!$K$6:$K$40,MATCH(G296,'TDS Rates'!$B$6:$B$40,0)))))),IF(E296="Individual / HUF",INDEX('TDS Rates'!$I$6:$I$40,MATCH(G296,'TDS Rates'!$B$6:$B$40,0)),IF(E296="Company",INDEX('TDS Rates'!$J$6:$J$40,MATCH(G296,'TDS Rates'!$B$6:$B$40,0)),INDEX('TDS Rates'!$K$6:$K$40,MATCH(G296,'TDS Rates'!$B$6:$B$40,0))))),0))</f>
        <v/>
      </c>
      <c r="P296" s="34" t="str">
        <f aca="false">IF(OR(G296="",H296=""),"",ROUND(N296*O296,0))</f>
        <v/>
      </c>
      <c r="Q296" s="27" t="str">
        <f aca="false">IF(OR(G296="",H296=""),"",IFERROR(IF(INDEX('TDS Rates'!$E$6:$E$40,MATCH(G296,'TDS Rates'!$B$6:$B$40,0))="Form 141",EOMONTH(IF(R296="",B296,R296),0)+30,IF(MONTH(IF(R296="",B296,R296))=3,DATE(YEAR(IF(R296="",B296,R296)),4,30),DATE(YEAR(IF(R296="",B296,R296)),MONTH(IF(R296="",B296,R296))+1,7))),""))</f>
        <v/>
      </c>
      <c r="R296" s="17"/>
      <c r="S296" s="17"/>
      <c r="T296" s="5"/>
      <c r="U296" s="28" t="str">
        <f aca="false">IF(OR(G296="",H296=""),"",IF(P296=0,0,IF(IF(R296="",Settings!$C$9,R296)&lt;=B296,0,((YEAR(IF(R296="",Settings!$C$9,R296))-YEAR(B296))*12+MONTH(IF(R296="",Settings!$C$9,R296))-MONTH(B296)+1))))</f>
        <v/>
      </c>
      <c r="V296" s="29" t="str">
        <f aca="false">IF(OR(G296="",H296=""),"",ROUND(P296*Settings!$C$10*U296,0))</f>
        <v/>
      </c>
      <c r="W296" s="28" t="str">
        <f aca="false">IF(OR(G296="",H296=""),"",IF(OR(P296=0,R296=""),0,IF(IF(S296="",Settings!$C$9,S296)&lt;=Q296,0,((YEAR(IF(S296="",Settings!$C$9,S296))-YEAR(R296))*12+MONTH(IF(S296="",Settings!$C$9,S296))-MONTH(R296)+1))))</f>
        <v/>
      </c>
      <c r="X296" s="29" t="str">
        <f aca="false">IF(OR(G296="",H296=""),"",ROUND(P296*Settings!$C$11*W296,0))</f>
        <v/>
      </c>
      <c r="Y296" s="29" t="str">
        <f aca="false">IF(OR(G296="",H296=""),"",V296+X296)</f>
        <v/>
      </c>
      <c r="Z296" s="7" t="str">
        <f aca="false">IF(OR(G296="",H296=""),"",IF(P296=0,"Below threshold",IF(R296="","Not yet deducted",IF(S296="",IF(Settings!$C$9&gt;Q296,"Overdue — pay now","Deducted, due "&amp;TEXT(Q296,"dd-mmm")),IF(S296&lt;=Q296,IF(N(U296)&gt;0,"Deducted late, paid on time","Paid on time"),"Paid late")))))</f>
        <v/>
      </c>
      <c r="AA296" s="35" t="str">
        <f aca="false">IF(OR(G296="",H296=""),"",IF(D296&lt;&gt;"",UPPER(TRIM(D296)),UPPER(TRIM(C296))))</f>
        <v/>
      </c>
    </row>
    <row r="297" customFormat="false" ht="15" hidden="false" customHeight="false" outlineLevel="0" collapsed="false">
      <c r="B297" s="17"/>
      <c r="C297" s="5"/>
      <c r="D297" s="5"/>
      <c r="E297" s="5"/>
      <c r="F297" s="5"/>
      <c r="G297" s="5"/>
      <c r="H297" s="16"/>
      <c r="I297" s="7" t="str">
        <f aca="false">IF(OR(G297="",H297=""),"",IFERROR(INDEX('TDS Rates'!$D$6:$D$40,MATCH(G297,'TDS Rates'!$B$6:$B$40,0)),"Check nature"))</f>
        <v/>
      </c>
      <c r="J297" s="7" t="str">
        <f aca="false">IF(OR(G297="",H297=""),"",IFERROR(INDEX('TDS Rates'!$C$6:$C$40,MATCH(G297,'TDS Rates'!$B$6:$B$40,0)),""))</f>
        <v/>
      </c>
      <c r="K297" s="7" t="str">
        <f aca="false">IF(OR(G297="",H297=""),"",IFERROR(INDEX('TDS Rates'!$E$6:$E$40,MATCH(G297,'TDS Rates'!$B$6:$B$40,0)),""))</f>
        <v/>
      </c>
      <c r="L297" s="29" t="str">
        <f aca="false">IF(OR(G297="",H297=""),"",SUMIFS(H$6:H296,AA$6:AA296,AA297,G$6:G296,G297))</f>
        <v/>
      </c>
      <c r="M297" s="29" t="str">
        <f aca="false">IF(OR(G297="",H297=""),"",SUMIFS(H$6:H296,AA$6:AA296,AA297,G$6:G296,G297,N$6:N296,0))</f>
        <v/>
      </c>
      <c r="N297" s="29" t="str">
        <f aca="false">IF(OR(G297="",H297=""),"",IFERROR(IF(INDEX('TDS Rates'!$F$6:$F$40,MATCH(G297,'TDS Rates'!$B$6:$B$40,0))="NONE",H297,IF(INDEX('TDS Rates'!$F$6:$F$40,MATCH(G297,'TDS Rates'!$B$6:$B$40,0))="PER",IF(H297&gt;INDEX('TDS Rates'!$G$6:$G$40,MATCH(G297,'TDS Rates'!$B$6:$B$40,0)),H297,0),IF(INDEX('TDS Rates'!$F$6:$F$40,MATCH(G297,'TDS Rates'!$B$6:$B$40,0))="EXCESS",MAX(0,L297+H297-INDEX('TDS Rates'!$H$6:$H$40,MATCH(G297,'TDS Rates'!$B$6:$B$40,0)))-MAX(0,L297-INDEX('TDS Rates'!$H$6:$H$40,MATCH(G297,'TDS Rates'!$B$6:$B$40,0))),IF(INDEX('TDS Rates'!$F$6:$F$40,MATCH(G297,'TDS Rates'!$B$6:$B$40,0))="SA",IF(L297+H297&gt;INDEX('TDS Rates'!$H$6:$H$40,MATCH(G297,'TDS Rates'!$B$6:$B$40,0)),H297+M297,IF(H297&gt;INDEX('TDS Rates'!$G$6:$G$40,MATCH(G297,'TDS Rates'!$B$6:$B$40,0)),H297,0)),IF(L297+H297&gt;INDEX('TDS Rates'!$H$6:$H$40,MATCH(G297,'TDS Rates'!$B$6:$B$40,0)),H297+M297,0))))),0))</f>
        <v/>
      </c>
      <c r="O297" s="33" t="str">
        <f aca="false">IF(OR(G297="",H297=""),"",IFERROR(IF(F297="No",IF(INDEX('TDS Rates'!$C$6:$C$40,MATCH(G297,'TDS Rates'!$B$6:$B$40,0))="194Q",Settings!$C$14,MAX(Settings!$C$13,IF(E297="Individual / HUF",INDEX('TDS Rates'!$I$6:$I$40,MATCH(G297,'TDS Rates'!$B$6:$B$40,0)),IF(E297="Company",INDEX('TDS Rates'!$J$6:$J$40,MATCH(G297,'TDS Rates'!$B$6:$B$40,0)),INDEX('TDS Rates'!$K$6:$K$40,MATCH(G297,'TDS Rates'!$B$6:$B$40,0)))))),IF(E297="Individual / HUF",INDEX('TDS Rates'!$I$6:$I$40,MATCH(G297,'TDS Rates'!$B$6:$B$40,0)),IF(E297="Company",INDEX('TDS Rates'!$J$6:$J$40,MATCH(G297,'TDS Rates'!$B$6:$B$40,0)),INDEX('TDS Rates'!$K$6:$K$40,MATCH(G297,'TDS Rates'!$B$6:$B$40,0))))),0))</f>
        <v/>
      </c>
      <c r="P297" s="34" t="str">
        <f aca="false">IF(OR(G297="",H297=""),"",ROUND(N297*O297,0))</f>
        <v/>
      </c>
      <c r="Q297" s="27" t="str">
        <f aca="false">IF(OR(G297="",H297=""),"",IFERROR(IF(INDEX('TDS Rates'!$E$6:$E$40,MATCH(G297,'TDS Rates'!$B$6:$B$40,0))="Form 141",EOMONTH(IF(R297="",B297,R297),0)+30,IF(MONTH(IF(R297="",B297,R297))=3,DATE(YEAR(IF(R297="",B297,R297)),4,30),DATE(YEAR(IF(R297="",B297,R297)),MONTH(IF(R297="",B297,R297))+1,7))),""))</f>
        <v/>
      </c>
      <c r="R297" s="17"/>
      <c r="S297" s="17"/>
      <c r="T297" s="5"/>
      <c r="U297" s="28" t="str">
        <f aca="false">IF(OR(G297="",H297=""),"",IF(P297=0,0,IF(IF(R297="",Settings!$C$9,R297)&lt;=B297,0,((YEAR(IF(R297="",Settings!$C$9,R297))-YEAR(B297))*12+MONTH(IF(R297="",Settings!$C$9,R297))-MONTH(B297)+1))))</f>
        <v/>
      </c>
      <c r="V297" s="29" t="str">
        <f aca="false">IF(OR(G297="",H297=""),"",ROUND(P297*Settings!$C$10*U297,0))</f>
        <v/>
      </c>
      <c r="W297" s="28" t="str">
        <f aca="false">IF(OR(G297="",H297=""),"",IF(OR(P297=0,R297=""),0,IF(IF(S297="",Settings!$C$9,S297)&lt;=Q297,0,((YEAR(IF(S297="",Settings!$C$9,S297))-YEAR(R297))*12+MONTH(IF(S297="",Settings!$C$9,S297))-MONTH(R297)+1))))</f>
        <v/>
      </c>
      <c r="X297" s="29" t="str">
        <f aca="false">IF(OR(G297="",H297=""),"",ROUND(P297*Settings!$C$11*W297,0))</f>
        <v/>
      </c>
      <c r="Y297" s="29" t="str">
        <f aca="false">IF(OR(G297="",H297=""),"",V297+X297)</f>
        <v/>
      </c>
      <c r="Z297" s="7" t="str">
        <f aca="false">IF(OR(G297="",H297=""),"",IF(P297=0,"Below threshold",IF(R297="","Not yet deducted",IF(S297="",IF(Settings!$C$9&gt;Q297,"Overdue — pay now","Deducted, due "&amp;TEXT(Q297,"dd-mmm")),IF(S297&lt;=Q297,IF(N(U297)&gt;0,"Deducted late, paid on time","Paid on time"),"Paid late")))))</f>
        <v/>
      </c>
      <c r="AA297" s="35" t="str">
        <f aca="false">IF(OR(G297="",H297=""),"",IF(D297&lt;&gt;"",UPPER(TRIM(D297)),UPPER(TRIM(C297))))</f>
        <v/>
      </c>
    </row>
    <row r="298" customFormat="false" ht="15" hidden="false" customHeight="false" outlineLevel="0" collapsed="false">
      <c r="B298" s="17"/>
      <c r="C298" s="5"/>
      <c r="D298" s="5"/>
      <c r="E298" s="5"/>
      <c r="F298" s="5"/>
      <c r="G298" s="5"/>
      <c r="H298" s="16"/>
      <c r="I298" s="7" t="str">
        <f aca="false">IF(OR(G298="",H298=""),"",IFERROR(INDEX('TDS Rates'!$D$6:$D$40,MATCH(G298,'TDS Rates'!$B$6:$B$40,0)),"Check nature"))</f>
        <v/>
      </c>
      <c r="J298" s="7" t="str">
        <f aca="false">IF(OR(G298="",H298=""),"",IFERROR(INDEX('TDS Rates'!$C$6:$C$40,MATCH(G298,'TDS Rates'!$B$6:$B$40,0)),""))</f>
        <v/>
      </c>
      <c r="K298" s="7" t="str">
        <f aca="false">IF(OR(G298="",H298=""),"",IFERROR(INDEX('TDS Rates'!$E$6:$E$40,MATCH(G298,'TDS Rates'!$B$6:$B$40,0)),""))</f>
        <v/>
      </c>
      <c r="L298" s="29" t="str">
        <f aca="false">IF(OR(G298="",H298=""),"",SUMIFS(H$6:H297,AA$6:AA297,AA298,G$6:G297,G298))</f>
        <v/>
      </c>
      <c r="M298" s="29" t="str">
        <f aca="false">IF(OR(G298="",H298=""),"",SUMIFS(H$6:H297,AA$6:AA297,AA298,G$6:G297,G298,N$6:N297,0))</f>
        <v/>
      </c>
      <c r="N298" s="29" t="str">
        <f aca="false">IF(OR(G298="",H298=""),"",IFERROR(IF(INDEX('TDS Rates'!$F$6:$F$40,MATCH(G298,'TDS Rates'!$B$6:$B$40,0))="NONE",H298,IF(INDEX('TDS Rates'!$F$6:$F$40,MATCH(G298,'TDS Rates'!$B$6:$B$40,0))="PER",IF(H298&gt;INDEX('TDS Rates'!$G$6:$G$40,MATCH(G298,'TDS Rates'!$B$6:$B$40,0)),H298,0),IF(INDEX('TDS Rates'!$F$6:$F$40,MATCH(G298,'TDS Rates'!$B$6:$B$40,0))="EXCESS",MAX(0,L298+H298-INDEX('TDS Rates'!$H$6:$H$40,MATCH(G298,'TDS Rates'!$B$6:$B$40,0)))-MAX(0,L298-INDEX('TDS Rates'!$H$6:$H$40,MATCH(G298,'TDS Rates'!$B$6:$B$40,0))),IF(INDEX('TDS Rates'!$F$6:$F$40,MATCH(G298,'TDS Rates'!$B$6:$B$40,0))="SA",IF(L298+H298&gt;INDEX('TDS Rates'!$H$6:$H$40,MATCH(G298,'TDS Rates'!$B$6:$B$40,0)),H298+M298,IF(H298&gt;INDEX('TDS Rates'!$G$6:$G$40,MATCH(G298,'TDS Rates'!$B$6:$B$40,0)),H298,0)),IF(L298+H298&gt;INDEX('TDS Rates'!$H$6:$H$40,MATCH(G298,'TDS Rates'!$B$6:$B$40,0)),H298+M298,0))))),0))</f>
        <v/>
      </c>
      <c r="O298" s="33" t="str">
        <f aca="false">IF(OR(G298="",H298=""),"",IFERROR(IF(F298="No",IF(INDEX('TDS Rates'!$C$6:$C$40,MATCH(G298,'TDS Rates'!$B$6:$B$40,0))="194Q",Settings!$C$14,MAX(Settings!$C$13,IF(E298="Individual / HUF",INDEX('TDS Rates'!$I$6:$I$40,MATCH(G298,'TDS Rates'!$B$6:$B$40,0)),IF(E298="Company",INDEX('TDS Rates'!$J$6:$J$40,MATCH(G298,'TDS Rates'!$B$6:$B$40,0)),INDEX('TDS Rates'!$K$6:$K$40,MATCH(G298,'TDS Rates'!$B$6:$B$40,0)))))),IF(E298="Individual / HUF",INDEX('TDS Rates'!$I$6:$I$40,MATCH(G298,'TDS Rates'!$B$6:$B$40,0)),IF(E298="Company",INDEX('TDS Rates'!$J$6:$J$40,MATCH(G298,'TDS Rates'!$B$6:$B$40,0)),INDEX('TDS Rates'!$K$6:$K$40,MATCH(G298,'TDS Rates'!$B$6:$B$40,0))))),0))</f>
        <v/>
      </c>
      <c r="P298" s="34" t="str">
        <f aca="false">IF(OR(G298="",H298=""),"",ROUND(N298*O298,0))</f>
        <v/>
      </c>
      <c r="Q298" s="27" t="str">
        <f aca="false">IF(OR(G298="",H298=""),"",IFERROR(IF(INDEX('TDS Rates'!$E$6:$E$40,MATCH(G298,'TDS Rates'!$B$6:$B$40,0))="Form 141",EOMONTH(IF(R298="",B298,R298),0)+30,IF(MONTH(IF(R298="",B298,R298))=3,DATE(YEAR(IF(R298="",B298,R298)),4,30),DATE(YEAR(IF(R298="",B298,R298)),MONTH(IF(R298="",B298,R298))+1,7))),""))</f>
        <v/>
      </c>
      <c r="R298" s="17"/>
      <c r="S298" s="17"/>
      <c r="T298" s="5"/>
      <c r="U298" s="28" t="str">
        <f aca="false">IF(OR(G298="",H298=""),"",IF(P298=0,0,IF(IF(R298="",Settings!$C$9,R298)&lt;=B298,0,((YEAR(IF(R298="",Settings!$C$9,R298))-YEAR(B298))*12+MONTH(IF(R298="",Settings!$C$9,R298))-MONTH(B298)+1))))</f>
        <v/>
      </c>
      <c r="V298" s="29" t="str">
        <f aca="false">IF(OR(G298="",H298=""),"",ROUND(P298*Settings!$C$10*U298,0))</f>
        <v/>
      </c>
      <c r="W298" s="28" t="str">
        <f aca="false">IF(OR(G298="",H298=""),"",IF(OR(P298=0,R298=""),0,IF(IF(S298="",Settings!$C$9,S298)&lt;=Q298,0,((YEAR(IF(S298="",Settings!$C$9,S298))-YEAR(R298))*12+MONTH(IF(S298="",Settings!$C$9,S298))-MONTH(R298)+1))))</f>
        <v/>
      </c>
      <c r="X298" s="29" t="str">
        <f aca="false">IF(OR(G298="",H298=""),"",ROUND(P298*Settings!$C$11*W298,0))</f>
        <v/>
      </c>
      <c r="Y298" s="29" t="str">
        <f aca="false">IF(OR(G298="",H298=""),"",V298+X298)</f>
        <v/>
      </c>
      <c r="Z298" s="7" t="str">
        <f aca="false">IF(OR(G298="",H298=""),"",IF(P298=0,"Below threshold",IF(R298="","Not yet deducted",IF(S298="",IF(Settings!$C$9&gt;Q298,"Overdue — pay now","Deducted, due "&amp;TEXT(Q298,"dd-mmm")),IF(S298&lt;=Q298,IF(N(U298)&gt;0,"Deducted late, paid on time","Paid on time"),"Paid late")))))</f>
        <v/>
      </c>
      <c r="AA298" s="35" t="str">
        <f aca="false">IF(OR(G298="",H298=""),"",IF(D298&lt;&gt;"",UPPER(TRIM(D298)),UPPER(TRIM(C298))))</f>
        <v/>
      </c>
    </row>
    <row r="299" customFormat="false" ht="15" hidden="false" customHeight="false" outlineLevel="0" collapsed="false">
      <c r="B299" s="17"/>
      <c r="C299" s="5"/>
      <c r="D299" s="5"/>
      <c r="E299" s="5"/>
      <c r="F299" s="5"/>
      <c r="G299" s="5"/>
      <c r="H299" s="16"/>
      <c r="I299" s="7" t="str">
        <f aca="false">IF(OR(G299="",H299=""),"",IFERROR(INDEX('TDS Rates'!$D$6:$D$40,MATCH(G299,'TDS Rates'!$B$6:$B$40,0)),"Check nature"))</f>
        <v/>
      </c>
      <c r="J299" s="7" t="str">
        <f aca="false">IF(OR(G299="",H299=""),"",IFERROR(INDEX('TDS Rates'!$C$6:$C$40,MATCH(G299,'TDS Rates'!$B$6:$B$40,0)),""))</f>
        <v/>
      </c>
      <c r="K299" s="7" t="str">
        <f aca="false">IF(OR(G299="",H299=""),"",IFERROR(INDEX('TDS Rates'!$E$6:$E$40,MATCH(G299,'TDS Rates'!$B$6:$B$40,0)),""))</f>
        <v/>
      </c>
      <c r="L299" s="29" t="str">
        <f aca="false">IF(OR(G299="",H299=""),"",SUMIFS(H$6:H298,AA$6:AA298,AA299,G$6:G298,G299))</f>
        <v/>
      </c>
      <c r="M299" s="29" t="str">
        <f aca="false">IF(OR(G299="",H299=""),"",SUMIFS(H$6:H298,AA$6:AA298,AA299,G$6:G298,G299,N$6:N298,0))</f>
        <v/>
      </c>
      <c r="N299" s="29" t="str">
        <f aca="false">IF(OR(G299="",H299=""),"",IFERROR(IF(INDEX('TDS Rates'!$F$6:$F$40,MATCH(G299,'TDS Rates'!$B$6:$B$40,0))="NONE",H299,IF(INDEX('TDS Rates'!$F$6:$F$40,MATCH(G299,'TDS Rates'!$B$6:$B$40,0))="PER",IF(H299&gt;INDEX('TDS Rates'!$G$6:$G$40,MATCH(G299,'TDS Rates'!$B$6:$B$40,0)),H299,0),IF(INDEX('TDS Rates'!$F$6:$F$40,MATCH(G299,'TDS Rates'!$B$6:$B$40,0))="EXCESS",MAX(0,L299+H299-INDEX('TDS Rates'!$H$6:$H$40,MATCH(G299,'TDS Rates'!$B$6:$B$40,0)))-MAX(0,L299-INDEX('TDS Rates'!$H$6:$H$40,MATCH(G299,'TDS Rates'!$B$6:$B$40,0))),IF(INDEX('TDS Rates'!$F$6:$F$40,MATCH(G299,'TDS Rates'!$B$6:$B$40,0))="SA",IF(L299+H299&gt;INDEX('TDS Rates'!$H$6:$H$40,MATCH(G299,'TDS Rates'!$B$6:$B$40,0)),H299+M299,IF(H299&gt;INDEX('TDS Rates'!$G$6:$G$40,MATCH(G299,'TDS Rates'!$B$6:$B$40,0)),H299,0)),IF(L299+H299&gt;INDEX('TDS Rates'!$H$6:$H$40,MATCH(G299,'TDS Rates'!$B$6:$B$40,0)),H299+M299,0))))),0))</f>
        <v/>
      </c>
      <c r="O299" s="33" t="str">
        <f aca="false">IF(OR(G299="",H299=""),"",IFERROR(IF(F299="No",IF(INDEX('TDS Rates'!$C$6:$C$40,MATCH(G299,'TDS Rates'!$B$6:$B$40,0))="194Q",Settings!$C$14,MAX(Settings!$C$13,IF(E299="Individual / HUF",INDEX('TDS Rates'!$I$6:$I$40,MATCH(G299,'TDS Rates'!$B$6:$B$40,0)),IF(E299="Company",INDEX('TDS Rates'!$J$6:$J$40,MATCH(G299,'TDS Rates'!$B$6:$B$40,0)),INDEX('TDS Rates'!$K$6:$K$40,MATCH(G299,'TDS Rates'!$B$6:$B$40,0)))))),IF(E299="Individual / HUF",INDEX('TDS Rates'!$I$6:$I$40,MATCH(G299,'TDS Rates'!$B$6:$B$40,0)),IF(E299="Company",INDEX('TDS Rates'!$J$6:$J$40,MATCH(G299,'TDS Rates'!$B$6:$B$40,0)),INDEX('TDS Rates'!$K$6:$K$40,MATCH(G299,'TDS Rates'!$B$6:$B$40,0))))),0))</f>
        <v/>
      </c>
      <c r="P299" s="34" t="str">
        <f aca="false">IF(OR(G299="",H299=""),"",ROUND(N299*O299,0))</f>
        <v/>
      </c>
      <c r="Q299" s="27" t="str">
        <f aca="false">IF(OR(G299="",H299=""),"",IFERROR(IF(INDEX('TDS Rates'!$E$6:$E$40,MATCH(G299,'TDS Rates'!$B$6:$B$40,0))="Form 141",EOMONTH(IF(R299="",B299,R299),0)+30,IF(MONTH(IF(R299="",B299,R299))=3,DATE(YEAR(IF(R299="",B299,R299)),4,30),DATE(YEAR(IF(R299="",B299,R299)),MONTH(IF(R299="",B299,R299))+1,7))),""))</f>
        <v/>
      </c>
      <c r="R299" s="17"/>
      <c r="S299" s="17"/>
      <c r="T299" s="5"/>
      <c r="U299" s="28" t="str">
        <f aca="false">IF(OR(G299="",H299=""),"",IF(P299=0,0,IF(IF(R299="",Settings!$C$9,R299)&lt;=B299,0,((YEAR(IF(R299="",Settings!$C$9,R299))-YEAR(B299))*12+MONTH(IF(R299="",Settings!$C$9,R299))-MONTH(B299)+1))))</f>
        <v/>
      </c>
      <c r="V299" s="29" t="str">
        <f aca="false">IF(OR(G299="",H299=""),"",ROUND(P299*Settings!$C$10*U299,0))</f>
        <v/>
      </c>
      <c r="W299" s="28" t="str">
        <f aca="false">IF(OR(G299="",H299=""),"",IF(OR(P299=0,R299=""),0,IF(IF(S299="",Settings!$C$9,S299)&lt;=Q299,0,((YEAR(IF(S299="",Settings!$C$9,S299))-YEAR(R299))*12+MONTH(IF(S299="",Settings!$C$9,S299))-MONTH(R299)+1))))</f>
        <v/>
      </c>
      <c r="X299" s="29" t="str">
        <f aca="false">IF(OR(G299="",H299=""),"",ROUND(P299*Settings!$C$11*W299,0))</f>
        <v/>
      </c>
      <c r="Y299" s="29" t="str">
        <f aca="false">IF(OR(G299="",H299=""),"",V299+X299)</f>
        <v/>
      </c>
      <c r="Z299" s="7" t="str">
        <f aca="false">IF(OR(G299="",H299=""),"",IF(P299=0,"Below threshold",IF(R299="","Not yet deducted",IF(S299="",IF(Settings!$C$9&gt;Q299,"Overdue — pay now","Deducted, due "&amp;TEXT(Q299,"dd-mmm")),IF(S299&lt;=Q299,IF(N(U299)&gt;0,"Deducted late, paid on time","Paid on time"),"Paid late")))))</f>
        <v/>
      </c>
      <c r="AA299" s="35" t="str">
        <f aca="false">IF(OR(G299="",H299=""),"",IF(D299&lt;&gt;"",UPPER(TRIM(D299)),UPPER(TRIM(C299))))</f>
        <v/>
      </c>
    </row>
    <row r="300" customFormat="false" ht="15" hidden="false" customHeight="false" outlineLevel="0" collapsed="false">
      <c r="B300" s="17"/>
      <c r="C300" s="5"/>
      <c r="D300" s="5"/>
      <c r="E300" s="5"/>
      <c r="F300" s="5"/>
      <c r="G300" s="5"/>
      <c r="H300" s="16"/>
      <c r="I300" s="7" t="str">
        <f aca="false">IF(OR(G300="",H300=""),"",IFERROR(INDEX('TDS Rates'!$D$6:$D$40,MATCH(G300,'TDS Rates'!$B$6:$B$40,0)),"Check nature"))</f>
        <v/>
      </c>
      <c r="J300" s="7" t="str">
        <f aca="false">IF(OR(G300="",H300=""),"",IFERROR(INDEX('TDS Rates'!$C$6:$C$40,MATCH(G300,'TDS Rates'!$B$6:$B$40,0)),""))</f>
        <v/>
      </c>
      <c r="K300" s="7" t="str">
        <f aca="false">IF(OR(G300="",H300=""),"",IFERROR(INDEX('TDS Rates'!$E$6:$E$40,MATCH(G300,'TDS Rates'!$B$6:$B$40,0)),""))</f>
        <v/>
      </c>
      <c r="L300" s="29" t="str">
        <f aca="false">IF(OR(G300="",H300=""),"",SUMIFS(H$6:H299,AA$6:AA299,AA300,G$6:G299,G300))</f>
        <v/>
      </c>
      <c r="M300" s="29" t="str">
        <f aca="false">IF(OR(G300="",H300=""),"",SUMIFS(H$6:H299,AA$6:AA299,AA300,G$6:G299,G300,N$6:N299,0))</f>
        <v/>
      </c>
      <c r="N300" s="29" t="str">
        <f aca="false">IF(OR(G300="",H300=""),"",IFERROR(IF(INDEX('TDS Rates'!$F$6:$F$40,MATCH(G300,'TDS Rates'!$B$6:$B$40,0))="NONE",H300,IF(INDEX('TDS Rates'!$F$6:$F$40,MATCH(G300,'TDS Rates'!$B$6:$B$40,0))="PER",IF(H300&gt;INDEX('TDS Rates'!$G$6:$G$40,MATCH(G300,'TDS Rates'!$B$6:$B$40,0)),H300,0),IF(INDEX('TDS Rates'!$F$6:$F$40,MATCH(G300,'TDS Rates'!$B$6:$B$40,0))="EXCESS",MAX(0,L300+H300-INDEX('TDS Rates'!$H$6:$H$40,MATCH(G300,'TDS Rates'!$B$6:$B$40,0)))-MAX(0,L300-INDEX('TDS Rates'!$H$6:$H$40,MATCH(G300,'TDS Rates'!$B$6:$B$40,0))),IF(INDEX('TDS Rates'!$F$6:$F$40,MATCH(G300,'TDS Rates'!$B$6:$B$40,0))="SA",IF(L300+H300&gt;INDEX('TDS Rates'!$H$6:$H$40,MATCH(G300,'TDS Rates'!$B$6:$B$40,0)),H300+M300,IF(H300&gt;INDEX('TDS Rates'!$G$6:$G$40,MATCH(G300,'TDS Rates'!$B$6:$B$40,0)),H300,0)),IF(L300+H300&gt;INDEX('TDS Rates'!$H$6:$H$40,MATCH(G300,'TDS Rates'!$B$6:$B$40,0)),H300+M300,0))))),0))</f>
        <v/>
      </c>
      <c r="O300" s="33" t="str">
        <f aca="false">IF(OR(G300="",H300=""),"",IFERROR(IF(F300="No",IF(INDEX('TDS Rates'!$C$6:$C$40,MATCH(G300,'TDS Rates'!$B$6:$B$40,0))="194Q",Settings!$C$14,MAX(Settings!$C$13,IF(E300="Individual / HUF",INDEX('TDS Rates'!$I$6:$I$40,MATCH(G300,'TDS Rates'!$B$6:$B$40,0)),IF(E300="Company",INDEX('TDS Rates'!$J$6:$J$40,MATCH(G300,'TDS Rates'!$B$6:$B$40,0)),INDEX('TDS Rates'!$K$6:$K$40,MATCH(G300,'TDS Rates'!$B$6:$B$40,0)))))),IF(E300="Individual / HUF",INDEX('TDS Rates'!$I$6:$I$40,MATCH(G300,'TDS Rates'!$B$6:$B$40,0)),IF(E300="Company",INDEX('TDS Rates'!$J$6:$J$40,MATCH(G300,'TDS Rates'!$B$6:$B$40,0)),INDEX('TDS Rates'!$K$6:$K$40,MATCH(G300,'TDS Rates'!$B$6:$B$40,0))))),0))</f>
        <v/>
      </c>
      <c r="P300" s="34" t="str">
        <f aca="false">IF(OR(G300="",H300=""),"",ROUND(N300*O300,0))</f>
        <v/>
      </c>
      <c r="Q300" s="27" t="str">
        <f aca="false">IF(OR(G300="",H300=""),"",IFERROR(IF(INDEX('TDS Rates'!$E$6:$E$40,MATCH(G300,'TDS Rates'!$B$6:$B$40,0))="Form 141",EOMONTH(IF(R300="",B300,R300),0)+30,IF(MONTH(IF(R300="",B300,R300))=3,DATE(YEAR(IF(R300="",B300,R300)),4,30),DATE(YEAR(IF(R300="",B300,R300)),MONTH(IF(R300="",B300,R300))+1,7))),""))</f>
        <v/>
      </c>
      <c r="R300" s="17"/>
      <c r="S300" s="17"/>
      <c r="T300" s="5"/>
      <c r="U300" s="28" t="str">
        <f aca="false">IF(OR(G300="",H300=""),"",IF(P300=0,0,IF(IF(R300="",Settings!$C$9,R300)&lt;=B300,0,((YEAR(IF(R300="",Settings!$C$9,R300))-YEAR(B300))*12+MONTH(IF(R300="",Settings!$C$9,R300))-MONTH(B300)+1))))</f>
        <v/>
      </c>
      <c r="V300" s="29" t="str">
        <f aca="false">IF(OR(G300="",H300=""),"",ROUND(P300*Settings!$C$10*U300,0))</f>
        <v/>
      </c>
      <c r="W300" s="28" t="str">
        <f aca="false">IF(OR(G300="",H300=""),"",IF(OR(P300=0,R300=""),0,IF(IF(S300="",Settings!$C$9,S300)&lt;=Q300,0,((YEAR(IF(S300="",Settings!$C$9,S300))-YEAR(R300))*12+MONTH(IF(S300="",Settings!$C$9,S300))-MONTH(R300)+1))))</f>
        <v/>
      </c>
      <c r="X300" s="29" t="str">
        <f aca="false">IF(OR(G300="",H300=""),"",ROUND(P300*Settings!$C$11*W300,0))</f>
        <v/>
      </c>
      <c r="Y300" s="29" t="str">
        <f aca="false">IF(OR(G300="",H300=""),"",V300+X300)</f>
        <v/>
      </c>
      <c r="Z300" s="7" t="str">
        <f aca="false">IF(OR(G300="",H300=""),"",IF(P300=0,"Below threshold",IF(R300="","Not yet deducted",IF(S300="",IF(Settings!$C$9&gt;Q300,"Overdue — pay now","Deducted, due "&amp;TEXT(Q300,"dd-mmm")),IF(S300&lt;=Q300,IF(N(U300)&gt;0,"Deducted late, paid on time","Paid on time"),"Paid late")))))</f>
        <v/>
      </c>
      <c r="AA300" s="35" t="str">
        <f aca="false">IF(OR(G300="",H300=""),"",IF(D300&lt;&gt;"",UPPER(TRIM(D300)),UPPER(TRIM(C300))))</f>
        <v/>
      </c>
    </row>
    <row r="301" customFormat="false" ht="15" hidden="false" customHeight="false" outlineLevel="0" collapsed="false">
      <c r="B301" s="17"/>
      <c r="C301" s="5"/>
      <c r="D301" s="5"/>
      <c r="E301" s="5"/>
      <c r="F301" s="5"/>
      <c r="G301" s="5"/>
      <c r="H301" s="16"/>
      <c r="I301" s="7" t="str">
        <f aca="false">IF(OR(G301="",H301=""),"",IFERROR(INDEX('TDS Rates'!$D$6:$D$40,MATCH(G301,'TDS Rates'!$B$6:$B$40,0)),"Check nature"))</f>
        <v/>
      </c>
      <c r="J301" s="7" t="str">
        <f aca="false">IF(OR(G301="",H301=""),"",IFERROR(INDEX('TDS Rates'!$C$6:$C$40,MATCH(G301,'TDS Rates'!$B$6:$B$40,0)),""))</f>
        <v/>
      </c>
      <c r="K301" s="7" t="str">
        <f aca="false">IF(OR(G301="",H301=""),"",IFERROR(INDEX('TDS Rates'!$E$6:$E$40,MATCH(G301,'TDS Rates'!$B$6:$B$40,0)),""))</f>
        <v/>
      </c>
      <c r="L301" s="29" t="str">
        <f aca="false">IF(OR(G301="",H301=""),"",SUMIFS(H$6:H300,AA$6:AA300,AA301,G$6:G300,G301))</f>
        <v/>
      </c>
      <c r="M301" s="29" t="str">
        <f aca="false">IF(OR(G301="",H301=""),"",SUMIFS(H$6:H300,AA$6:AA300,AA301,G$6:G300,G301,N$6:N300,0))</f>
        <v/>
      </c>
      <c r="N301" s="29" t="str">
        <f aca="false">IF(OR(G301="",H301=""),"",IFERROR(IF(INDEX('TDS Rates'!$F$6:$F$40,MATCH(G301,'TDS Rates'!$B$6:$B$40,0))="NONE",H301,IF(INDEX('TDS Rates'!$F$6:$F$40,MATCH(G301,'TDS Rates'!$B$6:$B$40,0))="PER",IF(H301&gt;INDEX('TDS Rates'!$G$6:$G$40,MATCH(G301,'TDS Rates'!$B$6:$B$40,0)),H301,0),IF(INDEX('TDS Rates'!$F$6:$F$40,MATCH(G301,'TDS Rates'!$B$6:$B$40,0))="EXCESS",MAX(0,L301+H301-INDEX('TDS Rates'!$H$6:$H$40,MATCH(G301,'TDS Rates'!$B$6:$B$40,0)))-MAX(0,L301-INDEX('TDS Rates'!$H$6:$H$40,MATCH(G301,'TDS Rates'!$B$6:$B$40,0))),IF(INDEX('TDS Rates'!$F$6:$F$40,MATCH(G301,'TDS Rates'!$B$6:$B$40,0))="SA",IF(L301+H301&gt;INDEX('TDS Rates'!$H$6:$H$40,MATCH(G301,'TDS Rates'!$B$6:$B$40,0)),H301+M301,IF(H301&gt;INDEX('TDS Rates'!$G$6:$G$40,MATCH(G301,'TDS Rates'!$B$6:$B$40,0)),H301,0)),IF(L301+H301&gt;INDEX('TDS Rates'!$H$6:$H$40,MATCH(G301,'TDS Rates'!$B$6:$B$40,0)),H301+M301,0))))),0))</f>
        <v/>
      </c>
      <c r="O301" s="33" t="str">
        <f aca="false">IF(OR(G301="",H301=""),"",IFERROR(IF(F301="No",IF(INDEX('TDS Rates'!$C$6:$C$40,MATCH(G301,'TDS Rates'!$B$6:$B$40,0))="194Q",Settings!$C$14,MAX(Settings!$C$13,IF(E301="Individual / HUF",INDEX('TDS Rates'!$I$6:$I$40,MATCH(G301,'TDS Rates'!$B$6:$B$40,0)),IF(E301="Company",INDEX('TDS Rates'!$J$6:$J$40,MATCH(G301,'TDS Rates'!$B$6:$B$40,0)),INDEX('TDS Rates'!$K$6:$K$40,MATCH(G301,'TDS Rates'!$B$6:$B$40,0)))))),IF(E301="Individual / HUF",INDEX('TDS Rates'!$I$6:$I$40,MATCH(G301,'TDS Rates'!$B$6:$B$40,0)),IF(E301="Company",INDEX('TDS Rates'!$J$6:$J$40,MATCH(G301,'TDS Rates'!$B$6:$B$40,0)),INDEX('TDS Rates'!$K$6:$K$40,MATCH(G301,'TDS Rates'!$B$6:$B$40,0))))),0))</f>
        <v/>
      </c>
      <c r="P301" s="34" t="str">
        <f aca="false">IF(OR(G301="",H301=""),"",ROUND(N301*O301,0))</f>
        <v/>
      </c>
      <c r="Q301" s="27" t="str">
        <f aca="false">IF(OR(G301="",H301=""),"",IFERROR(IF(INDEX('TDS Rates'!$E$6:$E$40,MATCH(G301,'TDS Rates'!$B$6:$B$40,0))="Form 141",EOMONTH(IF(R301="",B301,R301),0)+30,IF(MONTH(IF(R301="",B301,R301))=3,DATE(YEAR(IF(R301="",B301,R301)),4,30),DATE(YEAR(IF(R301="",B301,R301)),MONTH(IF(R301="",B301,R301))+1,7))),""))</f>
        <v/>
      </c>
      <c r="R301" s="17"/>
      <c r="S301" s="17"/>
      <c r="T301" s="5"/>
      <c r="U301" s="28" t="str">
        <f aca="false">IF(OR(G301="",H301=""),"",IF(P301=0,0,IF(IF(R301="",Settings!$C$9,R301)&lt;=B301,0,((YEAR(IF(R301="",Settings!$C$9,R301))-YEAR(B301))*12+MONTH(IF(R301="",Settings!$C$9,R301))-MONTH(B301)+1))))</f>
        <v/>
      </c>
      <c r="V301" s="29" t="str">
        <f aca="false">IF(OR(G301="",H301=""),"",ROUND(P301*Settings!$C$10*U301,0))</f>
        <v/>
      </c>
      <c r="W301" s="28" t="str">
        <f aca="false">IF(OR(G301="",H301=""),"",IF(OR(P301=0,R301=""),0,IF(IF(S301="",Settings!$C$9,S301)&lt;=Q301,0,((YEAR(IF(S301="",Settings!$C$9,S301))-YEAR(R301))*12+MONTH(IF(S301="",Settings!$C$9,S301))-MONTH(R301)+1))))</f>
        <v/>
      </c>
      <c r="X301" s="29" t="str">
        <f aca="false">IF(OR(G301="",H301=""),"",ROUND(P301*Settings!$C$11*W301,0))</f>
        <v/>
      </c>
      <c r="Y301" s="29" t="str">
        <f aca="false">IF(OR(G301="",H301=""),"",V301+X301)</f>
        <v/>
      </c>
      <c r="Z301" s="7" t="str">
        <f aca="false">IF(OR(G301="",H301=""),"",IF(P301=0,"Below threshold",IF(R301="","Not yet deducted",IF(S301="",IF(Settings!$C$9&gt;Q301,"Overdue — pay now","Deducted, due "&amp;TEXT(Q301,"dd-mmm")),IF(S301&lt;=Q301,IF(N(U301)&gt;0,"Deducted late, paid on time","Paid on time"),"Paid late")))))</f>
        <v/>
      </c>
      <c r="AA301" s="35" t="str">
        <f aca="false">IF(OR(G301="",H301=""),"",IF(D301&lt;&gt;"",UPPER(TRIM(D301)),UPPER(TRIM(C301))))</f>
        <v/>
      </c>
    </row>
    <row r="302" customFormat="false" ht="15" hidden="false" customHeight="false" outlineLevel="0" collapsed="false">
      <c r="B302" s="17"/>
      <c r="C302" s="5"/>
      <c r="D302" s="5"/>
      <c r="E302" s="5"/>
      <c r="F302" s="5"/>
      <c r="G302" s="5"/>
      <c r="H302" s="16"/>
      <c r="I302" s="7" t="str">
        <f aca="false">IF(OR(G302="",H302=""),"",IFERROR(INDEX('TDS Rates'!$D$6:$D$40,MATCH(G302,'TDS Rates'!$B$6:$B$40,0)),"Check nature"))</f>
        <v/>
      </c>
      <c r="J302" s="7" t="str">
        <f aca="false">IF(OR(G302="",H302=""),"",IFERROR(INDEX('TDS Rates'!$C$6:$C$40,MATCH(G302,'TDS Rates'!$B$6:$B$40,0)),""))</f>
        <v/>
      </c>
      <c r="K302" s="7" t="str">
        <f aca="false">IF(OR(G302="",H302=""),"",IFERROR(INDEX('TDS Rates'!$E$6:$E$40,MATCH(G302,'TDS Rates'!$B$6:$B$40,0)),""))</f>
        <v/>
      </c>
      <c r="L302" s="29" t="str">
        <f aca="false">IF(OR(G302="",H302=""),"",SUMIFS(H$6:H301,AA$6:AA301,AA302,G$6:G301,G302))</f>
        <v/>
      </c>
      <c r="M302" s="29" t="str">
        <f aca="false">IF(OR(G302="",H302=""),"",SUMIFS(H$6:H301,AA$6:AA301,AA302,G$6:G301,G302,N$6:N301,0))</f>
        <v/>
      </c>
      <c r="N302" s="29" t="str">
        <f aca="false">IF(OR(G302="",H302=""),"",IFERROR(IF(INDEX('TDS Rates'!$F$6:$F$40,MATCH(G302,'TDS Rates'!$B$6:$B$40,0))="NONE",H302,IF(INDEX('TDS Rates'!$F$6:$F$40,MATCH(G302,'TDS Rates'!$B$6:$B$40,0))="PER",IF(H302&gt;INDEX('TDS Rates'!$G$6:$G$40,MATCH(G302,'TDS Rates'!$B$6:$B$40,0)),H302,0),IF(INDEX('TDS Rates'!$F$6:$F$40,MATCH(G302,'TDS Rates'!$B$6:$B$40,0))="EXCESS",MAX(0,L302+H302-INDEX('TDS Rates'!$H$6:$H$40,MATCH(G302,'TDS Rates'!$B$6:$B$40,0)))-MAX(0,L302-INDEX('TDS Rates'!$H$6:$H$40,MATCH(G302,'TDS Rates'!$B$6:$B$40,0))),IF(INDEX('TDS Rates'!$F$6:$F$40,MATCH(G302,'TDS Rates'!$B$6:$B$40,0))="SA",IF(L302+H302&gt;INDEX('TDS Rates'!$H$6:$H$40,MATCH(G302,'TDS Rates'!$B$6:$B$40,0)),H302+M302,IF(H302&gt;INDEX('TDS Rates'!$G$6:$G$40,MATCH(G302,'TDS Rates'!$B$6:$B$40,0)),H302,0)),IF(L302+H302&gt;INDEX('TDS Rates'!$H$6:$H$40,MATCH(G302,'TDS Rates'!$B$6:$B$40,0)),H302+M302,0))))),0))</f>
        <v/>
      </c>
      <c r="O302" s="33" t="str">
        <f aca="false">IF(OR(G302="",H302=""),"",IFERROR(IF(F302="No",IF(INDEX('TDS Rates'!$C$6:$C$40,MATCH(G302,'TDS Rates'!$B$6:$B$40,0))="194Q",Settings!$C$14,MAX(Settings!$C$13,IF(E302="Individual / HUF",INDEX('TDS Rates'!$I$6:$I$40,MATCH(G302,'TDS Rates'!$B$6:$B$40,0)),IF(E302="Company",INDEX('TDS Rates'!$J$6:$J$40,MATCH(G302,'TDS Rates'!$B$6:$B$40,0)),INDEX('TDS Rates'!$K$6:$K$40,MATCH(G302,'TDS Rates'!$B$6:$B$40,0)))))),IF(E302="Individual / HUF",INDEX('TDS Rates'!$I$6:$I$40,MATCH(G302,'TDS Rates'!$B$6:$B$40,0)),IF(E302="Company",INDEX('TDS Rates'!$J$6:$J$40,MATCH(G302,'TDS Rates'!$B$6:$B$40,0)),INDEX('TDS Rates'!$K$6:$K$40,MATCH(G302,'TDS Rates'!$B$6:$B$40,0))))),0))</f>
        <v/>
      </c>
      <c r="P302" s="34" t="str">
        <f aca="false">IF(OR(G302="",H302=""),"",ROUND(N302*O302,0))</f>
        <v/>
      </c>
      <c r="Q302" s="27" t="str">
        <f aca="false">IF(OR(G302="",H302=""),"",IFERROR(IF(INDEX('TDS Rates'!$E$6:$E$40,MATCH(G302,'TDS Rates'!$B$6:$B$40,0))="Form 141",EOMONTH(IF(R302="",B302,R302),0)+30,IF(MONTH(IF(R302="",B302,R302))=3,DATE(YEAR(IF(R302="",B302,R302)),4,30),DATE(YEAR(IF(R302="",B302,R302)),MONTH(IF(R302="",B302,R302))+1,7))),""))</f>
        <v/>
      </c>
      <c r="R302" s="17"/>
      <c r="S302" s="17"/>
      <c r="T302" s="5"/>
      <c r="U302" s="28" t="str">
        <f aca="false">IF(OR(G302="",H302=""),"",IF(P302=0,0,IF(IF(R302="",Settings!$C$9,R302)&lt;=B302,0,((YEAR(IF(R302="",Settings!$C$9,R302))-YEAR(B302))*12+MONTH(IF(R302="",Settings!$C$9,R302))-MONTH(B302)+1))))</f>
        <v/>
      </c>
      <c r="V302" s="29" t="str">
        <f aca="false">IF(OR(G302="",H302=""),"",ROUND(P302*Settings!$C$10*U302,0))</f>
        <v/>
      </c>
      <c r="W302" s="28" t="str">
        <f aca="false">IF(OR(G302="",H302=""),"",IF(OR(P302=0,R302=""),0,IF(IF(S302="",Settings!$C$9,S302)&lt;=Q302,0,((YEAR(IF(S302="",Settings!$C$9,S302))-YEAR(R302))*12+MONTH(IF(S302="",Settings!$C$9,S302))-MONTH(R302)+1))))</f>
        <v/>
      </c>
      <c r="X302" s="29" t="str">
        <f aca="false">IF(OR(G302="",H302=""),"",ROUND(P302*Settings!$C$11*W302,0))</f>
        <v/>
      </c>
      <c r="Y302" s="29" t="str">
        <f aca="false">IF(OR(G302="",H302=""),"",V302+X302)</f>
        <v/>
      </c>
      <c r="Z302" s="7" t="str">
        <f aca="false">IF(OR(G302="",H302=""),"",IF(P302=0,"Below threshold",IF(R302="","Not yet deducted",IF(S302="",IF(Settings!$C$9&gt;Q302,"Overdue — pay now","Deducted, due "&amp;TEXT(Q302,"dd-mmm")),IF(S302&lt;=Q302,IF(N(U302)&gt;0,"Deducted late, paid on time","Paid on time"),"Paid late")))))</f>
        <v/>
      </c>
      <c r="AA302" s="35" t="str">
        <f aca="false">IF(OR(G302="",H302=""),"",IF(D302&lt;&gt;"",UPPER(TRIM(D302)),UPPER(TRIM(C302))))</f>
        <v/>
      </c>
    </row>
    <row r="303" customFormat="false" ht="15" hidden="false" customHeight="false" outlineLevel="0" collapsed="false">
      <c r="B303" s="17"/>
      <c r="C303" s="5"/>
      <c r="D303" s="5"/>
      <c r="E303" s="5"/>
      <c r="F303" s="5"/>
      <c r="G303" s="5"/>
      <c r="H303" s="16"/>
      <c r="I303" s="7" t="str">
        <f aca="false">IF(OR(G303="",H303=""),"",IFERROR(INDEX('TDS Rates'!$D$6:$D$40,MATCH(G303,'TDS Rates'!$B$6:$B$40,0)),"Check nature"))</f>
        <v/>
      </c>
      <c r="J303" s="7" t="str">
        <f aca="false">IF(OR(G303="",H303=""),"",IFERROR(INDEX('TDS Rates'!$C$6:$C$40,MATCH(G303,'TDS Rates'!$B$6:$B$40,0)),""))</f>
        <v/>
      </c>
      <c r="K303" s="7" t="str">
        <f aca="false">IF(OR(G303="",H303=""),"",IFERROR(INDEX('TDS Rates'!$E$6:$E$40,MATCH(G303,'TDS Rates'!$B$6:$B$40,0)),""))</f>
        <v/>
      </c>
      <c r="L303" s="29" t="str">
        <f aca="false">IF(OR(G303="",H303=""),"",SUMIFS(H$6:H302,AA$6:AA302,AA303,G$6:G302,G303))</f>
        <v/>
      </c>
      <c r="M303" s="29" t="str">
        <f aca="false">IF(OR(G303="",H303=""),"",SUMIFS(H$6:H302,AA$6:AA302,AA303,G$6:G302,G303,N$6:N302,0))</f>
        <v/>
      </c>
      <c r="N303" s="29" t="str">
        <f aca="false">IF(OR(G303="",H303=""),"",IFERROR(IF(INDEX('TDS Rates'!$F$6:$F$40,MATCH(G303,'TDS Rates'!$B$6:$B$40,0))="NONE",H303,IF(INDEX('TDS Rates'!$F$6:$F$40,MATCH(G303,'TDS Rates'!$B$6:$B$40,0))="PER",IF(H303&gt;INDEX('TDS Rates'!$G$6:$G$40,MATCH(G303,'TDS Rates'!$B$6:$B$40,0)),H303,0),IF(INDEX('TDS Rates'!$F$6:$F$40,MATCH(G303,'TDS Rates'!$B$6:$B$40,0))="EXCESS",MAX(0,L303+H303-INDEX('TDS Rates'!$H$6:$H$40,MATCH(G303,'TDS Rates'!$B$6:$B$40,0)))-MAX(0,L303-INDEX('TDS Rates'!$H$6:$H$40,MATCH(G303,'TDS Rates'!$B$6:$B$40,0))),IF(INDEX('TDS Rates'!$F$6:$F$40,MATCH(G303,'TDS Rates'!$B$6:$B$40,0))="SA",IF(L303+H303&gt;INDEX('TDS Rates'!$H$6:$H$40,MATCH(G303,'TDS Rates'!$B$6:$B$40,0)),H303+M303,IF(H303&gt;INDEX('TDS Rates'!$G$6:$G$40,MATCH(G303,'TDS Rates'!$B$6:$B$40,0)),H303,0)),IF(L303+H303&gt;INDEX('TDS Rates'!$H$6:$H$40,MATCH(G303,'TDS Rates'!$B$6:$B$40,0)),H303+M303,0))))),0))</f>
        <v/>
      </c>
      <c r="O303" s="33" t="str">
        <f aca="false">IF(OR(G303="",H303=""),"",IFERROR(IF(F303="No",IF(INDEX('TDS Rates'!$C$6:$C$40,MATCH(G303,'TDS Rates'!$B$6:$B$40,0))="194Q",Settings!$C$14,MAX(Settings!$C$13,IF(E303="Individual / HUF",INDEX('TDS Rates'!$I$6:$I$40,MATCH(G303,'TDS Rates'!$B$6:$B$40,0)),IF(E303="Company",INDEX('TDS Rates'!$J$6:$J$40,MATCH(G303,'TDS Rates'!$B$6:$B$40,0)),INDEX('TDS Rates'!$K$6:$K$40,MATCH(G303,'TDS Rates'!$B$6:$B$40,0)))))),IF(E303="Individual / HUF",INDEX('TDS Rates'!$I$6:$I$40,MATCH(G303,'TDS Rates'!$B$6:$B$40,0)),IF(E303="Company",INDEX('TDS Rates'!$J$6:$J$40,MATCH(G303,'TDS Rates'!$B$6:$B$40,0)),INDEX('TDS Rates'!$K$6:$K$40,MATCH(G303,'TDS Rates'!$B$6:$B$40,0))))),0))</f>
        <v/>
      </c>
      <c r="P303" s="34" t="str">
        <f aca="false">IF(OR(G303="",H303=""),"",ROUND(N303*O303,0))</f>
        <v/>
      </c>
      <c r="Q303" s="27" t="str">
        <f aca="false">IF(OR(G303="",H303=""),"",IFERROR(IF(INDEX('TDS Rates'!$E$6:$E$40,MATCH(G303,'TDS Rates'!$B$6:$B$40,0))="Form 141",EOMONTH(IF(R303="",B303,R303),0)+30,IF(MONTH(IF(R303="",B303,R303))=3,DATE(YEAR(IF(R303="",B303,R303)),4,30),DATE(YEAR(IF(R303="",B303,R303)),MONTH(IF(R303="",B303,R303))+1,7))),""))</f>
        <v/>
      </c>
      <c r="R303" s="17"/>
      <c r="S303" s="17"/>
      <c r="T303" s="5"/>
      <c r="U303" s="28" t="str">
        <f aca="false">IF(OR(G303="",H303=""),"",IF(P303=0,0,IF(IF(R303="",Settings!$C$9,R303)&lt;=B303,0,((YEAR(IF(R303="",Settings!$C$9,R303))-YEAR(B303))*12+MONTH(IF(R303="",Settings!$C$9,R303))-MONTH(B303)+1))))</f>
        <v/>
      </c>
      <c r="V303" s="29" t="str">
        <f aca="false">IF(OR(G303="",H303=""),"",ROUND(P303*Settings!$C$10*U303,0))</f>
        <v/>
      </c>
      <c r="W303" s="28" t="str">
        <f aca="false">IF(OR(G303="",H303=""),"",IF(OR(P303=0,R303=""),0,IF(IF(S303="",Settings!$C$9,S303)&lt;=Q303,0,((YEAR(IF(S303="",Settings!$C$9,S303))-YEAR(R303))*12+MONTH(IF(S303="",Settings!$C$9,S303))-MONTH(R303)+1))))</f>
        <v/>
      </c>
      <c r="X303" s="29" t="str">
        <f aca="false">IF(OR(G303="",H303=""),"",ROUND(P303*Settings!$C$11*W303,0))</f>
        <v/>
      </c>
      <c r="Y303" s="29" t="str">
        <f aca="false">IF(OR(G303="",H303=""),"",V303+X303)</f>
        <v/>
      </c>
      <c r="Z303" s="7" t="str">
        <f aca="false">IF(OR(G303="",H303=""),"",IF(P303=0,"Below threshold",IF(R303="","Not yet deducted",IF(S303="",IF(Settings!$C$9&gt;Q303,"Overdue — pay now","Deducted, due "&amp;TEXT(Q303,"dd-mmm")),IF(S303&lt;=Q303,IF(N(U303)&gt;0,"Deducted late, paid on time","Paid on time"),"Paid late")))))</f>
        <v/>
      </c>
      <c r="AA303" s="35" t="str">
        <f aca="false">IF(OR(G303="",H303=""),"",IF(D303&lt;&gt;"",UPPER(TRIM(D303)),UPPER(TRIM(C303))))</f>
        <v/>
      </c>
    </row>
    <row r="304" customFormat="false" ht="15" hidden="false" customHeight="false" outlineLevel="0" collapsed="false">
      <c r="B304" s="17"/>
      <c r="C304" s="5"/>
      <c r="D304" s="5"/>
      <c r="E304" s="5"/>
      <c r="F304" s="5"/>
      <c r="G304" s="5"/>
      <c r="H304" s="16"/>
      <c r="I304" s="7" t="str">
        <f aca="false">IF(OR(G304="",H304=""),"",IFERROR(INDEX('TDS Rates'!$D$6:$D$40,MATCH(G304,'TDS Rates'!$B$6:$B$40,0)),"Check nature"))</f>
        <v/>
      </c>
      <c r="J304" s="7" t="str">
        <f aca="false">IF(OR(G304="",H304=""),"",IFERROR(INDEX('TDS Rates'!$C$6:$C$40,MATCH(G304,'TDS Rates'!$B$6:$B$40,0)),""))</f>
        <v/>
      </c>
      <c r="K304" s="7" t="str">
        <f aca="false">IF(OR(G304="",H304=""),"",IFERROR(INDEX('TDS Rates'!$E$6:$E$40,MATCH(G304,'TDS Rates'!$B$6:$B$40,0)),""))</f>
        <v/>
      </c>
      <c r="L304" s="29" t="str">
        <f aca="false">IF(OR(G304="",H304=""),"",SUMIFS(H$6:H303,AA$6:AA303,AA304,G$6:G303,G304))</f>
        <v/>
      </c>
      <c r="M304" s="29" t="str">
        <f aca="false">IF(OR(G304="",H304=""),"",SUMIFS(H$6:H303,AA$6:AA303,AA304,G$6:G303,G304,N$6:N303,0))</f>
        <v/>
      </c>
      <c r="N304" s="29" t="str">
        <f aca="false">IF(OR(G304="",H304=""),"",IFERROR(IF(INDEX('TDS Rates'!$F$6:$F$40,MATCH(G304,'TDS Rates'!$B$6:$B$40,0))="NONE",H304,IF(INDEX('TDS Rates'!$F$6:$F$40,MATCH(G304,'TDS Rates'!$B$6:$B$40,0))="PER",IF(H304&gt;INDEX('TDS Rates'!$G$6:$G$40,MATCH(G304,'TDS Rates'!$B$6:$B$40,0)),H304,0),IF(INDEX('TDS Rates'!$F$6:$F$40,MATCH(G304,'TDS Rates'!$B$6:$B$40,0))="EXCESS",MAX(0,L304+H304-INDEX('TDS Rates'!$H$6:$H$40,MATCH(G304,'TDS Rates'!$B$6:$B$40,0)))-MAX(0,L304-INDEX('TDS Rates'!$H$6:$H$40,MATCH(G304,'TDS Rates'!$B$6:$B$40,0))),IF(INDEX('TDS Rates'!$F$6:$F$40,MATCH(G304,'TDS Rates'!$B$6:$B$40,0))="SA",IF(L304+H304&gt;INDEX('TDS Rates'!$H$6:$H$40,MATCH(G304,'TDS Rates'!$B$6:$B$40,0)),H304+M304,IF(H304&gt;INDEX('TDS Rates'!$G$6:$G$40,MATCH(G304,'TDS Rates'!$B$6:$B$40,0)),H304,0)),IF(L304+H304&gt;INDEX('TDS Rates'!$H$6:$H$40,MATCH(G304,'TDS Rates'!$B$6:$B$40,0)),H304+M304,0))))),0))</f>
        <v/>
      </c>
      <c r="O304" s="33" t="str">
        <f aca="false">IF(OR(G304="",H304=""),"",IFERROR(IF(F304="No",IF(INDEX('TDS Rates'!$C$6:$C$40,MATCH(G304,'TDS Rates'!$B$6:$B$40,0))="194Q",Settings!$C$14,MAX(Settings!$C$13,IF(E304="Individual / HUF",INDEX('TDS Rates'!$I$6:$I$40,MATCH(G304,'TDS Rates'!$B$6:$B$40,0)),IF(E304="Company",INDEX('TDS Rates'!$J$6:$J$40,MATCH(G304,'TDS Rates'!$B$6:$B$40,0)),INDEX('TDS Rates'!$K$6:$K$40,MATCH(G304,'TDS Rates'!$B$6:$B$40,0)))))),IF(E304="Individual / HUF",INDEX('TDS Rates'!$I$6:$I$40,MATCH(G304,'TDS Rates'!$B$6:$B$40,0)),IF(E304="Company",INDEX('TDS Rates'!$J$6:$J$40,MATCH(G304,'TDS Rates'!$B$6:$B$40,0)),INDEX('TDS Rates'!$K$6:$K$40,MATCH(G304,'TDS Rates'!$B$6:$B$40,0))))),0))</f>
        <v/>
      </c>
      <c r="P304" s="34" t="str">
        <f aca="false">IF(OR(G304="",H304=""),"",ROUND(N304*O304,0))</f>
        <v/>
      </c>
      <c r="Q304" s="27" t="str">
        <f aca="false">IF(OR(G304="",H304=""),"",IFERROR(IF(INDEX('TDS Rates'!$E$6:$E$40,MATCH(G304,'TDS Rates'!$B$6:$B$40,0))="Form 141",EOMONTH(IF(R304="",B304,R304),0)+30,IF(MONTH(IF(R304="",B304,R304))=3,DATE(YEAR(IF(R304="",B304,R304)),4,30),DATE(YEAR(IF(R304="",B304,R304)),MONTH(IF(R304="",B304,R304))+1,7))),""))</f>
        <v/>
      </c>
      <c r="R304" s="17"/>
      <c r="S304" s="17"/>
      <c r="T304" s="5"/>
      <c r="U304" s="28" t="str">
        <f aca="false">IF(OR(G304="",H304=""),"",IF(P304=0,0,IF(IF(R304="",Settings!$C$9,R304)&lt;=B304,0,((YEAR(IF(R304="",Settings!$C$9,R304))-YEAR(B304))*12+MONTH(IF(R304="",Settings!$C$9,R304))-MONTH(B304)+1))))</f>
        <v/>
      </c>
      <c r="V304" s="29" t="str">
        <f aca="false">IF(OR(G304="",H304=""),"",ROUND(P304*Settings!$C$10*U304,0))</f>
        <v/>
      </c>
      <c r="W304" s="28" t="str">
        <f aca="false">IF(OR(G304="",H304=""),"",IF(OR(P304=0,R304=""),0,IF(IF(S304="",Settings!$C$9,S304)&lt;=Q304,0,((YEAR(IF(S304="",Settings!$C$9,S304))-YEAR(R304))*12+MONTH(IF(S304="",Settings!$C$9,S304))-MONTH(R304)+1))))</f>
        <v/>
      </c>
      <c r="X304" s="29" t="str">
        <f aca="false">IF(OR(G304="",H304=""),"",ROUND(P304*Settings!$C$11*W304,0))</f>
        <v/>
      </c>
      <c r="Y304" s="29" t="str">
        <f aca="false">IF(OR(G304="",H304=""),"",V304+X304)</f>
        <v/>
      </c>
      <c r="Z304" s="7" t="str">
        <f aca="false">IF(OR(G304="",H304=""),"",IF(P304=0,"Below threshold",IF(R304="","Not yet deducted",IF(S304="",IF(Settings!$C$9&gt;Q304,"Overdue — pay now","Deducted, due "&amp;TEXT(Q304,"dd-mmm")),IF(S304&lt;=Q304,IF(N(U304)&gt;0,"Deducted late, paid on time","Paid on time"),"Paid late")))))</f>
        <v/>
      </c>
      <c r="AA304" s="35" t="str">
        <f aca="false">IF(OR(G304="",H304=""),"",IF(D304&lt;&gt;"",UPPER(TRIM(D304)),UPPER(TRIM(C304))))</f>
        <v/>
      </c>
    </row>
    <row r="305" customFormat="false" ht="15" hidden="false" customHeight="false" outlineLevel="0" collapsed="false">
      <c r="B305" s="17"/>
      <c r="C305" s="5"/>
      <c r="D305" s="5"/>
      <c r="E305" s="5"/>
      <c r="F305" s="5"/>
      <c r="G305" s="5"/>
      <c r="H305" s="16"/>
      <c r="I305" s="7" t="str">
        <f aca="false">IF(OR(G305="",H305=""),"",IFERROR(INDEX('TDS Rates'!$D$6:$D$40,MATCH(G305,'TDS Rates'!$B$6:$B$40,0)),"Check nature"))</f>
        <v/>
      </c>
      <c r="J305" s="7" t="str">
        <f aca="false">IF(OR(G305="",H305=""),"",IFERROR(INDEX('TDS Rates'!$C$6:$C$40,MATCH(G305,'TDS Rates'!$B$6:$B$40,0)),""))</f>
        <v/>
      </c>
      <c r="K305" s="7" t="str">
        <f aca="false">IF(OR(G305="",H305=""),"",IFERROR(INDEX('TDS Rates'!$E$6:$E$40,MATCH(G305,'TDS Rates'!$B$6:$B$40,0)),""))</f>
        <v/>
      </c>
      <c r="L305" s="29" t="str">
        <f aca="false">IF(OR(G305="",H305=""),"",SUMIFS(H$6:H304,AA$6:AA304,AA305,G$6:G304,G305))</f>
        <v/>
      </c>
      <c r="M305" s="29" t="str">
        <f aca="false">IF(OR(G305="",H305=""),"",SUMIFS(H$6:H304,AA$6:AA304,AA305,G$6:G304,G305,N$6:N304,0))</f>
        <v/>
      </c>
      <c r="N305" s="29" t="str">
        <f aca="false">IF(OR(G305="",H305=""),"",IFERROR(IF(INDEX('TDS Rates'!$F$6:$F$40,MATCH(G305,'TDS Rates'!$B$6:$B$40,0))="NONE",H305,IF(INDEX('TDS Rates'!$F$6:$F$40,MATCH(G305,'TDS Rates'!$B$6:$B$40,0))="PER",IF(H305&gt;INDEX('TDS Rates'!$G$6:$G$40,MATCH(G305,'TDS Rates'!$B$6:$B$40,0)),H305,0),IF(INDEX('TDS Rates'!$F$6:$F$40,MATCH(G305,'TDS Rates'!$B$6:$B$40,0))="EXCESS",MAX(0,L305+H305-INDEX('TDS Rates'!$H$6:$H$40,MATCH(G305,'TDS Rates'!$B$6:$B$40,0)))-MAX(0,L305-INDEX('TDS Rates'!$H$6:$H$40,MATCH(G305,'TDS Rates'!$B$6:$B$40,0))),IF(INDEX('TDS Rates'!$F$6:$F$40,MATCH(G305,'TDS Rates'!$B$6:$B$40,0))="SA",IF(L305+H305&gt;INDEX('TDS Rates'!$H$6:$H$40,MATCH(G305,'TDS Rates'!$B$6:$B$40,0)),H305+M305,IF(H305&gt;INDEX('TDS Rates'!$G$6:$G$40,MATCH(G305,'TDS Rates'!$B$6:$B$40,0)),H305,0)),IF(L305+H305&gt;INDEX('TDS Rates'!$H$6:$H$40,MATCH(G305,'TDS Rates'!$B$6:$B$40,0)),H305+M305,0))))),0))</f>
        <v/>
      </c>
      <c r="O305" s="33" t="str">
        <f aca="false">IF(OR(G305="",H305=""),"",IFERROR(IF(F305="No",IF(INDEX('TDS Rates'!$C$6:$C$40,MATCH(G305,'TDS Rates'!$B$6:$B$40,0))="194Q",Settings!$C$14,MAX(Settings!$C$13,IF(E305="Individual / HUF",INDEX('TDS Rates'!$I$6:$I$40,MATCH(G305,'TDS Rates'!$B$6:$B$40,0)),IF(E305="Company",INDEX('TDS Rates'!$J$6:$J$40,MATCH(G305,'TDS Rates'!$B$6:$B$40,0)),INDEX('TDS Rates'!$K$6:$K$40,MATCH(G305,'TDS Rates'!$B$6:$B$40,0)))))),IF(E305="Individual / HUF",INDEX('TDS Rates'!$I$6:$I$40,MATCH(G305,'TDS Rates'!$B$6:$B$40,0)),IF(E305="Company",INDEX('TDS Rates'!$J$6:$J$40,MATCH(G305,'TDS Rates'!$B$6:$B$40,0)),INDEX('TDS Rates'!$K$6:$K$40,MATCH(G305,'TDS Rates'!$B$6:$B$40,0))))),0))</f>
        <v/>
      </c>
      <c r="P305" s="34" t="str">
        <f aca="false">IF(OR(G305="",H305=""),"",ROUND(N305*O305,0))</f>
        <v/>
      </c>
      <c r="Q305" s="27" t="str">
        <f aca="false">IF(OR(G305="",H305=""),"",IFERROR(IF(INDEX('TDS Rates'!$E$6:$E$40,MATCH(G305,'TDS Rates'!$B$6:$B$40,0))="Form 141",EOMONTH(IF(R305="",B305,R305),0)+30,IF(MONTH(IF(R305="",B305,R305))=3,DATE(YEAR(IF(R305="",B305,R305)),4,30),DATE(YEAR(IF(R305="",B305,R305)),MONTH(IF(R305="",B305,R305))+1,7))),""))</f>
        <v/>
      </c>
      <c r="R305" s="17"/>
      <c r="S305" s="17"/>
      <c r="T305" s="5"/>
      <c r="U305" s="28" t="str">
        <f aca="false">IF(OR(G305="",H305=""),"",IF(P305=0,0,IF(IF(R305="",Settings!$C$9,R305)&lt;=B305,0,((YEAR(IF(R305="",Settings!$C$9,R305))-YEAR(B305))*12+MONTH(IF(R305="",Settings!$C$9,R305))-MONTH(B305)+1))))</f>
        <v/>
      </c>
      <c r="V305" s="29" t="str">
        <f aca="false">IF(OR(G305="",H305=""),"",ROUND(P305*Settings!$C$10*U305,0))</f>
        <v/>
      </c>
      <c r="W305" s="28" t="str">
        <f aca="false">IF(OR(G305="",H305=""),"",IF(OR(P305=0,R305=""),0,IF(IF(S305="",Settings!$C$9,S305)&lt;=Q305,0,((YEAR(IF(S305="",Settings!$C$9,S305))-YEAR(R305))*12+MONTH(IF(S305="",Settings!$C$9,S305))-MONTH(R305)+1))))</f>
        <v/>
      </c>
      <c r="X305" s="29" t="str">
        <f aca="false">IF(OR(G305="",H305=""),"",ROUND(P305*Settings!$C$11*W305,0))</f>
        <v/>
      </c>
      <c r="Y305" s="29" t="str">
        <f aca="false">IF(OR(G305="",H305=""),"",V305+X305)</f>
        <v/>
      </c>
      <c r="Z305" s="7" t="str">
        <f aca="false">IF(OR(G305="",H305=""),"",IF(P305=0,"Below threshold",IF(R305="","Not yet deducted",IF(S305="",IF(Settings!$C$9&gt;Q305,"Overdue — pay now","Deducted, due "&amp;TEXT(Q305,"dd-mmm")),IF(S305&lt;=Q305,IF(N(U305)&gt;0,"Deducted late, paid on time","Paid on time"),"Paid late")))))</f>
        <v/>
      </c>
      <c r="AA305" s="35" t="str">
        <f aca="false">IF(OR(G305="",H305=""),"",IF(D305&lt;&gt;"",UPPER(TRIM(D305)),UPPER(TRIM(C305))))</f>
        <v/>
      </c>
    </row>
    <row r="306" customFormat="false" ht="15" hidden="false" customHeight="false" outlineLevel="0" collapsed="false">
      <c r="B306" s="36" t="s">
        <v>103</v>
      </c>
      <c r="H306" s="30" t="n">
        <f aca="false">SUM(H6:H305)</f>
        <v>303000</v>
      </c>
      <c r="N306" s="30" t="n">
        <f aca="false">SUM(N6:N305)</f>
        <v>303000</v>
      </c>
      <c r="P306" s="30" t="n">
        <f aca="false">SUM(P6:P305)</f>
        <v>23760</v>
      </c>
      <c r="V306" s="30" t="n">
        <f aca="false">SUM(V6:V305)</f>
        <v>150</v>
      </c>
      <c r="X306" s="30" t="n">
        <f aca="false">SUM(X6:X305)</f>
        <v>0</v>
      </c>
      <c r="Y306" s="30" t="n">
        <f aca="false">SUM(Y6:Y305)</f>
        <v>150</v>
      </c>
    </row>
  </sheetData>
  <conditionalFormatting sqref="Z6:Z305">
    <cfRule type="expression" priority="2" aboveAverage="0" equalAverage="0" bottom="0" percent="0" rank="0" text="" dxfId="0">
      <formula>Z6="Paid on time"</formula>
    </cfRule>
    <cfRule type="expression" priority="3" aboveAverage="0" equalAverage="0" bottom="0" percent="0" rank="0" text="" dxfId="1">
      <formula>OR(Z6="Paid late",Z6="Deducted late, paid on time",Z6="Overdue — pay now",Z6="Not yet deducted")</formula>
    </cfRule>
  </conditionalFormatting>
  <dataValidations count="3">
    <dataValidation allowBlank="true" errorStyle="stop" operator="between" showDropDown="false" showErrorMessage="false" showInputMessage="false" sqref="E6:E305" type="list">
      <formula1>Settings!$L$5:$L$7</formula1>
      <formula2>0</formula2>
    </dataValidation>
    <dataValidation allowBlank="true" errorStyle="stop" operator="between" showDropDown="false" showErrorMessage="false" showInputMessage="false" sqref="F6:F305" type="list">
      <formula1>"Yes,No"</formula1>
      <formula2>0</formula2>
    </dataValidation>
    <dataValidation allowBlank="true" errorStyle="stop" operator="between" showDropDown="false" showErrorMessage="false" showInputMessage="false" sqref="G6:G305" type="list">
      <formula1>'TDS Rates'!$B$6:$B$40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14"/>
    <col collapsed="false" customWidth="true" hidden="false" outlineLevel="0" max="8" min="7" style="0" width="12"/>
  </cols>
  <sheetData>
    <row r="2" customFormat="false" ht="19.7" hidden="false" customHeight="false" outlineLevel="0" collapsed="false">
      <c r="B2" s="1" t="s">
        <v>104</v>
      </c>
    </row>
    <row r="3" customFormat="false" ht="15" hidden="false" customHeight="false" outlineLevel="0" collapsed="false">
      <c r="B3" s="2" t="s">
        <v>105</v>
      </c>
    </row>
    <row r="5" customFormat="false" ht="30" hidden="false" customHeight="true" outlineLevel="0" collapsed="false">
      <c r="B5" s="18" t="s">
        <v>35</v>
      </c>
      <c r="C5" s="19" t="s">
        <v>106</v>
      </c>
      <c r="D5" s="19" t="s">
        <v>76</v>
      </c>
      <c r="E5" s="19" t="s">
        <v>107</v>
      </c>
      <c r="F5" s="19" t="s">
        <v>108</v>
      </c>
      <c r="G5" s="19" t="s">
        <v>80</v>
      </c>
      <c r="H5" s="19" t="s">
        <v>109</v>
      </c>
    </row>
    <row r="6" customFormat="false" ht="15" hidden="false" customHeight="false" outlineLevel="0" collapsed="false">
      <c r="B6" s="7" t="str">
        <f aca="false">'TDS Rates'!B6</f>
        <v>Contractor / sub-contractor payments</v>
      </c>
      <c r="C6" s="7" t="str">
        <f aca="false">'TDS Rates'!D6</f>
        <v>393(1) Table Sl. 6(i)</v>
      </c>
      <c r="D6" s="7" t="str">
        <f aca="false">'TDS Rates'!C6</f>
        <v>194C</v>
      </c>
      <c r="E6" s="28" t="n">
        <f aca="false">COUNTIF('TDS Register'!$G$6:$G$305,B6)</f>
        <v>3</v>
      </c>
      <c r="F6" s="29" t="n">
        <f aca="false">SUMIF('TDS Register'!$G$6:$G$305,B6,'TDS Register'!$H$6:$H$305)</f>
        <v>113000</v>
      </c>
      <c r="G6" s="34" t="n">
        <f aca="false">SUMIF('TDS Register'!$G$6:$G$305,B6,'TDS Register'!$P$6:$P$305)</f>
        <v>2260</v>
      </c>
      <c r="H6" s="29" t="n">
        <f aca="false">SUMIF('TDS Register'!$G$6:$G$305,B6,'TDS Register'!$Y$6:$Y$305)</f>
        <v>0</v>
      </c>
    </row>
    <row r="7" customFormat="false" ht="15" hidden="false" customHeight="false" outlineLevel="0" collapsed="false">
      <c r="B7" s="7" t="str">
        <f aca="false">'TDS Rates'!B7</f>
        <v>Professional fees, royalty, non-compete fees</v>
      </c>
      <c r="C7" s="7" t="str">
        <f aca="false">'TDS Rates'!D7</f>
        <v>393(1) Table Sl. 6(iii)</v>
      </c>
      <c r="D7" s="7" t="str">
        <f aca="false">'TDS Rates'!C7</f>
        <v>194J(b)</v>
      </c>
      <c r="E7" s="28" t="n">
        <f aca="false">COUNTIF('TDS Register'!$G$6:$G$305,B7)</f>
        <v>1</v>
      </c>
      <c r="F7" s="29" t="n">
        <f aca="false">SUMIF('TDS Register'!$G$6:$G$305,B7,'TDS Register'!$H$6:$H$305)</f>
        <v>75000</v>
      </c>
      <c r="G7" s="34" t="n">
        <f aca="false">SUMIF('TDS Register'!$G$6:$G$305,B7,'TDS Register'!$P$6:$P$305)</f>
        <v>7500</v>
      </c>
      <c r="H7" s="29" t="n">
        <f aca="false">SUMIF('TDS Register'!$G$6:$G$305,B7,'TDS Register'!$Y$6:$Y$305)</f>
        <v>150</v>
      </c>
    </row>
    <row r="8" customFormat="false" ht="15" hidden="false" customHeight="false" outlineLevel="0" collapsed="false">
      <c r="B8" s="7" t="str">
        <f aca="false">'TDS Rates'!B8</f>
        <v>Fees for technical services, call-centre, film royalty</v>
      </c>
      <c r="C8" s="7" t="str">
        <f aca="false">'TDS Rates'!D8</f>
        <v>393(1) Table Sl. 6(iii)</v>
      </c>
      <c r="D8" s="7" t="str">
        <f aca="false">'TDS Rates'!C8</f>
        <v>194J(a)</v>
      </c>
      <c r="E8" s="28" t="n">
        <f aca="false">COUNTIF('TDS Register'!$G$6:$G$305,B8)</f>
        <v>0</v>
      </c>
      <c r="F8" s="29" t="n">
        <f aca="false">SUMIF('TDS Register'!$G$6:$G$305,B8,'TDS Register'!$H$6:$H$305)</f>
        <v>0</v>
      </c>
      <c r="G8" s="34" t="n">
        <f aca="false">SUMIF('TDS Register'!$G$6:$G$305,B8,'TDS Register'!$P$6:$P$305)</f>
        <v>0</v>
      </c>
      <c r="H8" s="29" t="n">
        <f aca="false">SUMIF('TDS Register'!$G$6:$G$305,B8,'TDS Register'!$Y$6:$Y$305)</f>
        <v>0</v>
      </c>
    </row>
    <row r="9" customFormat="false" ht="15" hidden="false" customHeight="false" outlineLevel="0" collapsed="false">
      <c r="B9" s="7" t="str">
        <f aca="false">'TDS Rates'!B9</f>
        <v>Director's fees (not salary)</v>
      </c>
      <c r="C9" s="7" t="str">
        <f aca="false">'TDS Rates'!D9</f>
        <v>393(1) Table Sl. 6(iii)</v>
      </c>
      <c r="D9" s="7" t="str">
        <f aca="false">'TDS Rates'!C9</f>
        <v>194J</v>
      </c>
      <c r="E9" s="28" t="n">
        <f aca="false">COUNTIF('TDS Register'!$G$6:$G$305,B9)</f>
        <v>0</v>
      </c>
      <c r="F9" s="29" t="n">
        <f aca="false">SUMIF('TDS Register'!$G$6:$G$305,B9,'TDS Register'!$H$6:$H$305)</f>
        <v>0</v>
      </c>
      <c r="G9" s="34" t="n">
        <f aca="false">SUMIF('TDS Register'!$G$6:$G$305,B9,'TDS Register'!$P$6:$P$305)</f>
        <v>0</v>
      </c>
      <c r="H9" s="29" t="n">
        <f aca="false">SUMIF('TDS Register'!$G$6:$G$305,B9,'TDS Register'!$Y$6:$Y$305)</f>
        <v>0</v>
      </c>
    </row>
    <row r="10" customFormat="false" ht="15" hidden="false" customHeight="false" outlineLevel="0" collapsed="false">
      <c r="B10" s="7" t="str">
        <f aca="false">'TDS Rates'!B10</f>
        <v>Commission or brokerage</v>
      </c>
      <c r="C10" s="7" t="str">
        <f aca="false">'TDS Rates'!D10</f>
        <v>393(1) Table Sl. 1(ii)</v>
      </c>
      <c r="D10" s="7" t="str">
        <f aca="false">'TDS Rates'!C10</f>
        <v>194H</v>
      </c>
      <c r="E10" s="28" t="n">
        <f aca="false">COUNTIF('TDS Register'!$G$6:$G$305,B10)</f>
        <v>1</v>
      </c>
      <c r="F10" s="29" t="n">
        <f aca="false">SUMIF('TDS Register'!$G$6:$G$305,B10,'TDS Register'!$H$6:$H$305)</f>
        <v>25000</v>
      </c>
      <c r="G10" s="34" t="n">
        <f aca="false">SUMIF('TDS Register'!$G$6:$G$305,B10,'TDS Register'!$P$6:$P$305)</f>
        <v>5000</v>
      </c>
      <c r="H10" s="29" t="n">
        <f aca="false">SUMIF('TDS Register'!$G$6:$G$305,B10,'TDS Register'!$Y$6:$Y$305)</f>
        <v>0</v>
      </c>
    </row>
    <row r="11" customFormat="false" ht="15" hidden="false" customHeight="false" outlineLevel="0" collapsed="false">
      <c r="B11" s="7" t="str">
        <f aca="false">'TDS Rates'!B11</f>
        <v>Insurance commission</v>
      </c>
      <c r="C11" s="7" t="str">
        <f aca="false">'TDS Rates'!D11</f>
        <v>393(1) Table Sl. 1(i)</v>
      </c>
      <c r="D11" s="7" t="str">
        <f aca="false">'TDS Rates'!C11</f>
        <v>194D</v>
      </c>
      <c r="E11" s="28" t="n">
        <f aca="false">COUNTIF('TDS Register'!$G$6:$G$305,B11)</f>
        <v>0</v>
      </c>
      <c r="F11" s="29" t="n">
        <f aca="false">SUMIF('TDS Register'!$G$6:$G$305,B11,'TDS Register'!$H$6:$H$305)</f>
        <v>0</v>
      </c>
      <c r="G11" s="34" t="n">
        <f aca="false">SUMIF('TDS Register'!$G$6:$G$305,B11,'TDS Register'!$P$6:$P$305)</f>
        <v>0</v>
      </c>
      <c r="H11" s="29" t="n">
        <f aca="false">SUMIF('TDS Register'!$G$6:$G$305,B11,'TDS Register'!$Y$6:$Y$305)</f>
        <v>0</v>
      </c>
    </row>
    <row r="12" customFormat="false" ht="15" hidden="false" customHeight="false" outlineLevel="0" collapsed="false">
      <c r="B12" s="7" t="str">
        <f aca="false">'TDS Rates'!B12</f>
        <v>Rent — plant, machinery, equipment</v>
      </c>
      <c r="C12" s="7" t="str">
        <f aca="false">'TDS Rates'!D12</f>
        <v>393(1) Table Sl. 2(ii)</v>
      </c>
      <c r="D12" s="7" t="str">
        <f aca="false">'TDS Rates'!C12</f>
        <v>194-I(a)</v>
      </c>
      <c r="E12" s="28" t="n">
        <f aca="false">COUNTIF('TDS Register'!$G$6:$G$305,B12)</f>
        <v>0</v>
      </c>
      <c r="F12" s="29" t="n">
        <f aca="false">SUMIF('TDS Register'!$G$6:$G$305,B12,'TDS Register'!$H$6:$H$305)</f>
        <v>0</v>
      </c>
      <c r="G12" s="34" t="n">
        <f aca="false">SUMIF('TDS Register'!$G$6:$G$305,B12,'TDS Register'!$P$6:$P$305)</f>
        <v>0</v>
      </c>
      <c r="H12" s="29" t="n">
        <f aca="false">SUMIF('TDS Register'!$G$6:$G$305,B12,'TDS Register'!$Y$6:$Y$305)</f>
        <v>0</v>
      </c>
    </row>
    <row r="13" customFormat="false" ht="15" hidden="false" customHeight="false" outlineLevel="0" collapsed="false">
      <c r="B13" s="7" t="str">
        <f aca="false">'TDS Rates'!B13</f>
        <v>Rent — land, building, furniture</v>
      </c>
      <c r="C13" s="7" t="str">
        <f aca="false">'TDS Rates'!D13</f>
        <v>393(1) Table Sl. 2(ii)</v>
      </c>
      <c r="D13" s="7" t="str">
        <f aca="false">'TDS Rates'!C13</f>
        <v>194-I(b)</v>
      </c>
      <c r="E13" s="28" t="n">
        <f aca="false">COUNTIF('TDS Register'!$G$6:$G$305,B13)</f>
        <v>1</v>
      </c>
      <c r="F13" s="29" t="n">
        <f aca="false">SUMIF('TDS Register'!$G$6:$G$305,B13,'TDS Register'!$H$6:$H$305)</f>
        <v>90000</v>
      </c>
      <c r="G13" s="34" t="n">
        <f aca="false">SUMIF('TDS Register'!$G$6:$G$305,B13,'TDS Register'!$P$6:$P$305)</f>
        <v>9000</v>
      </c>
      <c r="H13" s="29" t="n">
        <f aca="false">SUMIF('TDS Register'!$G$6:$G$305,B13,'TDS Register'!$Y$6:$Y$305)</f>
        <v>0</v>
      </c>
    </row>
    <row r="14" customFormat="false" ht="15" hidden="false" customHeight="false" outlineLevel="0" collapsed="false">
      <c r="B14" s="7" t="str">
        <f aca="false">'TDS Rates'!B14</f>
        <v>Rent paid by individual / HUF (not under audit)</v>
      </c>
      <c r="C14" s="7" t="str">
        <f aca="false">'TDS Rates'!D14</f>
        <v>393(1) Table Sl. 2(i)</v>
      </c>
      <c r="D14" s="7" t="str">
        <f aca="false">'TDS Rates'!C14</f>
        <v>194-IB</v>
      </c>
      <c r="E14" s="28" t="n">
        <f aca="false">COUNTIF('TDS Register'!$G$6:$G$305,B14)</f>
        <v>0</v>
      </c>
      <c r="F14" s="29" t="n">
        <f aca="false">SUMIF('TDS Register'!$G$6:$G$305,B14,'TDS Register'!$H$6:$H$305)</f>
        <v>0</v>
      </c>
      <c r="G14" s="34" t="n">
        <f aca="false">SUMIF('TDS Register'!$G$6:$G$305,B14,'TDS Register'!$P$6:$P$305)</f>
        <v>0</v>
      </c>
      <c r="H14" s="29" t="n">
        <f aca="false">SUMIF('TDS Register'!$G$6:$G$305,B14,'TDS Register'!$Y$6:$Y$305)</f>
        <v>0</v>
      </c>
    </row>
    <row r="15" customFormat="false" ht="15" hidden="false" customHeight="false" outlineLevel="0" collapsed="false">
      <c r="B15" s="7" t="str">
        <f aca="false">'TDS Rates'!B15</f>
        <v>Interest — bank / post office deposits (senior citizen)</v>
      </c>
      <c r="C15" s="7" t="str">
        <f aca="false">'TDS Rates'!D15</f>
        <v>393(1) Table Sl. 5(ii)</v>
      </c>
      <c r="D15" s="7" t="str">
        <f aca="false">'TDS Rates'!C15</f>
        <v>194A</v>
      </c>
      <c r="E15" s="28" t="n">
        <f aca="false">COUNTIF('TDS Register'!$G$6:$G$305,B15)</f>
        <v>0</v>
      </c>
      <c r="F15" s="29" t="n">
        <f aca="false">SUMIF('TDS Register'!$G$6:$G$305,B15,'TDS Register'!$H$6:$H$305)</f>
        <v>0</v>
      </c>
      <c r="G15" s="34" t="n">
        <f aca="false">SUMIF('TDS Register'!$G$6:$G$305,B15,'TDS Register'!$P$6:$P$305)</f>
        <v>0</v>
      </c>
      <c r="H15" s="29" t="n">
        <f aca="false">SUMIF('TDS Register'!$G$6:$G$305,B15,'TDS Register'!$Y$6:$Y$305)</f>
        <v>0</v>
      </c>
    </row>
    <row r="16" customFormat="false" ht="15" hidden="false" customHeight="false" outlineLevel="0" collapsed="false">
      <c r="B16" s="7" t="str">
        <f aca="false">'TDS Rates'!B16</f>
        <v>Interest — bank / post office deposits (others)</v>
      </c>
      <c r="C16" s="7" t="str">
        <f aca="false">'TDS Rates'!D16</f>
        <v>393(1) Table Sl. 5(ii)</v>
      </c>
      <c r="D16" s="7" t="str">
        <f aca="false">'TDS Rates'!C16</f>
        <v>194A</v>
      </c>
      <c r="E16" s="28" t="n">
        <f aca="false">COUNTIF('TDS Register'!$G$6:$G$305,B16)</f>
        <v>0</v>
      </c>
      <c r="F16" s="29" t="n">
        <f aca="false">SUMIF('TDS Register'!$G$6:$G$305,B16,'TDS Register'!$H$6:$H$305)</f>
        <v>0</v>
      </c>
      <c r="G16" s="34" t="n">
        <f aca="false">SUMIF('TDS Register'!$G$6:$G$305,B16,'TDS Register'!$P$6:$P$305)</f>
        <v>0</v>
      </c>
      <c r="H16" s="29" t="n">
        <f aca="false">SUMIF('TDS Register'!$G$6:$G$305,B16,'TDS Register'!$Y$6:$Y$305)</f>
        <v>0</v>
      </c>
    </row>
    <row r="17" customFormat="false" ht="15" hidden="false" customHeight="false" outlineLevel="0" collapsed="false">
      <c r="B17" s="7" t="str">
        <f aca="false">'TDS Rates'!B17</f>
        <v>Interest — other than banks (loans, deposits)</v>
      </c>
      <c r="C17" s="7" t="str">
        <f aca="false">'TDS Rates'!D17</f>
        <v>393(1) Table Sl. 5(iii)</v>
      </c>
      <c r="D17" s="7" t="str">
        <f aca="false">'TDS Rates'!C17</f>
        <v>194A</v>
      </c>
      <c r="E17" s="28" t="n">
        <f aca="false">COUNTIF('TDS Register'!$G$6:$G$305,B17)</f>
        <v>0</v>
      </c>
      <c r="F17" s="29" t="n">
        <f aca="false">SUMIF('TDS Register'!$G$6:$G$305,B17,'TDS Register'!$H$6:$H$305)</f>
        <v>0</v>
      </c>
      <c r="G17" s="34" t="n">
        <f aca="false">SUMIF('TDS Register'!$G$6:$G$305,B17,'TDS Register'!$P$6:$P$305)</f>
        <v>0</v>
      </c>
      <c r="H17" s="29" t="n">
        <f aca="false">SUMIF('TDS Register'!$G$6:$G$305,B17,'TDS Register'!$Y$6:$Y$305)</f>
        <v>0</v>
      </c>
    </row>
    <row r="18" customFormat="false" ht="15" hidden="false" customHeight="false" outlineLevel="0" collapsed="false">
      <c r="B18" s="7" t="str">
        <f aca="false">'TDS Rates'!B18</f>
        <v>Dividend</v>
      </c>
      <c r="C18" s="7" t="str">
        <f aca="false">'TDS Rates'!D18</f>
        <v>393(1) Table Sl. 7</v>
      </c>
      <c r="D18" s="7" t="str">
        <f aca="false">'TDS Rates'!C18</f>
        <v>194</v>
      </c>
      <c r="E18" s="28" t="n">
        <f aca="false">COUNTIF('TDS Register'!$G$6:$G$305,B18)</f>
        <v>0</v>
      </c>
      <c r="F18" s="29" t="n">
        <f aca="false">SUMIF('TDS Register'!$G$6:$G$305,B18,'TDS Register'!$H$6:$H$305)</f>
        <v>0</v>
      </c>
      <c r="G18" s="34" t="n">
        <f aca="false">SUMIF('TDS Register'!$G$6:$G$305,B18,'TDS Register'!$P$6:$P$305)</f>
        <v>0</v>
      </c>
      <c r="H18" s="29" t="n">
        <f aca="false">SUMIF('TDS Register'!$G$6:$G$305,B18,'TDS Register'!$Y$6:$Y$305)</f>
        <v>0</v>
      </c>
    </row>
    <row r="19" customFormat="false" ht="15" hidden="false" customHeight="false" outlineLevel="0" collapsed="false">
      <c r="B19" s="7" t="str">
        <f aca="false">'TDS Rates'!B19</f>
        <v>Income from mutual fund units</v>
      </c>
      <c r="C19" s="7" t="str">
        <f aca="false">'TDS Rates'!D19</f>
        <v>393(1) Table Sl. 4(i)</v>
      </c>
      <c r="D19" s="7" t="str">
        <f aca="false">'TDS Rates'!C19</f>
        <v>194K</v>
      </c>
      <c r="E19" s="28" t="n">
        <f aca="false">COUNTIF('TDS Register'!$G$6:$G$305,B19)</f>
        <v>0</v>
      </c>
      <c r="F19" s="29" t="n">
        <f aca="false">SUMIF('TDS Register'!$G$6:$G$305,B19,'TDS Register'!$H$6:$H$305)</f>
        <v>0</v>
      </c>
      <c r="G19" s="34" t="n">
        <f aca="false">SUMIF('TDS Register'!$G$6:$G$305,B19,'TDS Register'!$P$6:$P$305)</f>
        <v>0</v>
      </c>
      <c r="H19" s="29" t="n">
        <f aca="false">SUMIF('TDS Register'!$G$6:$G$305,B19,'TDS Register'!$Y$6:$Y$305)</f>
        <v>0</v>
      </c>
    </row>
    <row r="20" customFormat="false" ht="15" hidden="false" customHeight="false" outlineLevel="0" collapsed="false">
      <c r="B20" s="7" t="str">
        <f aca="false">'TDS Rates'!B20</f>
        <v>Purchase of goods (buyer turnover &gt; ₹10 crore)</v>
      </c>
      <c r="C20" s="7" t="str">
        <f aca="false">'TDS Rates'!D20</f>
        <v>393(1) Table Sl. 8(ii)</v>
      </c>
      <c r="D20" s="7" t="str">
        <f aca="false">'TDS Rates'!C20</f>
        <v>194Q</v>
      </c>
      <c r="E20" s="28" t="n">
        <f aca="false">COUNTIF('TDS Register'!$G$6:$G$305,B20)</f>
        <v>0</v>
      </c>
      <c r="F20" s="29" t="n">
        <f aca="false">SUMIF('TDS Register'!$G$6:$G$305,B20,'TDS Register'!$H$6:$H$305)</f>
        <v>0</v>
      </c>
      <c r="G20" s="34" t="n">
        <f aca="false">SUMIF('TDS Register'!$G$6:$G$305,B20,'TDS Register'!$P$6:$P$305)</f>
        <v>0</v>
      </c>
      <c r="H20" s="29" t="n">
        <f aca="false">SUMIF('TDS Register'!$G$6:$G$305,B20,'TDS Register'!$Y$6:$Y$305)</f>
        <v>0</v>
      </c>
    </row>
    <row r="21" customFormat="false" ht="15" hidden="false" customHeight="false" outlineLevel="0" collapsed="false">
      <c r="B21" s="7" t="str">
        <f aca="false">'TDS Rates'!B21</f>
        <v>Purchase of immovable property (₹50 lakh or more)</v>
      </c>
      <c r="C21" s="7" t="str">
        <f aca="false">'TDS Rates'!D21</f>
        <v>393(1) Table Sl. 3(i)</v>
      </c>
      <c r="D21" s="7" t="str">
        <f aca="false">'TDS Rates'!C21</f>
        <v>194-IA</v>
      </c>
      <c r="E21" s="28" t="n">
        <f aca="false">COUNTIF('TDS Register'!$G$6:$G$305,B21)</f>
        <v>0</v>
      </c>
      <c r="F21" s="29" t="n">
        <f aca="false">SUMIF('TDS Register'!$G$6:$G$305,B21,'TDS Register'!$H$6:$H$305)</f>
        <v>0</v>
      </c>
      <c r="G21" s="34" t="n">
        <f aca="false">SUMIF('TDS Register'!$G$6:$G$305,B21,'TDS Register'!$P$6:$P$305)</f>
        <v>0</v>
      </c>
      <c r="H21" s="29" t="n">
        <f aca="false">SUMIF('TDS Register'!$G$6:$G$305,B21,'TDS Register'!$Y$6:$Y$305)</f>
        <v>0</v>
      </c>
    </row>
    <row r="22" customFormat="false" ht="15" hidden="false" customHeight="false" outlineLevel="0" collapsed="false">
      <c r="B22" s="7" t="str">
        <f aca="false">'TDS Rates'!B22</f>
        <v>Work / professional fees paid by individual / HUF</v>
      </c>
      <c r="C22" s="7" t="str">
        <f aca="false">'TDS Rates'!D22</f>
        <v>393(1) Table Sl. 6(ii)</v>
      </c>
      <c r="D22" s="7" t="str">
        <f aca="false">'TDS Rates'!C22</f>
        <v>194M</v>
      </c>
      <c r="E22" s="28" t="n">
        <f aca="false">COUNTIF('TDS Register'!$G$6:$G$305,B22)</f>
        <v>0</v>
      </c>
      <c r="F22" s="29" t="n">
        <f aca="false">SUMIF('TDS Register'!$G$6:$G$305,B22,'TDS Register'!$H$6:$H$305)</f>
        <v>0</v>
      </c>
      <c r="G22" s="34" t="n">
        <f aca="false">SUMIF('TDS Register'!$G$6:$G$305,B22,'TDS Register'!$P$6:$P$305)</f>
        <v>0</v>
      </c>
      <c r="H22" s="29" t="n">
        <f aca="false">SUMIF('TDS Register'!$G$6:$G$305,B22,'TDS Register'!$Y$6:$Y$305)</f>
        <v>0</v>
      </c>
    </row>
    <row r="23" customFormat="false" ht="15" hidden="false" customHeight="false" outlineLevel="0" collapsed="false">
      <c r="B23" s="7" t="str">
        <f aca="false">'TDS Rates'!B23</f>
        <v>E-commerce operator — sales of participants</v>
      </c>
      <c r="C23" s="7" t="str">
        <f aca="false">'TDS Rates'!D23</f>
        <v>393(1) Table Sl. 8(v)</v>
      </c>
      <c r="D23" s="7" t="str">
        <f aca="false">'TDS Rates'!C23</f>
        <v>194-O</v>
      </c>
      <c r="E23" s="28" t="n">
        <f aca="false">COUNTIF('TDS Register'!$G$6:$G$305,B23)</f>
        <v>0</v>
      </c>
      <c r="F23" s="29" t="n">
        <f aca="false">SUMIF('TDS Register'!$G$6:$G$305,B23,'TDS Register'!$H$6:$H$305)</f>
        <v>0</v>
      </c>
      <c r="G23" s="34" t="n">
        <f aca="false">SUMIF('TDS Register'!$G$6:$G$305,B23,'TDS Register'!$P$6:$P$305)</f>
        <v>0</v>
      </c>
      <c r="H23" s="29" t="n">
        <f aca="false">SUMIF('TDS Register'!$G$6:$G$305,B23,'TDS Register'!$Y$6:$Y$305)</f>
        <v>0</v>
      </c>
    </row>
    <row r="24" customFormat="false" ht="15" hidden="false" customHeight="false" outlineLevel="0" collapsed="false">
      <c r="B24" s="7" t="str">
        <f aca="false">'TDS Rates'!B24</f>
        <v>Benefit or perquisite of business</v>
      </c>
      <c r="C24" s="7" t="str">
        <f aca="false">'TDS Rates'!D24</f>
        <v>393(1) Table Sl. 8(iv)</v>
      </c>
      <c r="D24" s="7" t="str">
        <f aca="false">'TDS Rates'!C24</f>
        <v>194R</v>
      </c>
      <c r="E24" s="28" t="n">
        <f aca="false">COUNTIF('TDS Register'!$G$6:$G$305,B24)</f>
        <v>0</v>
      </c>
      <c r="F24" s="29" t="n">
        <f aca="false">SUMIF('TDS Register'!$G$6:$G$305,B24,'TDS Register'!$H$6:$H$305)</f>
        <v>0</v>
      </c>
      <c r="G24" s="34" t="n">
        <f aca="false">SUMIF('TDS Register'!$G$6:$G$305,B24,'TDS Register'!$P$6:$P$305)</f>
        <v>0</v>
      </c>
      <c r="H24" s="29" t="n">
        <f aca="false">SUMIF('TDS Register'!$G$6:$G$305,B24,'TDS Register'!$Y$6:$Y$305)</f>
        <v>0</v>
      </c>
    </row>
    <row r="25" customFormat="false" ht="15" hidden="false" customHeight="false" outlineLevel="0" collapsed="false">
      <c r="B25" s="7" t="str">
        <f aca="false">'TDS Rates'!B25</f>
        <v>Transfer of virtual digital asset</v>
      </c>
      <c r="C25" s="7" t="str">
        <f aca="false">'TDS Rates'!D25</f>
        <v>393(1) Table Sl. 8(vi)</v>
      </c>
      <c r="D25" s="7" t="str">
        <f aca="false">'TDS Rates'!C25</f>
        <v>194S</v>
      </c>
      <c r="E25" s="28" t="n">
        <f aca="false">COUNTIF('TDS Register'!$G$6:$G$305,B25)</f>
        <v>0</v>
      </c>
      <c r="F25" s="29" t="n">
        <f aca="false">SUMIF('TDS Register'!$G$6:$G$305,B25,'TDS Register'!$H$6:$H$305)</f>
        <v>0</v>
      </c>
      <c r="G25" s="34" t="n">
        <f aca="false">SUMIF('TDS Register'!$G$6:$G$305,B25,'TDS Register'!$P$6:$P$305)</f>
        <v>0</v>
      </c>
      <c r="H25" s="29" t="n">
        <f aca="false">SUMIF('TDS Register'!$G$6:$G$305,B25,'TDS Register'!$Y$6:$Y$305)</f>
        <v>0</v>
      </c>
    </row>
    <row r="26" customFormat="false" ht="15" hidden="false" customHeight="false" outlineLevel="0" collapsed="false">
      <c r="B26" s="7" t="str">
        <f aca="false">'TDS Rates'!B26</f>
        <v>Life insurance payout (income portion)</v>
      </c>
      <c r="C26" s="7" t="str">
        <f aca="false">'TDS Rates'!D26</f>
        <v>393(1) Table Sl. 8(i)</v>
      </c>
      <c r="D26" s="7" t="str">
        <f aca="false">'TDS Rates'!C26</f>
        <v>194DA</v>
      </c>
      <c r="E26" s="28" t="n">
        <f aca="false">COUNTIF('TDS Register'!$G$6:$G$305,B26)</f>
        <v>0</v>
      </c>
      <c r="F26" s="29" t="n">
        <f aca="false">SUMIF('TDS Register'!$G$6:$G$305,B26,'TDS Register'!$H$6:$H$305)</f>
        <v>0</v>
      </c>
      <c r="G26" s="34" t="n">
        <f aca="false">SUMIF('TDS Register'!$G$6:$G$305,B26,'TDS Register'!$P$6:$P$305)</f>
        <v>0</v>
      </c>
      <c r="H26" s="29" t="n">
        <f aca="false">SUMIF('TDS Register'!$G$6:$G$305,B26,'TDS Register'!$Y$6:$Y$305)</f>
        <v>0</v>
      </c>
    </row>
    <row r="27" customFormat="false" ht="15" hidden="false" customHeight="false" outlineLevel="0" collapsed="false">
      <c r="B27" s="7" t="str">
        <f aca="false">'TDS Rates'!B27</f>
        <v>Lottery, online games, crossword winnings</v>
      </c>
      <c r="C27" s="7" t="str">
        <f aca="false">'TDS Rates'!D27</f>
        <v>393(3) Table Sl. 1</v>
      </c>
      <c r="D27" s="7" t="str">
        <f aca="false">'TDS Rates'!C27</f>
        <v>194B</v>
      </c>
      <c r="E27" s="28" t="n">
        <f aca="false">COUNTIF('TDS Register'!$G$6:$G$305,B27)</f>
        <v>0</v>
      </c>
      <c r="F27" s="29" t="n">
        <f aca="false">SUMIF('TDS Register'!$G$6:$G$305,B27,'TDS Register'!$H$6:$H$305)</f>
        <v>0</v>
      </c>
      <c r="G27" s="34" t="n">
        <f aca="false">SUMIF('TDS Register'!$G$6:$G$305,B27,'TDS Register'!$P$6:$P$305)</f>
        <v>0</v>
      </c>
      <c r="H27" s="29" t="n">
        <f aca="false">SUMIF('TDS Register'!$G$6:$G$305,B27,'TDS Register'!$Y$6:$Y$305)</f>
        <v>0</v>
      </c>
    </row>
    <row r="28" customFormat="false" ht="15" hidden="false" customHeight="false" outlineLevel="0" collapsed="false">
      <c r="B28" s="7" t="str">
        <f aca="false">'TDS Rates'!B28</f>
        <v>Commission on sale of lottery tickets</v>
      </c>
      <c r="C28" s="7" t="str">
        <f aca="false">'TDS Rates'!D28</f>
        <v>393(3) Table Sl. 4</v>
      </c>
      <c r="D28" s="7" t="str">
        <f aca="false">'TDS Rates'!C28</f>
        <v>194G</v>
      </c>
      <c r="E28" s="28" t="n">
        <f aca="false">COUNTIF('TDS Register'!$G$6:$G$305,B28)</f>
        <v>0</v>
      </c>
      <c r="F28" s="29" t="n">
        <f aca="false">SUMIF('TDS Register'!$G$6:$G$305,B28,'TDS Register'!$H$6:$H$305)</f>
        <v>0</v>
      </c>
      <c r="G28" s="34" t="n">
        <f aca="false">SUMIF('TDS Register'!$G$6:$G$305,B28,'TDS Register'!$P$6:$P$305)</f>
        <v>0</v>
      </c>
      <c r="H28" s="29" t="n">
        <f aca="false">SUMIF('TDS Register'!$G$6:$G$305,B28,'TDS Register'!$Y$6:$Y$305)</f>
        <v>0</v>
      </c>
    </row>
    <row r="29" customFormat="false" ht="15" hidden="false" customHeight="false" outlineLevel="0" collapsed="false">
      <c r="B29" s="7" t="str">
        <f aca="false">'TDS Rates'!B29</f>
        <v>Cash withdrawal from bank (above ₹1 crore)</v>
      </c>
      <c r="C29" s="7" t="str">
        <f aca="false">'TDS Rates'!D29</f>
        <v>393(3) Table Sl. 5</v>
      </c>
      <c r="D29" s="7" t="str">
        <f aca="false">'TDS Rates'!C29</f>
        <v>194N</v>
      </c>
      <c r="E29" s="28" t="n">
        <f aca="false">COUNTIF('TDS Register'!$G$6:$G$305,B29)</f>
        <v>0</v>
      </c>
      <c r="F29" s="29" t="n">
        <f aca="false">SUMIF('TDS Register'!$G$6:$G$305,B29,'TDS Register'!$H$6:$H$305)</f>
        <v>0</v>
      </c>
      <c r="G29" s="34" t="n">
        <f aca="false">SUMIF('TDS Register'!$G$6:$G$305,B29,'TDS Register'!$P$6:$P$305)</f>
        <v>0</v>
      </c>
      <c r="H29" s="29" t="n">
        <f aca="false">SUMIF('TDS Register'!$G$6:$G$305,B29,'TDS Register'!$Y$6:$Y$305)</f>
        <v>0</v>
      </c>
    </row>
    <row r="30" customFormat="false" ht="15" hidden="false" customHeight="false" outlineLevel="0" collapsed="false">
      <c r="B30" s="7" t="str">
        <f aca="false">'TDS Rates'!B30</f>
        <v>Partner's salary, commission, interest (by firm)</v>
      </c>
      <c r="C30" s="7" t="str">
        <f aca="false">'TDS Rates'!D30</f>
        <v>393(3) Table Sl. 7</v>
      </c>
      <c r="D30" s="7" t="str">
        <f aca="false">'TDS Rates'!C30</f>
        <v>194T</v>
      </c>
      <c r="E30" s="28" t="n">
        <f aca="false">COUNTIF('TDS Register'!$G$6:$G$305,B30)</f>
        <v>0</v>
      </c>
      <c r="F30" s="29" t="n">
        <f aca="false">SUMIF('TDS Register'!$G$6:$G$305,B30,'TDS Register'!$H$6:$H$305)</f>
        <v>0</v>
      </c>
      <c r="G30" s="34" t="n">
        <f aca="false">SUMIF('TDS Register'!$G$6:$G$305,B30,'TDS Register'!$P$6:$P$305)</f>
        <v>0</v>
      </c>
      <c r="H30" s="29" t="n">
        <f aca="false">SUMIF('TDS Register'!$G$6:$G$305,B30,'TDS Register'!$Y$6:$Y$305)</f>
        <v>0</v>
      </c>
    </row>
    <row r="31" customFormat="false" ht="15" hidden="false" customHeight="false" outlineLevel="0" collapsed="false">
      <c r="B31" s="36" t="s">
        <v>103</v>
      </c>
      <c r="C31" s="37"/>
      <c r="D31" s="37"/>
      <c r="E31" s="38" t="n">
        <f aca="false">SUM(E6:E30)</f>
        <v>6</v>
      </c>
      <c r="F31" s="30" t="n">
        <f aca="false">SUM(F6:F30)</f>
        <v>303000</v>
      </c>
      <c r="G31" s="30" t="n">
        <f aca="false">SUM(G6:G30)</f>
        <v>23760</v>
      </c>
      <c r="H31" s="30" t="n">
        <f aca="false">SUM(H6:H30)</f>
        <v>150</v>
      </c>
    </row>
    <row r="33" customFormat="false" ht="15" hidden="false" customHeight="false" outlineLevel="0" collapsed="false">
      <c r="B33" s="3" t="s">
        <v>110</v>
      </c>
    </row>
    <row r="34" customFormat="false" ht="30" hidden="false" customHeight="true" outlineLevel="0" collapsed="false">
      <c r="B34" s="18" t="s">
        <v>111</v>
      </c>
      <c r="C34" s="19" t="s">
        <v>80</v>
      </c>
      <c r="D34" s="19" t="s">
        <v>112</v>
      </c>
      <c r="E34" s="19" t="s">
        <v>113</v>
      </c>
      <c r="F34" s="19" t="s">
        <v>114</v>
      </c>
      <c r="G34" s="19" t="s">
        <v>109</v>
      </c>
    </row>
    <row r="35" customFormat="false" ht="15" hidden="false" customHeight="false" outlineLevel="0" collapsed="false">
      <c r="B35" s="39" t="n">
        <f aca="false">EDATE(Settings!$C$7,0)</f>
        <v>46113</v>
      </c>
      <c r="C35" s="34" t="n">
        <f aca="false">SUMIFS('TDS Register'!$P$6:$P$305,'TDS Register'!$B$6:$B$305,"&gt;="&amp;B35,'TDS Register'!$B$6:$B$305,"&lt;="&amp;EOMONTH(B35,0))</f>
        <v>0</v>
      </c>
      <c r="D35" s="27" t="n">
        <f aca="false">IF(MONTH(B35)=3,DATE(YEAR(B35),4,30),DATE(YEAR(B35),MONTH(B35)+1,7))</f>
        <v>46149</v>
      </c>
      <c r="E35" s="29" t="n">
        <f aca="false">SUMIFS('TDS Register'!$P$6:$P$305,'TDS Register'!$B$6:$B$305,"&gt;="&amp;B35,'TDS Register'!$B$6:$B$305,"&lt;="&amp;EOMONTH(B35,0),'TDS Register'!$S$6:$S$305,"&lt;&gt;")</f>
        <v>0</v>
      </c>
      <c r="F35" s="29" t="n">
        <f aca="false">C35-E35</f>
        <v>0</v>
      </c>
      <c r="G35" s="29" t="n">
        <f aca="false">SUMIFS('TDS Register'!$Y$6:$Y$305,'TDS Register'!$B$6:$B$305,"&gt;="&amp;B35,'TDS Register'!$B$6:$B$305,"&lt;="&amp;EOMONTH(B35,0))</f>
        <v>0</v>
      </c>
    </row>
    <row r="36" customFormat="false" ht="15" hidden="false" customHeight="false" outlineLevel="0" collapsed="false">
      <c r="B36" s="39" t="n">
        <f aca="false">EDATE(Settings!$C$7,1)</f>
        <v>46143</v>
      </c>
      <c r="C36" s="34" t="n">
        <f aca="false">SUMIFS('TDS Register'!$P$6:$P$305,'TDS Register'!$B$6:$B$305,"&gt;="&amp;B36,'TDS Register'!$B$6:$B$305,"&lt;="&amp;EOMONTH(B36,0))</f>
        <v>0</v>
      </c>
      <c r="D36" s="27" t="n">
        <f aca="false">IF(MONTH(B36)=3,DATE(YEAR(B36),4,30),DATE(YEAR(B36),MONTH(B36)+1,7))</f>
        <v>46180</v>
      </c>
      <c r="E36" s="29" t="n">
        <f aca="false">SUMIFS('TDS Register'!$P$6:$P$305,'TDS Register'!$B$6:$B$305,"&gt;="&amp;B36,'TDS Register'!$B$6:$B$305,"&lt;="&amp;EOMONTH(B36,0),'TDS Register'!$S$6:$S$305,"&lt;&gt;")</f>
        <v>0</v>
      </c>
      <c r="F36" s="29" t="n">
        <f aca="false">C36-E36</f>
        <v>0</v>
      </c>
      <c r="G36" s="29" t="n">
        <f aca="false">SUMIFS('TDS Register'!$Y$6:$Y$305,'TDS Register'!$B$6:$B$305,"&gt;="&amp;B36,'TDS Register'!$B$6:$B$305,"&lt;="&amp;EOMONTH(B36,0))</f>
        <v>0</v>
      </c>
    </row>
    <row r="37" customFormat="false" ht="15" hidden="false" customHeight="false" outlineLevel="0" collapsed="false">
      <c r="B37" s="39" t="n">
        <f aca="false">EDATE(Settings!$C$7,2)</f>
        <v>46174</v>
      </c>
      <c r="C37" s="34" t="n">
        <f aca="false">SUMIFS('TDS Register'!$P$6:$P$305,'TDS Register'!$B$6:$B$305,"&gt;="&amp;B37,'TDS Register'!$B$6:$B$305,"&lt;="&amp;EOMONTH(B37,0))</f>
        <v>0</v>
      </c>
      <c r="D37" s="27" t="n">
        <f aca="false">IF(MONTH(B37)=3,DATE(YEAR(B37),4,30),DATE(YEAR(B37),MONTH(B37)+1,7))</f>
        <v>46210</v>
      </c>
      <c r="E37" s="29" t="n">
        <f aca="false">SUMIFS('TDS Register'!$P$6:$P$305,'TDS Register'!$B$6:$B$305,"&gt;="&amp;B37,'TDS Register'!$B$6:$B$305,"&lt;="&amp;EOMONTH(B37,0),'TDS Register'!$S$6:$S$305,"&lt;&gt;")</f>
        <v>0</v>
      </c>
      <c r="F37" s="29" t="n">
        <f aca="false">C37-E37</f>
        <v>0</v>
      </c>
      <c r="G37" s="29" t="n">
        <f aca="false">SUMIFS('TDS Register'!$Y$6:$Y$305,'TDS Register'!$B$6:$B$305,"&gt;="&amp;B37,'TDS Register'!$B$6:$B$305,"&lt;="&amp;EOMONTH(B37,0))</f>
        <v>0</v>
      </c>
    </row>
    <row r="38" customFormat="false" ht="15" hidden="false" customHeight="false" outlineLevel="0" collapsed="false">
      <c r="B38" s="39" t="n">
        <f aca="false">EDATE(Settings!$C$7,3)</f>
        <v>46204</v>
      </c>
      <c r="C38" s="34" t="n">
        <f aca="false">SUMIFS('TDS Register'!$P$6:$P$305,'TDS Register'!$B$6:$B$305,"&gt;="&amp;B38,'TDS Register'!$B$6:$B$305,"&lt;="&amp;EOMONTH(B38,0))</f>
        <v>0</v>
      </c>
      <c r="D38" s="27" t="n">
        <f aca="false">IF(MONTH(B38)=3,DATE(YEAR(B38),4,30),DATE(YEAR(B38),MONTH(B38)+1,7))</f>
        <v>46241</v>
      </c>
      <c r="E38" s="29" t="n">
        <f aca="false">SUMIFS('TDS Register'!$P$6:$P$305,'TDS Register'!$B$6:$B$305,"&gt;="&amp;B38,'TDS Register'!$B$6:$B$305,"&lt;="&amp;EOMONTH(B38,0),'TDS Register'!$S$6:$S$305,"&lt;&gt;")</f>
        <v>0</v>
      </c>
      <c r="F38" s="29" t="n">
        <f aca="false">C38-E38</f>
        <v>0</v>
      </c>
      <c r="G38" s="29" t="n">
        <f aca="false">SUMIFS('TDS Register'!$Y$6:$Y$305,'TDS Register'!$B$6:$B$305,"&gt;="&amp;B38,'TDS Register'!$B$6:$B$305,"&lt;="&amp;EOMONTH(B38,0))</f>
        <v>0</v>
      </c>
    </row>
    <row r="39" customFormat="false" ht="15" hidden="false" customHeight="false" outlineLevel="0" collapsed="false">
      <c r="B39" s="39" t="n">
        <f aca="false">EDATE(Settings!$C$7,4)</f>
        <v>46235</v>
      </c>
      <c r="C39" s="34" t="n">
        <f aca="false">SUMIFS('TDS Register'!$P$6:$P$305,'TDS Register'!$B$6:$B$305,"&gt;="&amp;B39,'TDS Register'!$B$6:$B$305,"&lt;="&amp;EOMONTH(B39,0))</f>
        <v>0</v>
      </c>
      <c r="D39" s="27" t="n">
        <f aca="false">IF(MONTH(B39)=3,DATE(YEAR(B39),4,30),DATE(YEAR(B39),MONTH(B39)+1,7))</f>
        <v>46272</v>
      </c>
      <c r="E39" s="29" t="n">
        <f aca="false">SUMIFS('TDS Register'!$P$6:$P$305,'TDS Register'!$B$6:$B$305,"&gt;="&amp;B39,'TDS Register'!$B$6:$B$305,"&lt;="&amp;EOMONTH(B39,0),'TDS Register'!$S$6:$S$305,"&lt;&gt;")</f>
        <v>0</v>
      </c>
      <c r="F39" s="29" t="n">
        <f aca="false">C39-E39</f>
        <v>0</v>
      </c>
      <c r="G39" s="29" t="n">
        <f aca="false">SUMIFS('TDS Register'!$Y$6:$Y$305,'TDS Register'!$B$6:$B$305,"&gt;="&amp;B39,'TDS Register'!$B$6:$B$305,"&lt;="&amp;EOMONTH(B39,0))</f>
        <v>0</v>
      </c>
    </row>
    <row r="40" customFormat="false" ht="15" hidden="false" customHeight="false" outlineLevel="0" collapsed="false">
      <c r="B40" s="39" t="n">
        <f aca="false">EDATE(Settings!$C$7,5)</f>
        <v>46266</v>
      </c>
      <c r="C40" s="34" t="n">
        <f aca="false">SUMIFS('TDS Register'!$P$6:$P$305,'TDS Register'!$B$6:$B$305,"&gt;="&amp;B40,'TDS Register'!$B$6:$B$305,"&lt;="&amp;EOMONTH(B40,0))</f>
        <v>9760</v>
      </c>
      <c r="D40" s="27" t="n">
        <f aca="false">IF(MONTH(B40)=3,DATE(YEAR(B40),4,30),DATE(YEAR(B40),MONTH(B40)+1,7))</f>
        <v>46302</v>
      </c>
      <c r="E40" s="29" t="n">
        <f aca="false">SUMIFS('TDS Register'!$P$6:$P$305,'TDS Register'!$B$6:$B$305,"&gt;="&amp;B40,'TDS Register'!$B$6:$B$305,"&lt;="&amp;EOMONTH(B40,0),'TDS Register'!$S$6:$S$305,"&lt;&gt;")</f>
        <v>9760</v>
      </c>
      <c r="F40" s="29" t="n">
        <f aca="false">C40-E40</f>
        <v>0</v>
      </c>
      <c r="G40" s="29" t="n">
        <f aca="false">SUMIFS('TDS Register'!$Y$6:$Y$305,'TDS Register'!$B$6:$B$305,"&gt;="&amp;B40,'TDS Register'!$B$6:$B$305,"&lt;="&amp;EOMONTH(B40,0))</f>
        <v>150</v>
      </c>
    </row>
    <row r="41" customFormat="false" ht="15" hidden="false" customHeight="false" outlineLevel="0" collapsed="false">
      <c r="B41" s="39" t="n">
        <f aca="false">EDATE(Settings!$C$7,6)</f>
        <v>46296</v>
      </c>
      <c r="C41" s="34" t="n">
        <f aca="false">SUMIFS('TDS Register'!$P$6:$P$305,'TDS Register'!$B$6:$B$305,"&gt;="&amp;B41,'TDS Register'!$B$6:$B$305,"&lt;="&amp;EOMONTH(B41,0))</f>
        <v>14000</v>
      </c>
      <c r="D41" s="27" t="n">
        <f aca="false">IF(MONTH(B41)=3,DATE(YEAR(B41),4,30),DATE(YEAR(B41),MONTH(B41)+1,7))</f>
        <v>46333</v>
      </c>
      <c r="E41" s="29" t="n">
        <f aca="false">SUMIFS('TDS Register'!$P$6:$P$305,'TDS Register'!$B$6:$B$305,"&gt;="&amp;B41,'TDS Register'!$B$6:$B$305,"&lt;="&amp;EOMONTH(B41,0),'TDS Register'!$S$6:$S$305,"&lt;&gt;")</f>
        <v>0</v>
      </c>
      <c r="F41" s="29" t="n">
        <f aca="false">C41-E41</f>
        <v>14000</v>
      </c>
      <c r="G41" s="29" t="n">
        <f aca="false">SUMIFS('TDS Register'!$Y$6:$Y$305,'TDS Register'!$B$6:$B$305,"&gt;="&amp;B41,'TDS Register'!$B$6:$B$305,"&lt;="&amp;EOMONTH(B41,0))</f>
        <v>0</v>
      </c>
    </row>
    <row r="42" customFormat="false" ht="15" hidden="false" customHeight="false" outlineLevel="0" collapsed="false">
      <c r="B42" s="39" t="n">
        <f aca="false">EDATE(Settings!$C$7,7)</f>
        <v>46327</v>
      </c>
      <c r="C42" s="34" t="n">
        <f aca="false">SUMIFS('TDS Register'!$P$6:$P$305,'TDS Register'!$B$6:$B$305,"&gt;="&amp;B42,'TDS Register'!$B$6:$B$305,"&lt;="&amp;EOMONTH(B42,0))</f>
        <v>0</v>
      </c>
      <c r="D42" s="27" t="n">
        <f aca="false">IF(MONTH(B42)=3,DATE(YEAR(B42),4,30),DATE(YEAR(B42),MONTH(B42)+1,7))</f>
        <v>46363</v>
      </c>
      <c r="E42" s="29" t="n">
        <f aca="false">SUMIFS('TDS Register'!$P$6:$P$305,'TDS Register'!$B$6:$B$305,"&gt;="&amp;B42,'TDS Register'!$B$6:$B$305,"&lt;="&amp;EOMONTH(B42,0),'TDS Register'!$S$6:$S$305,"&lt;&gt;")</f>
        <v>0</v>
      </c>
      <c r="F42" s="29" t="n">
        <f aca="false">C42-E42</f>
        <v>0</v>
      </c>
      <c r="G42" s="29" t="n">
        <f aca="false">SUMIFS('TDS Register'!$Y$6:$Y$305,'TDS Register'!$B$6:$B$305,"&gt;="&amp;B42,'TDS Register'!$B$6:$B$305,"&lt;="&amp;EOMONTH(B42,0))</f>
        <v>0</v>
      </c>
    </row>
    <row r="43" customFormat="false" ht="15" hidden="false" customHeight="false" outlineLevel="0" collapsed="false">
      <c r="B43" s="39" t="n">
        <f aca="false">EDATE(Settings!$C$7,8)</f>
        <v>46357</v>
      </c>
      <c r="C43" s="34" t="n">
        <f aca="false">SUMIFS('TDS Register'!$P$6:$P$305,'TDS Register'!$B$6:$B$305,"&gt;="&amp;B43,'TDS Register'!$B$6:$B$305,"&lt;="&amp;EOMONTH(B43,0))</f>
        <v>0</v>
      </c>
      <c r="D43" s="27" t="n">
        <f aca="false">IF(MONTH(B43)=3,DATE(YEAR(B43),4,30),DATE(YEAR(B43),MONTH(B43)+1,7))</f>
        <v>46394</v>
      </c>
      <c r="E43" s="29" t="n">
        <f aca="false">SUMIFS('TDS Register'!$P$6:$P$305,'TDS Register'!$B$6:$B$305,"&gt;="&amp;B43,'TDS Register'!$B$6:$B$305,"&lt;="&amp;EOMONTH(B43,0),'TDS Register'!$S$6:$S$305,"&lt;&gt;")</f>
        <v>0</v>
      </c>
      <c r="F43" s="29" t="n">
        <f aca="false">C43-E43</f>
        <v>0</v>
      </c>
      <c r="G43" s="29" t="n">
        <f aca="false">SUMIFS('TDS Register'!$Y$6:$Y$305,'TDS Register'!$B$6:$B$305,"&gt;="&amp;B43,'TDS Register'!$B$6:$B$305,"&lt;="&amp;EOMONTH(B43,0))</f>
        <v>0</v>
      </c>
    </row>
    <row r="44" customFormat="false" ht="15" hidden="false" customHeight="false" outlineLevel="0" collapsed="false">
      <c r="B44" s="39" t="n">
        <f aca="false">EDATE(Settings!$C$7,9)</f>
        <v>46388</v>
      </c>
      <c r="C44" s="34" t="n">
        <f aca="false">SUMIFS('TDS Register'!$P$6:$P$305,'TDS Register'!$B$6:$B$305,"&gt;="&amp;B44,'TDS Register'!$B$6:$B$305,"&lt;="&amp;EOMONTH(B44,0))</f>
        <v>0</v>
      </c>
      <c r="D44" s="27" t="n">
        <f aca="false">IF(MONTH(B44)=3,DATE(YEAR(B44),4,30),DATE(YEAR(B44),MONTH(B44)+1,7))</f>
        <v>46425</v>
      </c>
      <c r="E44" s="29" t="n">
        <f aca="false">SUMIFS('TDS Register'!$P$6:$P$305,'TDS Register'!$B$6:$B$305,"&gt;="&amp;B44,'TDS Register'!$B$6:$B$305,"&lt;="&amp;EOMONTH(B44,0),'TDS Register'!$S$6:$S$305,"&lt;&gt;")</f>
        <v>0</v>
      </c>
      <c r="F44" s="29" t="n">
        <f aca="false">C44-E44</f>
        <v>0</v>
      </c>
      <c r="G44" s="29" t="n">
        <f aca="false">SUMIFS('TDS Register'!$Y$6:$Y$305,'TDS Register'!$B$6:$B$305,"&gt;="&amp;B44,'TDS Register'!$B$6:$B$305,"&lt;="&amp;EOMONTH(B44,0))</f>
        <v>0</v>
      </c>
    </row>
    <row r="45" customFormat="false" ht="15" hidden="false" customHeight="false" outlineLevel="0" collapsed="false">
      <c r="B45" s="39" t="n">
        <f aca="false">EDATE(Settings!$C$7,10)</f>
        <v>46419</v>
      </c>
      <c r="C45" s="34" t="n">
        <f aca="false">SUMIFS('TDS Register'!$P$6:$P$305,'TDS Register'!$B$6:$B$305,"&gt;="&amp;B45,'TDS Register'!$B$6:$B$305,"&lt;="&amp;EOMONTH(B45,0))</f>
        <v>0</v>
      </c>
      <c r="D45" s="27" t="n">
        <f aca="false">IF(MONTH(B45)=3,DATE(YEAR(B45),4,30),DATE(YEAR(B45),MONTH(B45)+1,7))</f>
        <v>46453</v>
      </c>
      <c r="E45" s="29" t="n">
        <f aca="false">SUMIFS('TDS Register'!$P$6:$P$305,'TDS Register'!$B$6:$B$305,"&gt;="&amp;B45,'TDS Register'!$B$6:$B$305,"&lt;="&amp;EOMONTH(B45,0),'TDS Register'!$S$6:$S$305,"&lt;&gt;")</f>
        <v>0</v>
      </c>
      <c r="F45" s="29" t="n">
        <f aca="false">C45-E45</f>
        <v>0</v>
      </c>
      <c r="G45" s="29" t="n">
        <f aca="false">SUMIFS('TDS Register'!$Y$6:$Y$305,'TDS Register'!$B$6:$B$305,"&gt;="&amp;B45,'TDS Register'!$B$6:$B$305,"&lt;="&amp;EOMONTH(B45,0))</f>
        <v>0</v>
      </c>
    </row>
    <row r="46" customFormat="false" ht="15" hidden="false" customHeight="false" outlineLevel="0" collapsed="false">
      <c r="B46" s="39" t="n">
        <f aca="false">EDATE(Settings!$C$7,11)</f>
        <v>46447</v>
      </c>
      <c r="C46" s="34" t="n">
        <f aca="false">SUMIFS('TDS Register'!$P$6:$P$305,'TDS Register'!$B$6:$B$305,"&gt;="&amp;B46,'TDS Register'!$B$6:$B$305,"&lt;="&amp;EOMONTH(B46,0))</f>
        <v>0</v>
      </c>
      <c r="D46" s="27" t="n">
        <f aca="false">IF(MONTH(B46)=3,DATE(YEAR(B46),4,30),DATE(YEAR(B46),MONTH(B46)+1,7))</f>
        <v>46507</v>
      </c>
      <c r="E46" s="29" t="n">
        <f aca="false">SUMIFS('TDS Register'!$P$6:$P$305,'TDS Register'!$B$6:$B$305,"&gt;="&amp;B46,'TDS Register'!$B$6:$B$305,"&lt;="&amp;EOMONTH(B46,0),'TDS Register'!$S$6:$S$305,"&lt;&gt;")</f>
        <v>0</v>
      </c>
      <c r="F46" s="29" t="n">
        <f aca="false">C46-E46</f>
        <v>0</v>
      </c>
      <c r="G46" s="29" t="n">
        <f aca="false">SUMIFS('TDS Register'!$Y$6:$Y$305,'TDS Register'!$B$6:$B$305,"&gt;="&amp;B46,'TDS Register'!$B$6:$B$305,"&lt;="&amp;EOMONTH(B46,0))</f>
        <v>0</v>
      </c>
    </row>
    <row r="48" customFormat="false" ht="15" hidden="false" customHeight="false" outlineLevel="0" collapsed="false">
      <c r="B48" s="31" t="s">
        <v>115</v>
      </c>
    </row>
    <row r="50" customFormat="false" ht="15" hidden="false" customHeight="false" outlineLevel="0" collapsed="false">
      <c r="B50" s="3" t="s">
        <v>116</v>
      </c>
    </row>
    <row r="51" customFormat="false" ht="30" hidden="false" customHeight="true" outlineLevel="0" collapsed="false">
      <c r="B51" s="18" t="s">
        <v>117</v>
      </c>
      <c r="C51" s="19" t="s">
        <v>118</v>
      </c>
      <c r="D51" s="19" t="s">
        <v>119</v>
      </c>
      <c r="E51" s="19" t="s">
        <v>120</v>
      </c>
      <c r="F51" s="19" t="s">
        <v>121</v>
      </c>
      <c r="G51" s="19" t="s">
        <v>122</v>
      </c>
    </row>
    <row r="52" customFormat="false" ht="15" hidden="false" customHeight="false" outlineLevel="0" collapsed="false">
      <c r="B52" s="15" t="s">
        <v>123</v>
      </c>
      <c r="C52" s="29" t="n">
        <f aca="false">SUMIFS('TDS Register'!$P$6:$P$305,'TDS Register'!$B$6:$B$305,"&gt;="&amp;EDATE(Settings!$C$7,0),'TDS Register'!$B$6:$B$305,"&lt;"&amp;EDATE(Settings!$C$7,3))</f>
        <v>0</v>
      </c>
      <c r="D52" s="27" t="n">
        <f aca="false">DATE(YEAR(Settings!$C$7),7,31)</f>
        <v>46234</v>
      </c>
      <c r="E52" s="17" t="n">
        <v>46243</v>
      </c>
      <c r="F52" s="28" t="n">
        <f aca="false">IF(E52="",MAX(0,Settings!$C$9-D52)*(C52&gt;0),MAX(0,E52-D52))</f>
        <v>9</v>
      </c>
      <c r="G52" s="34" t="n">
        <f aca="false">MIN(F52*Settings!$C$12,C52)</f>
        <v>0</v>
      </c>
    </row>
    <row r="53" customFormat="false" ht="15" hidden="false" customHeight="false" outlineLevel="0" collapsed="false">
      <c r="B53" s="15" t="s">
        <v>124</v>
      </c>
      <c r="C53" s="29" t="n">
        <f aca="false">SUMIFS('TDS Register'!$P$6:$P$305,'TDS Register'!$B$6:$B$305,"&gt;="&amp;EDATE(Settings!$C$7,3),'TDS Register'!$B$6:$B$305,"&lt;"&amp;EDATE(Settings!$C$7,6))</f>
        <v>9760</v>
      </c>
      <c r="D53" s="27" t="n">
        <f aca="false">DATE(YEAR(Settings!$C$7),10,31)</f>
        <v>46326</v>
      </c>
      <c r="E53" s="17"/>
      <c r="F53" s="28" t="n">
        <f aca="false">IF(E53="",MAX(0,Settings!$C$9-D53)*(C53&gt;0),MAX(0,E53-D53))</f>
        <v>0</v>
      </c>
      <c r="G53" s="34" t="n">
        <f aca="false">MIN(F53*Settings!$C$12,C53)</f>
        <v>0</v>
      </c>
    </row>
    <row r="54" customFormat="false" ht="15" hidden="false" customHeight="false" outlineLevel="0" collapsed="false">
      <c r="B54" s="15" t="s">
        <v>125</v>
      </c>
      <c r="C54" s="29" t="n">
        <f aca="false">SUMIFS('TDS Register'!$P$6:$P$305,'TDS Register'!$B$6:$B$305,"&gt;="&amp;EDATE(Settings!$C$7,6),'TDS Register'!$B$6:$B$305,"&lt;"&amp;EDATE(Settings!$C$7,9))</f>
        <v>14000</v>
      </c>
      <c r="D54" s="27" t="n">
        <f aca="false">DATE(YEAR(Settings!$C$7)+1,1,31)</f>
        <v>46418</v>
      </c>
      <c r="E54" s="17"/>
      <c r="F54" s="28" t="n">
        <f aca="false">IF(E54="",MAX(0,Settings!$C$9-D54)*(C54&gt;0),MAX(0,E54-D54))</f>
        <v>0</v>
      </c>
      <c r="G54" s="34" t="n">
        <f aca="false">MIN(F54*Settings!$C$12,C54)</f>
        <v>0</v>
      </c>
    </row>
    <row r="55" customFormat="false" ht="15" hidden="false" customHeight="false" outlineLevel="0" collapsed="false">
      <c r="B55" s="15" t="s">
        <v>126</v>
      </c>
      <c r="C55" s="29" t="n">
        <f aca="false">SUMIFS('TDS Register'!$P$6:$P$305,'TDS Register'!$B$6:$B$305,"&gt;="&amp;EDATE(Settings!$C$7,9),'TDS Register'!$B$6:$B$305,"&lt;"&amp;EDATE(Settings!$C$7,12))</f>
        <v>0</v>
      </c>
      <c r="D55" s="27" t="n">
        <f aca="false">DATE(YEAR(Settings!$C$7)+1,5,31)</f>
        <v>46538</v>
      </c>
      <c r="E55" s="17"/>
      <c r="F55" s="28" t="n">
        <f aca="false">IF(E55="",MAX(0,Settings!$C$9-D55)*(C55&gt;0),MAX(0,E55-D55))</f>
        <v>0</v>
      </c>
      <c r="G55" s="34" t="n">
        <f aca="false">MIN(F55*Settings!$C$12,C55)</f>
        <v>0</v>
      </c>
    </row>
    <row r="57" customFormat="false" ht="15" hidden="false" customHeight="false" outlineLevel="0" collapsed="false">
      <c r="B57" s="31" t="s">
        <v>127</v>
      </c>
    </row>
  </sheetData>
  <conditionalFormatting sqref="B6:H30">
    <cfRule type="expression" priority="2" aboveAverage="0" equalAverage="0" bottom="0" percent="0" rank="0" text="" dxfId="2">
      <formula>$E6=0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L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8" min="7" style="0" width="14"/>
    <col collapsed="false" customWidth="true" hidden="false" outlineLevel="0" max="11" min="9" style="0" width="11"/>
    <col collapsed="false" customWidth="true" hidden="false" outlineLevel="0" max="12" min="12" style="0" width="44"/>
  </cols>
  <sheetData>
    <row r="2" customFormat="false" ht="19.7" hidden="false" customHeight="false" outlineLevel="0" collapsed="false">
      <c r="B2" s="1" t="s">
        <v>128</v>
      </c>
    </row>
    <row r="3" customFormat="false" ht="15" hidden="false" customHeight="false" outlineLevel="0" collapsed="false">
      <c r="B3" s="2" t="s">
        <v>129</v>
      </c>
    </row>
    <row r="5" customFormat="false" ht="31.5" hidden="false" customHeight="true" outlineLevel="0" collapsed="false">
      <c r="B5" s="18" t="s">
        <v>35</v>
      </c>
      <c r="C5" s="19" t="s">
        <v>46</v>
      </c>
      <c r="D5" s="19" t="s">
        <v>75</v>
      </c>
      <c r="E5" s="19" t="s">
        <v>48</v>
      </c>
      <c r="F5" s="19" t="s">
        <v>130</v>
      </c>
      <c r="G5" s="19" t="s">
        <v>131</v>
      </c>
      <c r="H5" s="19" t="s">
        <v>132</v>
      </c>
      <c r="I5" s="19" t="s">
        <v>133</v>
      </c>
      <c r="J5" s="19" t="s">
        <v>134</v>
      </c>
      <c r="K5" s="19" t="s">
        <v>135</v>
      </c>
      <c r="L5" s="19" t="s">
        <v>22</v>
      </c>
    </row>
    <row r="6" customFormat="false" ht="15" hidden="false" customHeight="false" outlineLevel="0" collapsed="false">
      <c r="B6" s="5" t="s">
        <v>36</v>
      </c>
      <c r="C6" s="5" t="s">
        <v>136</v>
      </c>
      <c r="D6" s="5" t="s">
        <v>137</v>
      </c>
      <c r="E6" s="5" t="s">
        <v>138</v>
      </c>
      <c r="F6" s="5" t="s">
        <v>139</v>
      </c>
      <c r="G6" s="16" t="n">
        <v>30000</v>
      </c>
      <c r="H6" s="16" t="n">
        <v>100000</v>
      </c>
      <c r="I6" s="40" t="n">
        <v>0.01</v>
      </c>
      <c r="J6" s="40" t="n">
        <v>0.02</v>
      </c>
      <c r="K6" s="40" t="n">
        <v>0.02</v>
      </c>
      <c r="L6" s="5"/>
    </row>
    <row r="7" customFormat="false" ht="15" hidden="false" customHeight="false" outlineLevel="0" collapsed="false">
      <c r="B7" s="5" t="s">
        <v>94</v>
      </c>
      <c r="C7" s="5" t="s">
        <v>140</v>
      </c>
      <c r="D7" s="5" t="s">
        <v>141</v>
      </c>
      <c r="E7" s="5" t="s">
        <v>142</v>
      </c>
      <c r="F7" s="5" t="s">
        <v>143</v>
      </c>
      <c r="G7" s="16" t="n">
        <v>0</v>
      </c>
      <c r="H7" s="16" t="n">
        <v>50000</v>
      </c>
      <c r="I7" s="40" t="n">
        <v>0.1</v>
      </c>
      <c r="J7" s="40" t="n">
        <v>0.1</v>
      </c>
      <c r="K7" s="40" t="n">
        <v>0.1</v>
      </c>
      <c r="L7" s="5"/>
    </row>
    <row r="8" customFormat="false" ht="15" hidden="false" customHeight="false" outlineLevel="0" collapsed="false">
      <c r="B8" s="5" t="s">
        <v>144</v>
      </c>
      <c r="C8" s="5" t="s">
        <v>145</v>
      </c>
      <c r="D8" s="5" t="s">
        <v>141</v>
      </c>
      <c r="E8" s="5" t="s">
        <v>146</v>
      </c>
      <c r="F8" s="5" t="s">
        <v>143</v>
      </c>
      <c r="G8" s="16" t="n">
        <v>0</v>
      </c>
      <c r="H8" s="16" t="n">
        <v>50000</v>
      </c>
      <c r="I8" s="40" t="n">
        <v>0.02</v>
      </c>
      <c r="J8" s="40" t="n">
        <v>0.02</v>
      </c>
      <c r="K8" s="40" t="n">
        <v>0.02</v>
      </c>
      <c r="L8" s="5"/>
    </row>
    <row r="9" customFormat="false" ht="15" hidden="false" customHeight="false" outlineLevel="0" collapsed="false">
      <c r="B9" s="5" t="s">
        <v>147</v>
      </c>
      <c r="C9" s="5" t="s">
        <v>148</v>
      </c>
      <c r="D9" s="5" t="s">
        <v>141</v>
      </c>
      <c r="E9" s="5" t="s">
        <v>149</v>
      </c>
      <c r="F9" s="5" t="s">
        <v>150</v>
      </c>
      <c r="G9" s="16" t="n">
        <v>0</v>
      </c>
      <c r="H9" s="16" t="n">
        <v>0</v>
      </c>
      <c r="I9" s="40" t="n">
        <v>0.1</v>
      </c>
      <c r="J9" s="40" t="n">
        <v>0.1</v>
      </c>
      <c r="K9" s="40" t="n">
        <v>0.1</v>
      </c>
      <c r="L9" s="5"/>
    </row>
    <row r="10" customFormat="false" ht="15" hidden="false" customHeight="false" outlineLevel="0" collapsed="false">
      <c r="B10" s="5" t="s">
        <v>102</v>
      </c>
      <c r="C10" s="5" t="s">
        <v>151</v>
      </c>
      <c r="D10" s="5" t="s">
        <v>152</v>
      </c>
      <c r="E10" s="5" t="s">
        <v>153</v>
      </c>
      <c r="F10" s="5" t="s">
        <v>143</v>
      </c>
      <c r="G10" s="16" t="n">
        <v>0</v>
      </c>
      <c r="H10" s="16" t="n">
        <v>20000</v>
      </c>
      <c r="I10" s="40" t="n">
        <v>0.02</v>
      </c>
      <c r="J10" s="40" t="n">
        <v>0.02</v>
      </c>
      <c r="K10" s="40" t="n">
        <v>0.02</v>
      </c>
      <c r="L10" s="5"/>
    </row>
    <row r="11" customFormat="false" ht="15" hidden="false" customHeight="false" outlineLevel="0" collapsed="false">
      <c r="B11" s="5" t="s">
        <v>154</v>
      </c>
      <c r="C11" s="5" t="s">
        <v>155</v>
      </c>
      <c r="D11" s="5" t="s">
        <v>156</v>
      </c>
      <c r="E11" s="5" t="s">
        <v>157</v>
      </c>
      <c r="F11" s="5" t="s">
        <v>143</v>
      </c>
      <c r="G11" s="16" t="n">
        <v>0</v>
      </c>
      <c r="H11" s="16" t="n">
        <v>20000</v>
      </c>
      <c r="I11" s="40" t="n">
        <v>0.02</v>
      </c>
      <c r="J11" s="40" t="n">
        <v>0.1</v>
      </c>
      <c r="K11" s="40" t="n">
        <v>0.02</v>
      </c>
      <c r="L11" s="5" t="s">
        <v>158</v>
      </c>
    </row>
    <row r="12" customFormat="false" ht="15" hidden="false" customHeight="false" outlineLevel="0" collapsed="false">
      <c r="B12" s="5" t="s">
        <v>159</v>
      </c>
      <c r="C12" s="5" t="s">
        <v>160</v>
      </c>
      <c r="D12" s="5" t="s">
        <v>161</v>
      </c>
      <c r="E12" s="5" t="s">
        <v>162</v>
      </c>
      <c r="F12" s="5" t="s">
        <v>163</v>
      </c>
      <c r="G12" s="16" t="n">
        <v>50000</v>
      </c>
      <c r="H12" s="16" t="n">
        <v>0</v>
      </c>
      <c r="I12" s="40" t="n">
        <v>0.02</v>
      </c>
      <c r="J12" s="40" t="n">
        <v>0.02</v>
      </c>
      <c r="K12" s="40" t="n">
        <v>0.02</v>
      </c>
      <c r="L12" s="5" t="s">
        <v>164</v>
      </c>
    </row>
    <row r="13" customFormat="false" ht="15" hidden="false" customHeight="false" outlineLevel="0" collapsed="false">
      <c r="B13" s="5" t="s">
        <v>99</v>
      </c>
      <c r="C13" s="5" t="s">
        <v>165</v>
      </c>
      <c r="D13" s="5" t="s">
        <v>161</v>
      </c>
      <c r="E13" s="5" t="s">
        <v>166</v>
      </c>
      <c r="F13" s="5" t="s">
        <v>163</v>
      </c>
      <c r="G13" s="16" t="n">
        <v>50000</v>
      </c>
      <c r="H13" s="16" t="n">
        <v>0</v>
      </c>
      <c r="I13" s="40" t="n">
        <v>0.1</v>
      </c>
      <c r="J13" s="40" t="n">
        <v>0.1</v>
      </c>
      <c r="K13" s="40" t="n">
        <v>0.1</v>
      </c>
      <c r="L13" s="5" t="s">
        <v>164</v>
      </c>
    </row>
    <row r="14" customFormat="false" ht="15" hidden="false" customHeight="false" outlineLevel="0" collapsed="false">
      <c r="B14" s="5" t="s">
        <v>167</v>
      </c>
      <c r="C14" s="5" t="s">
        <v>168</v>
      </c>
      <c r="D14" s="5" t="s">
        <v>169</v>
      </c>
      <c r="E14" s="5" t="s">
        <v>170</v>
      </c>
      <c r="F14" s="5" t="s">
        <v>163</v>
      </c>
      <c r="G14" s="16" t="n">
        <v>50000</v>
      </c>
      <c r="H14" s="16" t="n">
        <v>0</v>
      </c>
      <c r="I14" s="40" t="n">
        <v>0.02</v>
      </c>
      <c r="J14" s="40" t="n">
        <v>0.02</v>
      </c>
      <c r="K14" s="40" t="n">
        <v>0.02</v>
      </c>
      <c r="L14" s="5" t="s">
        <v>171</v>
      </c>
    </row>
    <row r="15" customFormat="false" ht="15" hidden="false" customHeight="false" outlineLevel="0" collapsed="false">
      <c r="B15" s="5" t="s">
        <v>172</v>
      </c>
      <c r="C15" s="5" t="s">
        <v>173</v>
      </c>
      <c r="D15" s="5" t="s">
        <v>174</v>
      </c>
      <c r="E15" s="5" t="s">
        <v>175</v>
      </c>
      <c r="F15" s="5" t="s">
        <v>143</v>
      </c>
      <c r="G15" s="16" t="n">
        <v>0</v>
      </c>
      <c r="H15" s="16" t="n">
        <v>100000</v>
      </c>
      <c r="I15" s="40" t="n">
        <v>0.1</v>
      </c>
      <c r="J15" s="40" t="n">
        <v>0.1</v>
      </c>
      <c r="K15" s="40" t="n">
        <v>0.1</v>
      </c>
      <c r="L15" s="5"/>
    </row>
    <row r="16" customFormat="false" ht="15" hidden="false" customHeight="false" outlineLevel="0" collapsed="false">
      <c r="B16" s="5" t="s">
        <v>176</v>
      </c>
      <c r="C16" s="5" t="s">
        <v>173</v>
      </c>
      <c r="D16" s="5" t="s">
        <v>174</v>
      </c>
      <c r="E16" s="5" t="s">
        <v>177</v>
      </c>
      <c r="F16" s="5" t="s">
        <v>143</v>
      </c>
      <c r="G16" s="16" t="n">
        <v>0</v>
      </c>
      <c r="H16" s="16" t="n">
        <v>50000</v>
      </c>
      <c r="I16" s="40" t="n">
        <v>0.1</v>
      </c>
      <c r="J16" s="40" t="n">
        <v>0.1</v>
      </c>
      <c r="K16" s="40" t="n">
        <v>0.1</v>
      </c>
      <c r="L16" s="5"/>
    </row>
    <row r="17" customFormat="false" ht="15" hidden="false" customHeight="false" outlineLevel="0" collapsed="false">
      <c r="B17" s="5" t="s">
        <v>178</v>
      </c>
      <c r="C17" s="5" t="s">
        <v>173</v>
      </c>
      <c r="D17" s="5" t="s">
        <v>179</v>
      </c>
      <c r="E17" s="5" t="s">
        <v>180</v>
      </c>
      <c r="F17" s="5" t="s">
        <v>143</v>
      </c>
      <c r="G17" s="16" t="n">
        <v>0</v>
      </c>
      <c r="H17" s="16" t="n">
        <v>10000</v>
      </c>
      <c r="I17" s="40" t="n">
        <v>0.1</v>
      </c>
      <c r="J17" s="40" t="n">
        <v>0.1</v>
      </c>
      <c r="K17" s="40" t="n">
        <v>0.1</v>
      </c>
      <c r="L17" s="5"/>
    </row>
    <row r="18" customFormat="false" ht="15" hidden="false" customHeight="false" outlineLevel="0" collapsed="false">
      <c r="B18" s="5" t="s">
        <v>181</v>
      </c>
      <c r="C18" s="5" t="s">
        <v>182</v>
      </c>
      <c r="D18" s="5" t="s">
        <v>183</v>
      </c>
      <c r="E18" s="5" t="s">
        <v>184</v>
      </c>
      <c r="F18" s="5" t="s">
        <v>143</v>
      </c>
      <c r="G18" s="16" t="n">
        <v>0</v>
      </c>
      <c r="H18" s="16" t="n">
        <v>10000</v>
      </c>
      <c r="I18" s="40" t="n">
        <v>0.1</v>
      </c>
      <c r="J18" s="40" t="n">
        <v>0.1</v>
      </c>
      <c r="K18" s="40" t="n">
        <v>0.1</v>
      </c>
      <c r="L18" s="5"/>
    </row>
    <row r="19" customFormat="false" ht="15" hidden="false" customHeight="false" outlineLevel="0" collapsed="false">
      <c r="B19" s="5" t="s">
        <v>185</v>
      </c>
      <c r="C19" s="5" t="s">
        <v>186</v>
      </c>
      <c r="D19" s="5" t="s">
        <v>187</v>
      </c>
      <c r="E19" s="5" t="s">
        <v>188</v>
      </c>
      <c r="F19" s="5" t="s">
        <v>143</v>
      </c>
      <c r="G19" s="16" t="n">
        <v>0</v>
      </c>
      <c r="H19" s="16" t="n">
        <v>10000</v>
      </c>
      <c r="I19" s="40" t="n">
        <v>0.1</v>
      </c>
      <c r="J19" s="40" t="n">
        <v>0.1</v>
      </c>
      <c r="K19" s="40" t="n">
        <v>0.1</v>
      </c>
      <c r="L19" s="5"/>
    </row>
    <row r="20" customFormat="false" ht="15" hidden="false" customHeight="false" outlineLevel="0" collapsed="false">
      <c r="B20" s="5" t="s">
        <v>189</v>
      </c>
      <c r="C20" s="5" t="s">
        <v>190</v>
      </c>
      <c r="D20" s="5" t="s">
        <v>191</v>
      </c>
      <c r="E20" s="5" t="s">
        <v>192</v>
      </c>
      <c r="F20" s="5" t="s">
        <v>193</v>
      </c>
      <c r="G20" s="16" t="n">
        <v>0</v>
      </c>
      <c r="H20" s="16" t="n">
        <v>5000000</v>
      </c>
      <c r="I20" s="40" t="n">
        <v>0.001</v>
      </c>
      <c r="J20" s="40" t="n">
        <v>0.001</v>
      </c>
      <c r="K20" s="40" t="n">
        <v>0.001</v>
      </c>
      <c r="L20" s="5" t="s">
        <v>194</v>
      </c>
    </row>
    <row r="21" customFormat="false" ht="15" hidden="false" customHeight="false" outlineLevel="0" collapsed="false">
      <c r="B21" s="5" t="s">
        <v>195</v>
      </c>
      <c r="C21" s="5" t="s">
        <v>196</v>
      </c>
      <c r="D21" s="5" t="s">
        <v>197</v>
      </c>
      <c r="E21" s="5" t="s">
        <v>198</v>
      </c>
      <c r="F21" s="5" t="s">
        <v>163</v>
      </c>
      <c r="G21" s="16" t="n">
        <v>4999999</v>
      </c>
      <c r="H21" s="16" t="n">
        <v>0</v>
      </c>
      <c r="I21" s="40" t="n">
        <v>0.01</v>
      </c>
      <c r="J21" s="40" t="n">
        <v>0.01</v>
      </c>
      <c r="K21" s="40" t="n">
        <v>0.01</v>
      </c>
      <c r="L21" s="5" t="s">
        <v>199</v>
      </c>
    </row>
    <row r="22" customFormat="false" ht="15" hidden="false" customHeight="false" outlineLevel="0" collapsed="false">
      <c r="B22" s="5" t="s">
        <v>200</v>
      </c>
      <c r="C22" s="5" t="s">
        <v>201</v>
      </c>
      <c r="D22" s="5" t="s">
        <v>202</v>
      </c>
      <c r="E22" s="5" t="s">
        <v>170</v>
      </c>
      <c r="F22" s="5" t="s">
        <v>143</v>
      </c>
      <c r="G22" s="16" t="n">
        <v>0</v>
      </c>
      <c r="H22" s="16" t="n">
        <v>5000000</v>
      </c>
      <c r="I22" s="40" t="n">
        <v>0.02</v>
      </c>
      <c r="J22" s="40" t="n">
        <v>0.02</v>
      </c>
      <c r="K22" s="40" t="n">
        <v>0.02</v>
      </c>
      <c r="L22" s="5" t="s">
        <v>203</v>
      </c>
    </row>
    <row r="23" customFormat="false" ht="15" hidden="false" customHeight="false" outlineLevel="0" collapsed="false">
      <c r="B23" s="5" t="s">
        <v>204</v>
      </c>
      <c r="C23" s="5" t="s">
        <v>205</v>
      </c>
      <c r="D23" s="5" t="s">
        <v>206</v>
      </c>
      <c r="E23" s="5" t="s">
        <v>207</v>
      </c>
      <c r="F23" s="5" t="s">
        <v>150</v>
      </c>
      <c r="G23" s="16" t="n">
        <v>0</v>
      </c>
      <c r="H23" s="16" t="n">
        <v>0</v>
      </c>
      <c r="I23" s="40" t="n">
        <v>0.001</v>
      </c>
      <c r="J23" s="40" t="n">
        <v>0.001</v>
      </c>
      <c r="K23" s="40" t="n">
        <v>0.001</v>
      </c>
      <c r="L23" s="5" t="s">
        <v>208</v>
      </c>
    </row>
    <row r="24" customFormat="false" ht="15" hidden="false" customHeight="false" outlineLevel="0" collapsed="false">
      <c r="B24" s="5" t="s">
        <v>209</v>
      </c>
      <c r="C24" s="5" t="s">
        <v>210</v>
      </c>
      <c r="D24" s="5" t="s">
        <v>211</v>
      </c>
      <c r="E24" s="5" t="s">
        <v>212</v>
      </c>
      <c r="F24" s="5" t="s">
        <v>143</v>
      </c>
      <c r="G24" s="16" t="n">
        <v>0</v>
      </c>
      <c r="H24" s="16" t="n">
        <v>20000</v>
      </c>
      <c r="I24" s="40" t="n">
        <v>0.1</v>
      </c>
      <c r="J24" s="40" t="n">
        <v>0.1</v>
      </c>
      <c r="K24" s="40" t="n">
        <v>0.1</v>
      </c>
      <c r="L24" s="5"/>
    </row>
    <row r="25" customFormat="false" ht="15" hidden="false" customHeight="false" outlineLevel="0" collapsed="false">
      <c r="B25" s="5" t="s">
        <v>213</v>
      </c>
      <c r="C25" s="5" t="s">
        <v>214</v>
      </c>
      <c r="D25" s="5" t="s">
        <v>215</v>
      </c>
      <c r="E25" s="5" t="s">
        <v>216</v>
      </c>
      <c r="F25" s="5" t="s">
        <v>150</v>
      </c>
      <c r="G25" s="16" t="n">
        <v>0</v>
      </c>
      <c r="H25" s="16" t="n">
        <v>0</v>
      </c>
      <c r="I25" s="40" t="n">
        <v>0.01</v>
      </c>
      <c r="J25" s="40" t="n">
        <v>0.01</v>
      </c>
      <c r="K25" s="40" t="n">
        <v>0.01</v>
      </c>
      <c r="L25" s="5" t="s">
        <v>217</v>
      </c>
    </row>
    <row r="26" customFormat="false" ht="15" hidden="false" customHeight="false" outlineLevel="0" collapsed="false">
      <c r="B26" s="5" t="s">
        <v>218</v>
      </c>
      <c r="C26" s="5" t="s">
        <v>219</v>
      </c>
      <c r="D26" s="5" t="s">
        <v>220</v>
      </c>
      <c r="E26" s="5" t="s">
        <v>221</v>
      </c>
      <c r="F26" s="5" t="s">
        <v>143</v>
      </c>
      <c r="G26" s="16" t="n">
        <v>0</v>
      </c>
      <c r="H26" s="16" t="n">
        <v>100000</v>
      </c>
      <c r="I26" s="40" t="n">
        <v>0.02</v>
      </c>
      <c r="J26" s="40" t="n">
        <v>0.02</v>
      </c>
      <c r="K26" s="40" t="n">
        <v>0.02</v>
      </c>
      <c r="L26" s="5"/>
    </row>
    <row r="27" customFormat="false" ht="15" hidden="false" customHeight="false" outlineLevel="0" collapsed="false">
      <c r="B27" s="5" t="s">
        <v>222</v>
      </c>
      <c r="C27" s="5" t="s">
        <v>223</v>
      </c>
      <c r="D27" s="5" t="s">
        <v>224</v>
      </c>
      <c r="E27" s="5" t="s">
        <v>225</v>
      </c>
      <c r="F27" s="5" t="s">
        <v>163</v>
      </c>
      <c r="G27" s="16" t="n">
        <v>10000</v>
      </c>
      <c r="H27" s="16" t="n">
        <v>0</v>
      </c>
      <c r="I27" s="40" t="n">
        <v>0.3</v>
      </c>
      <c r="J27" s="40" t="n">
        <v>0.3</v>
      </c>
      <c r="K27" s="40" t="n">
        <v>0.3</v>
      </c>
      <c r="L27" s="5" t="s">
        <v>226</v>
      </c>
    </row>
    <row r="28" customFormat="false" ht="15" hidden="false" customHeight="false" outlineLevel="0" collapsed="false">
      <c r="B28" s="5" t="s">
        <v>227</v>
      </c>
      <c r="C28" s="5" t="s">
        <v>228</v>
      </c>
      <c r="D28" s="5" t="s">
        <v>229</v>
      </c>
      <c r="E28" s="5" t="s">
        <v>230</v>
      </c>
      <c r="F28" s="5" t="s">
        <v>143</v>
      </c>
      <c r="G28" s="16" t="n">
        <v>0</v>
      </c>
      <c r="H28" s="16" t="n">
        <v>20000</v>
      </c>
      <c r="I28" s="40" t="n">
        <v>0.02</v>
      </c>
      <c r="J28" s="40" t="n">
        <v>0.02</v>
      </c>
      <c r="K28" s="40" t="n">
        <v>0.02</v>
      </c>
      <c r="L28" s="5"/>
    </row>
    <row r="29" customFormat="false" ht="15" hidden="false" customHeight="false" outlineLevel="0" collapsed="false">
      <c r="B29" s="5" t="s">
        <v>231</v>
      </c>
      <c r="C29" s="5" t="s">
        <v>232</v>
      </c>
      <c r="D29" s="5" t="s">
        <v>233</v>
      </c>
      <c r="E29" s="5" t="s">
        <v>234</v>
      </c>
      <c r="F29" s="5" t="s">
        <v>193</v>
      </c>
      <c r="G29" s="16" t="n">
        <v>0</v>
      </c>
      <c r="H29" s="16" t="n">
        <v>10000000</v>
      </c>
      <c r="I29" s="40" t="n">
        <v>0.02</v>
      </c>
      <c r="J29" s="40" t="n">
        <v>0.02</v>
      </c>
      <c r="K29" s="40" t="n">
        <v>0.02</v>
      </c>
      <c r="L29" s="5" t="s">
        <v>235</v>
      </c>
    </row>
    <row r="30" customFormat="false" ht="15" hidden="false" customHeight="false" outlineLevel="0" collapsed="false">
      <c r="B30" s="5" t="s">
        <v>236</v>
      </c>
      <c r="C30" s="5" t="s">
        <v>237</v>
      </c>
      <c r="D30" s="5" t="s">
        <v>238</v>
      </c>
      <c r="E30" s="5" t="s">
        <v>239</v>
      </c>
      <c r="F30" s="5" t="s">
        <v>143</v>
      </c>
      <c r="G30" s="16" t="n">
        <v>0</v>
      </c>
      <c r="H30" s="16" t="n">
        <v>20000</v>
      </c>
      <c r="I30" s="40" t="n">
        <v>0.1</v>
      </c>
      <c r="J30" s="40" t="n">
        <v>0.1</v>
      </c>
      <c r="K30" s="40" t="n">
        <v>0.1</v>
      </c>
      <c r="L30" s="5"/>
    </row>
    <row r="31" customFormat="false" ht="15" hidden="false" customHeight="false" outlineLevel="0" collapsed="false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customFormat="false" ht="15" hidden="false" customHeight="false" outlineLevel="0" collapsed="false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customFormat="false" ht="15" hidden="false" customHeight="false" outlineLevel="0" collapsed="false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customFormat="false" ht="15" hidden="false" customHeight="false" outlineLevel="0" collapsed="false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customFormat="false" ht="15" hidden="false" customHeight="false" outlineLevel="0" collapsed="false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customFormat="false" ht="15" hidden="false" customHeight="false" outlineLevel="0" collapsed="false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customFormat="false" ht="15" hidden="false" customHeight="false" outlineLevel="0" collapsed="false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customFormat="false" ht="15" hidden="false" customHeight="false" outlineLevel="0" collapsed="false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customFormat="false" ht="15" hidden="false" customHeight="false" outlineLevel="0" collapsed="false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customFormat="false" ht="15" hidden="false" customHeight="false" outlineLevel="0" collapsed="false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2" customFormat="false" ht="15" hidden="false" customHeight="false" outlineLevel="0" collapsed="false">
      <c r="B42" s="31" t="s">
        <v>240</v>
      </c>
    </row>
    <row r="43" customFormat="false" ht="15" hidden="false" customHeight="false" outlineLevel="0" collapsed="false">
      <c r="B43" s="31" t="s">
        <v>241</v>
      </c>
    </row>
    <row r="44" customFormat="false" ht="15" hidden="false" customHeight="false" outlineLevel="0" collapsed="false">
      <c r="B44" s="31" t="s">
        <v>242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3" min="3" style="0" width="26"/>
    <col collapsed="false" customWidth="true" hidden="false" outlineLevel="0" max="4" min="4" style="0" width="50"/>
    <col collapsed="false" customWidth="true" hidden="true" outlineLevel="0" max="12" min="12" style="0" width="13"/>
  </cols>
  <sheetData>
    <row r="2" customFormat="false" ht="19.7" hidden="false" customHeight="false" outlineLevel="0" collapsed="false">
      <c r="B2" s="1" t="s">
        <v>243</v>
      </c>
    </row>
    <row r="3" customFormat="false" ht="15" hidden="false" customHeight="false" outlineLevel="0" collapsed="false">
      <c r="B3" s="2"/>
    </row>
    <row r="5" customFormat="false" ht="15" hidden="false" customHeight="false" outlineLevel="0" collapsed="false">
      <c r="B5" s="15" t="s">
        <v>244</v>
      </c>
      <c r="C5" s="5" t="s">
        <v>245</v>
      </c>
      <c r="D5" s="2"/>
      <c r="L5" s="41" t="s">
        <v>98</v>
      </c>
    </row>
    <row r="6" customFormat="false" ht="15" hidden="false" customHeight="false" outlineLevel="0" collapsed="false">
      <c r="B6" s="15" t="s">
        <v>246</v>
      </c>
      <c r="C6" s="5" t="s">
        <v>247</v>
      </c>
      <c r="D6" s="2"/>
      <c r="L6" s="41" t="s">
        <v>248</v>
      </c>
    </row>
    <row r="7" customFormat="false" ht="15" hidden="false" customHeight="false" outlineLevel="0" collapsed="false">
      <c r="B7" s="15" t="s">
        <v>249</v>
      </c>
      <c r="C7" s="17" t="n">
        <v>46113</v>
      </c>
      <c r="D7" s="2"/>
      <c r="L7" s="41" t="s">
        <v>38</v>
      </c>
    </row>
    <row r="8" customFormat="false" ht="15" hidden="false" customHeight="false" outlineLevel="0" collapsed="false">
      <c r="B8" s="15" t="s">
        <v>250</v>
      </c>
      <c r="C8" s="17" t="n">
        <v>46477</v>
      </c>
      <c r="D8" s="2"/>
    </row>
    <row r="9" customFormat="false" ht="15" hidden="false" customHeight="false" outlineLevel="0" collapsed="false">
      <c r="B9" s="15" t="s">
        <v>251</v>
      </c>
      <c r="C9" s="17" t="n">
        <f aca="true">TODAY()</f>
        <v>46322</v>
      </c>
      <c r="D9" s="2" t="s">
        <v>252</v>
      </c>
    </row>
    <row r="10" customFormat="false" ht="15" hidden="false" customHeight="false" outlineLevel="0" collapsed="false">
      <c r="B10" s="15" t="s">
        <v>253</v>
      </c>
      <c r="C10" s="42" t="n">
        <v>0.01</v>
      </c>
      <c r="D10" s="2" t="s">
        <v>254</v>
      </c>
    </row>
    <row r="11" customFormat="false" ht="15" hidden="false" customHeight="false" outlineLevel="0" collapsed="false">
      <c r="B11" s="15" t="s">
        <v>255</v>
      </c>
      <c r="C11" s="42" t="n">
        <v>0.015</v>
      </c>
      <c r="D11" s="2" t="s">
        <v>256</v>
      </c>
    </row>
    <row r="12" customFormat="false" ht="15" hidden="false" customHeight="false" outlineLevel="0" collapsed="false">
      <c r="B12" s="15" t="s">
        <v>257</v>
      </c>
      <c r="C12" s="16" t="n">
        <v>200</v>
      </c>
      <c r="D12" s="2" t="s">
        <v>258</v>
      </c>
    </row>
    <row r="13" customFormat="false" ht="15" hidden="false" customHeight="false" outlineLevel="0" collapsed="false">
      <c r="B13" s="15" t="s">
        <v>259</v>
      </c>
      <c r="C13" s="42" t="n">
        <v>0.2</v>
      </c>
      <c r="D13" s="2" t="s">
        <v>260</v>
      </c>
    </row>
    <row r="14" customFormat="false" ht="15" hidden="false" customHeight="false" outlineLevel="0" collapsed="false">
      <c r="B14" s="15" t="s">
        <v>261</v>
      </c>
      <c r="C14" s="42" t="n">
        <v>0.05</v>
      </c>
      <c r="D1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2026-10-27T05:33:38Z</dcterms:created>
  <dc:creator>openpyxl</dc:creator>
  <dc:description/>
  <dc:language>en-US</dc:language>
  <cp:lastModifiedBy/>
  <dcterms:modified xsi:type="dcterms:W3CDTF">2026-10-27T05:33:39Z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