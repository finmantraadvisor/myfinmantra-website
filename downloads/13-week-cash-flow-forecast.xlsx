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ash Flo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<sst xmlns="http://schemas.openxmlformats.org/spreadsheetml/2006/main" count="78" uniqueCount="78">
  <si>
    <t xml:space="preserve">MyFinMantra — 13-Week Cash Flow Forecast</t>
  </si>
  <si>
    <t xml:space="preserve">Client service format · Clear books. Confident business.</t>
  </si>
  <si>
    <t xml:space="preserve">Purpose</t>
  </si>
  <si>
    <t xml:space="preserve">A rolling 13-week (one quarter) cash forecast showing expected receipts and payments week by week, the closing bank balance, and any week where cash falls below the minimum buffer.</t>
  </si>
  <si>
    <t xml:space="preserve">Colour legend</t>
  </si>
  <si>
    <t xml:space="preserve">12,500</t>
  </si>
  <si>
    <t xml:space="preserve">Blue text on yellow = input. Type or paste your client's figures here.</t>
  </si>
  <si>
    <t xml:space="preserve">Formula</t>
  </si>
  <si>
    <t xml:space="preserve">Black text = formula. Don't overwrite; it updates automatically.</t>
  </si>
  <si>
    <t xml:space="preserve">Header</t>
  </si>
  <si>
    <t xml:space="preserve">Section and column headings.</t>
  </si>
  <si>
    <t xml:space="preserve">Steps</t>
  </si>
  <si>
    <t xml:space="preserve">Step 1</t>
  </si>
  <si>
    <t xml:space="preserve">On 'Cash Flow', enter the client name, the first week's start date (a Monday), the opening bank balance and the minimum cash buffer.</t>
  </si>
  <si>
    <t xml:space="preserve">Step 2</t>
  </si>
  <si>
    <t xml:space="preserve">Enter expected collections by week from the receivables ageing, and other receipts.</t>
  </si>
  <si>
    <t xml:space="preserve">Step 3</t>
  </si>
  <si>
    <t xml:space="preserve">Enter planned payments: vendors, salaries, rent, GST (20th), TDS (7th), PF/ESI (15th), loan EMIs and others.</t>
  </si>
  <si>
    <t xml:space="preserve">Step 4</t>
  </si>
  <si>
    <t xml:space="preserve">Check the closing balance and alert row. Any week below the buffer shows in red — plan collections, defer payments or arrange funding.</t>
  </si>
  <si>
    <t xml:space="preserve">Step 5</t>
  </si>
  <si>
    <t xml:space="preserve">Every Monday, roll forward: move the start date one week ahead and update the figures. Compare last week's forecast with actual to improve accuracy.</t>
  </si>
  <si>
    <t xml:space="preserve">Notes</t>
  </si>
  <si>
    <t xml:space="preserve">Statutory payments are fixed-date: GST by the 20th, TDS by the 7th, PF/ESI by the 15th. Place them in the week containing that date.</t>
  </si>
  <si>
    <t xml:space="preserve">Sample figures are filled in so you can see how the format works. Replace them with your own data.</t>
  </si>
  <si>
    <t xml:space="preserve">Free template by MyFinMantra</t>
  </si>
  <si>
    <t xml:space="preserve">Accounting, GST, payroll and Virtual CFO services · www.myfinmantra.com · WhatsApp +91 97118 99555</t>
  </si>
  <si>
    <t xml:space="preserve">General template for guidance only — verify rates and rules for your case. Not professional advice.</t>
  </si>
  <si>
    <t xml:space="preserve">13-week cash flow forecast</t>
  </si>
  <si>
    <t xml:space="preserve">Client name</t>
  </si>
  <si>
    <t xml:space="preserve">Sample Traders Pvt Ltd</t>
  </si>
  <si>
    <t xml:space="preserve">First week starts (Monday)</t>
  </si>
  <si>
    <t xml:space="preserve">Opening bank balance (₹)</t>
  </si>
  <si>
    <t xml:space="preserve">Minimum cash buffer (₹)</t>
  </si>
  <si>
    <t xml:space="preserve">(₹)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</si>
  <si>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</si>
  <si>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</si>
  <si>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</si>
  <si>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</si>
  <si>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</si>
  <si>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</si>
  <si>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</si>
  <si>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</si>
  <si>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</si>
  <si>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</si>
  <si>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</si>
  <si>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</si>
  <si>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</si>
  <si>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13-week total</t>
  </si>
  <si>
    <t xml:space="preserve">Week starting</t>
  </si>
  <si>
    <t xml:space="preserve">Week ending</t>
  </si>
  <si>
    <t xml:space="preserve">Receipts</t>
  </si>
  <si>
    <t xml:space="preserve">Collections from customers</t>
  </si>
  <si>
    <t xml:space="preserve">Other receipts (interest, refunds)</t>
  </si>
  <si>
    <t xml:space="preserve">Loan / capital infusion</t>
  </si>
  <si>
    <t xml:space="preserve">Total receipts</t>
  </si>
  <si>
    <t xml:space="preserve">Payments</t>
  </si>
  <si>
    <t xml:space="preserve">Vendor / supplier payments</t>
  </si>
  <si>
    <t xml:space="preserve">Salaries &amp; wages</t>
  </si>
  <si>
    <t xml:space="preserve">Rent &amp; utilities</t>
  </si>
  <si>
    <t xml:space="preserve">GST payment (by 20th)</t>
  </si>
  <si>
    <t xml:space="preserve">TDS payment (by 7th)</t>
  </si>
  <si>
    <t xml:space="preserve">PF &amp; ESI (by 15th)</t>
  </si>
  <si>
    <t xml:space="preserve">Loan EMI</t>
  </si>
  <si>
    <t xml:space="preserve">Professional fees</t>
  </si>
  <si>
    <t xml:space="preserve">Other expenses</t>
  </si>
  <si>
    <t xml:space="preserve">Total payments</t>
  </si>
  <si>
    <t xml:space="preserve">Net cash flow</t>
  </si>
  <si>
    <t xml:space="preserve">Opening balance</t>
  </si>
  <si>
    <t xml:space="preserve">Closing balance</t>
  </si>
  <si>
    <t xml:space="preserve">Minimum buffer</t>
  </si>
  <si>
    <t xml:space="preserve">Headroom over buffer</t>
  </si>
  <si>
    <t xml:space="preserve">Alert</t>
  </si>
  <si>
    <t xml:space="preserve">Summary</t>
  </si>
  <si>
    <t xml:space="preserve">Lowest closing balance</t>
  </si>
  <si>
    <t xml:space="preserve">Week of lowest balance</t>
  </si>
  <si>
    <t xml:space="preserve">Weeks below buffer</t>
  </si>
  <si>
    <t xml:space="preserve">Closing balance after 13 weeks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</si>
</sst>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[&gt;=10000000]##\,##\,##\,##0;[&gt;=100000]##\,##\,##0;##,##0"/>
    <numFmt numFmtId="167" formatCode="0"/>
    <numFmt numFmtId="168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E35"/>
      <name val="Arial"/>
      <family val="0"/>
      <charset val="1"/>
    </font>
    <font>
      <i val="true"/>
      <sz val="10"/>
      <color rgb="FF55666A"/>
      <name val="Arial"/>
      <family val="0"/>
      <charset val="1"/>
    </font>
    <font>
      <b val="true"/>
      <sz val="11"/>
      <color rgb="FF0F2E3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1B465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10"/>
      <color rgb="FF5566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BF0D6"/>
      </patternFill>
    </fill>
    <fill>
      <patternFill patternType="solid">
        <fgColor rgb="FF0F2E35"/>
        <bgColor rgb="FF003300"/>
      </patternFill>
    </fill>
    <fill>
      <patternFill patternType="solid">
        <fgColor rgb="FFF4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DE"/>
      </left>
      <right style="thin">
        <color rgb="FFD7E0DE"/>
      </right>
      <top style="thin">
        <color rgb="FFD7E0DE"/>
      </top>
      <bottom style="thin">
        <color rgb="FFD7E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7A5200"/>
      </font>
      <fill>
        <patternFill>
          <bgColor rgb="FFFBF0D6"/>
        </patternFill>
      </fill>
    </dxf>
    <dxf>
      <font>
        <name val="Arial"/>
        <charset val="1"/>
        <family val="0"/>
        <b val="1"/>
        <color rgb="FF2D7A59"/>
      </font>
    </dxf>
    <dxf>
      <font>
        <name val="Arial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200"/>
      <rgbColor rgb="FF800080"/>
      <rgbColor rgb="FF008080"/>
      <rgbColor rgb="FFC0C0C0"/>
      <rgbColor rgb="FF878787"/>
      <rgbColor rgb="FF9999FF"/>
      <rgbColor rgb="FFB45309"/>
      <rgbColor rgb="FFFFF7D6"/>
      <rgbColor rgb="FFF4F7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0DE"/>
      <rgbColor rgb="FFFBF0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66A"/>
      <rgbColor rgb="FF999999"/>
      <rgbColor rgb="FF0F2E35"/>
      <rgbColor rgb="FF2D7A59"/>
      <rgbColor rgb="FF003300"/>
      <rgbColor rgb="FF333300"/>
      <rgbColor rgb="FFC0392B"/>
      <rgbColor rgb="FF993366"/>
      <rgbColor rgb="FF333399"/>
      <rgbColor rgb="FF1B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bank balance vs minimum buffer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'Cash Flow'!B32</c:f>
              <c:strCache>
                <c:ptCount val="1"/>
                <c:pt idx="0">
                  <c:v>Closing balance</c:v>
                </c:pt>
              </c:strCache>
            </c:strRef>
          </c:tx>
          <c:spPr>
            <a:solidFill>
              <a:srgbClr val="0f2e35"/>
            </a:solidFill>
            <a:ln w="28080">
              <a:solidFill>
                <a:srgbClr val="0f2e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Flow'!$C$9:$O$9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'Cash Flow'!$C$32:$O$32</c:f>
              <c:numCache>
                <c:formatCode>[&gt;=10000000]##\,##\,##\,##0;[&gt;=100000]##\,##\,##0;##,##0</c:formatCode>
                <c:ptCount val="13"/>
                <c:pt idx="0">
                  <c:v>1255000</c:v>
                </c:pt>
                <c:pt idx="1">
                  <c:v>1285000</c:v>
                </c:pt>
                <c:pt idx="2">
                  <c:v>1376000</c:v>
                </c:pt>
                <c:pt idx="3">
                  <c:v>1419000</c:v>
                </c:pt>
                <c:pt idx="4">
                  <c:v>854000</c:v>
                </c:pt>
                <c:pt idx="5">
                  <c:v>988000</c:v>
                </c:pt>
                <c:pt idx="6">
                  <c:v>1065000</c:v>
                </c:pt>
                <c:pt idx="7">
                  <c:v>1027000</c:v>
                </c:pt>
                <c:pt idx="8">
                  <c:v>472000</c:v>
                </c:pt>
                <c:pt idx="9">
                  <c:v>595000</c:v>
                </c:pt>
                <c:pt idx="10">
                  <c:v>592000</c:v>
                </c:pt>
                <c:pt idx="11">
                  <c:v>721000</c:v>
                </c:pt>
                <c:pt idx="12">
                  <c:v>570000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'Cash Flow'!B33</c:f>
              <c:strCache>
                <c:ptCount val="1"/>
                <c:pt idx="0">
                  <c:v>Minimum buffer</c:v>
                </c:pt>
              </c:strCache>
            </c:strRef>
          </c:tx>
          <c:spPr>
            <a:solidFill>
              <a:srgbClr val="c0392b"/>
            </a:solidFill>
            <a:ln w="2808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Flow'!$C$9:$O$9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'Cash Flow'!$C$33:$O$33</c:f>
              <c:numCache>
                <c:formatCode>[&gt;=10000000]##\,##\,##\,##0;[&gt;=100000]##\,##\,##0;##,##0</c:formatCode>
                <c:ptCount val="13"/>
                <c:pt idx="0">
                  <c:v>500000</c:v>
                </c:pt>
                <c:pt idx="1">
                  <c:v>500000</c:v>
                </c:pt>
                <c:pt idx="2">
                  <c:v>500000</c:v>
                </c:pt>
                <c:pt idx="3">
                  <c:v>500000</c:v>
                </c:pt>
                <c:pt idx="4">
                  <c:v>500000</c:v>
                </c:pt>
                <c:pt idx="5">
                  <c:v>500000</c:v>
                </c:pt>
                <c:pt idx="6">
                  <c:v>500000</c:v>
                </c:pt>
                <c:pt idx="7">
                  <c:v>500000</c:v>
                </c:pt>
                <c:pt idx="8">
                  <c:v>500000</c:v>
                </c:pt>
                <c:pt idx="9">
                  <c:v>500000</c:v>
                </c:pt>
                <c:pt idx="10">
                  <c:v>500000</c:v>
                </c:pt>
                <c:pt idx="11">
                  <c:v>500000</c:v>
                </c:pt>
                <c:pt idx="12">
                  <c:v>500000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589674"/>
        <c:axId val="30967256"/>
      </c:lineChart>
      <c:catAx>
        <c:axId val="365896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67256"/>
        <c:crosses val="autoZero"/>
        <c:auto val="1"/>
        <c:lblAlgn val="ctr"/>
        <c:lblOffset val="100"/>
        <c:noMultiLvlLbl val="0"/>
      </c:catAx>
      <c:valAx>
        <c:axId val="30967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896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130680</xdr:rowOff>
    </xdr:from>
    <xdr:to>
      <xdr:col>9</xdr:col>
      <xdr:colOff>322560</xdr:colOff>
      <xdr:row>57</xdr:row>
      <xdr:rowOff>153000</xdr:rowOff>
    </xdr:to>
    <xdr:graphicFrame>
      <xdr:nvGraphicFramePr>
        <xdr:cNvPr id="0" name="Chart 1"/>
        <xdr:cNvGraphicFramePr/>
      </xdr:nvGraphicFramePr>
      <xdr:xfrm>
        <a:off x="141120" y="83818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inmantra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</row>
    <row r="9" customFormat="false" ht="15" hidden="false" customHeight="false" outlineLevel="0" collapsed="false">
      <c r="B9" s="7" t="s">
        <v>7</v>
      </c>
      <c r="C9" s="6" t="s">
        <v>8</v>
      </c>
    </row>
    <row r="10" customFormat="false" ht="15" hidden="false" customHeight="false" outlineLevel="0" collapsed="false">
      <c r="B10" s="8" t="s">
        <v>9</v>
      </c>
      <c r="C10" s="6" t="s">
        <v>10</v>
      </c>
    </row>
    <row r="12" customFormat="false" ht="15" hidden="false" customHeight="false" outlineLevel="0" collapsed="false">
      <c r="B12" s="3" t="s">
        <v>11</v>
      </c>
    </row>
    <row r="13" customFormat="false" ht="30" hidden="false" customHeight="true" outlineLevel="0" collapsed="false">
      <c r="B13" s="9" t="s">
        <v>12</v>
      </c>
      <c r="C13" s="10" t="s">
        <v>13</v>
      </c>
    </row>
    <row r="14" customFormat="false" ht="15.75" hidden="false" customHeight="true" outlineLevel="0" collapsed="false">
      <c r="B14" s="9" t="s">
        <v>14</v>
      </c>
      <c r="C14" s="10" t="s">
        <v>15</v>
      </c>
    </row>
    <row r="15" customFormat="false" ht="30" hidden="false" customHeight="true" outlineLevel="0" collapsed="false">
      <c r="B15" s="9" t="s">
        <v>16</v>
      </c>
      <c r="C15" s="10" t="s">
        <v>17</v>
      </c>
    </row>
    <row r="16" customFormat="false" ht="30" hidden="false" customHeight="true" outlineLevel="0" collapsed="false">
      <c r="B16" s="9" t="s">
        <v>18</v>
      </c>
      <c r="C16" s="10" t="s">
        <v>19</v>
      </c>
    </row>
    <row r="17" customFormat="false" ht="30" hidden="false" customHeight="true" outlineLevel="0" collapsed="false">
      <c r="B17" s="9" t="s">
        <v>20</v>
      </c>
      <c r="C17" s="10" t="s">
        <v>21</v>
      </c>
    </row>
    <row r="19" customFormat="false" ht="15" hidden="false" customHeight="false" outlineLevel="0" collapsed="false">
      <c r="B19" s="3" t="s">
        <v>22</v>
      </c>
    </row>
    <row r="20" customFormat="false" ht="30" hidden="false" customHeight="true" outlineLevel="0" collapsed="false">
      <c r="C20" s="11" t="s">
        <v>23</v>
      </c>
    </row>
    <row r="22" customFormat="false" ht="15" hidden="false" customHeight="false" outlineLevel="0" collapsed="false">
      <c r="B22" s="12" t="s">
        <v>24</v>
      </c>
    </row>
    <row r="24" customFormat="false" ht="15" hidden="false" customHeight="false" outlineLevel="0" collapsed="false">
      <c r="B24" s="3" t="s">
        <v>25</v>
      </c>
    </row>
    <row r="25" customFormat="false" ht="15" hidden="false" customHeight="false" outlineLevel="0" collapsed="false">
      <c r="B25" s="13" t="s">
        <v>26</v>
      </c>
    </row>
    <row r="26" customFormat="false" ht="15" hidden="false" customHeight="false" outlineLevel="0" collapsed="false">
      <c r="B26" s="14" t="s">
        <v>27</v>
      </c>
    </row>
  </sheetData>
  <hyperlinks>
    <hyperlink ref="B25" r:id="rId1" display="Accounting, GST, payroll and Virtual CFO services · www.myfinmantra.com · WhatsApp +91 97118 995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P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5" min="3" style="0" width="12"/>
    <col collapsed="false" customWidth="true" hidden="false" outlineLevel="0" max="16" min="16" style="0" width="14"/>
  </cols>
  <sheetData>
    <row r="2" customFormat="false" ht="19.7" hidden="false" customHeight="false" outlineLevel="0" collapsed="false">
      <c r="B2" s="1" t="s">
        <v>28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9" t="s">
        <v>29</v>
      </c>
      <c r="C4" s="5" t="s">
        <v>30</v>
      </c>
    </row>
    <row r="5" customFormat="false" ht="15" hidden="false" customHeight="false" outlineLevel="0" collapsed="false">
      <c r="B5" s="9" t="s">
        <v>31</v>
      </c>
      <c r="C5" s="15" t="n">
        <v>46321</v>
      </c>
    </row>
    <row r="6" customFormat="false" ht="15" hidden="false" customHeight="false" outlineLevel="0" collapsed="false">
      <c r="B6" s="9" t="s">
        <v>32</v>
      </c>
      <c r="C6" s="16" t="n">
        <v>1150000</v>
      </c>
    </row>
    <row r="7" customFormat="false" ht="15" hidden="false" customHeight="false" outlineLevel="0" collapsed="false">
      <c r="B7" s="9" t="s">
        <v>33</v>
      </c>
      <c r="C7" s="16" t="n">
        <v>500000</v>
      </c>
    </row>
    <row r="9" customFormat="false" ht="30" hidden="false" customHeight="true" outlineLevel="0" collapsed="false">
      <c r="B9" s="17" t="s">
        <v>34</v>
      </c>
      <c r="C9" s="18" t="s">
        <v>35</v>
      </c>
      <c r="D9" s="18" t="s">
        <v>36</v>
      </c>
      <c r="E9" s="18" t="s">
        <v>37</v>
      </c>
      <c r="F9" s="18" t="s">
        <v>38</v>
      </c>
      <c r="G9" s="18" t="s">
        <v>39</v>
      </c>
      <c r="H9" s="18" t="s">
        <v>40</v>
      </c>
      <c r="I9" s="18" t="s">
        <v>41</v>
      </c>
      <c r="J9" s="18" t="s">
        <v>42</v>
      </c>
      <c r="K9" s="18" t="s">
        <v>43</v>
      </c>
      <c r="L9" s="18" t="s">
        <v>44</v>
      </c>
      <c r="M9" s="18" t="s">
        <v>45</v>
      </c>
      <c r="N9" s="18" t="s">
        <v>46</v>
      </c>
      <c r="O9" s="18" t="s">
        <v>47</v>
      </c>
      <c r="P9" s="18" t="s">
        <v>48</v>
      </c>
    </row>
    <row r="10" customFormat="false" ht="15" hidden="false" customHeight="false" outlineLevel="0" collapsed="false">
      <c r="B10" s="9" t="s">
        <v>49</v>
      </c>
      <c r="C10" s="19" t="n">
        <f aca="false">$C$5+0</f>
        <v>46321</v>
      </c>
      <c r="D10" s="19" t="n">
        <f aca="false">$C$5+7</f>
        <v>46328</v>
      </c>
      <c r="E10" s="19" t="n">
        <f aca="false">$C$5+14</f>
        <v>46335</v>
      </c>
      <c r="F10" s="19" t="n">
        <f aca="false">$C$5+21</f>
        <v>46342</v>
      </c>
      <c r="G10" s="19" t="n">
        <f aca="false">$C$5+28</f>
        <v>46349</v>
      </c>
      <c r="H10" s="19" t="n">
        <f aca="false">$C$5+35</f>
        <v>46356</v>
      </c>
      <c r="I10" s="19" t="n">
        <f aca="false">$C$5+42</f>
        <v>46363</v>
      </c>
      <c r="J10" s="19" t="n">
        <f aca="false">$C$5+49</f>
        <v>46370</v>
      </c>
      <c r="K10" s="19" t="n">
        <f aca="false">$C$5+56</f>
        <v>46377</v>
      </c>
      <c r="L10" s="19" t="n">
        <f aca="false">$C$5+63</f>
        <v>46384</v>
      </c>
      <c r="M10" s="19" t="n">
        <f aca="false">$C$5+70</f>
        <v>46391</v>
      </c>
      <c r="N10" s="19" t="n">
        <f aca="false">$C$5+77</f>
        <v>46398</v>
      </c>
      <c r="O10" s="19" t="n">
        <f aca="false">$C$5+84</f>
        <v>46405</v>
      </c>
    </row>
    <row r="11" customFormat="false" ht="15" hidden="false" customHeight="false" outlineLevel="0" collapsed="false">
      <c r="B11" s="9" t="s">
        <v>50</v>
      </c>
      <c r="C11" s="20" t="n">
        <f aca="false">C10+6</f>
        <v>46327</v>
      </c>
      <c r="D11" s="20" t="n">
        <f aca="false">D10+6</f>
        <v>46334</v>
      </c>
      <c r="E11" s="20" t="n">
        <f aca="false">E10+6</f>
        <v>46341</v>
      </c>
      <c r="F11" s="20" t="n">
        <f aca="false">F10+6</f>
        <v>46348</v>
      </c>
      <c r="G11" s="20" t="n">
        <f aca="false">G10+6</f>
        <v>46355</v>
      </c>
      <c r="H11" s="20" t="n">
        <f aca="false">H10+6</f>
        <v>46362</v>
      </c>
      <c r="I11" s="20" t="n">
        <f aca="false">I10+6</f>
        <v>46369</v>
      </c>
      <c r="J11" s="20" t="n">
        <f aca="false">J10+6</f>
        <v>46376</v>
      </c>
      <c r="K11" s="20" t="n">
        <f aca="false">K10+6</f>
        <v>46383</v>
      </c>
      <c r="L11" s="20" t="n">
        <f aca="false">L10+6</f>
        <v>46390</v>
      </c>
      <c r="M11" s="20" t="n">
        <f aca="false">M10+6</f>
        <v>46397</v>
      </c>
      <c r="N11" s="20" t="n">
        <f aca="false">N10+6</f>
        <v>46404</v>
      </c>
      <c r="O11" s="20" t="n">
        <f aca="false">O10+6</f>
        <v>46411</v>
      </c>
    </row>
    <row r="12" customFormat="false" ht="15" hidden="false" customHeight="false" outlineLevel="0" collapsed="false">
      <c r="B12" s="3" t="s">
        <v>51</v>
      </c>
    </row>
    <row r="13" customFormat="false" ht="15" hidden="false" customHeight="false" outlineLevel="0" collapsed="false">
      <c r="B13" s="21" t="s">
        <v>52</v>
      </c>
      <c r="C13" s="16" t="n">
        <v>300000</v>
      </c>
      <c r="D13" s="16" t="n">
        <v>260000</v>
      </c>
      <c r="E13" s="16" t="n">
        <v>340000</v>
      </c>
      <c r="F13" s="16" t="n">
        <v>310000</v>
      </c>
      <c r="G13" s="16" t="n">
        <v>280000</v>
      </c>
      <c r="H13" s="16" t="n">
        <v>320000</v>
      </c>
      <c r="I13" s="16" t="n">
        <v>360000</v>
      </c>
      <c r="J13" s="16" t="n">
        <v>290000</v>
      </c>
      <c r="K13" s="16" t="n">
        <v>330000</v>
      </c>
      <c r="L13" s="16" t="n">
        <v>350000</v>
      </c>
      <c r="M13" s="16" t="n">
        <v>300000</v>
      </c>
      <c r="N13" s="16" t="n">
        <v>340000</v>
      </c>
      <c r="O13" s="16" t="n">
        <v>360000</v>
      </c>
      <c r="P13" s="22" t="n">
        <f aca="false">SUM(C13:O13)</f>
        <v>4140000</v>
      </c>
    </row>
    <row r="14" customFormat="false" ht="15" hidden="false" customHeight="false" outlineLevel="0" collapsed="false">
      <c r="B14" s="21" t="s">
        <v>53</v>
      </c>
      <c r="C14" s="16" t="n">
        <v>0</v>
      </c>
      <c r="D14" s="16" t="n">
        <v>0</v>
      </c>
      <c r="E14" s="16" t="n">
        <v>15000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12000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22" t="n">
        <f aca="false">SUM(C14:O14)</f>
        <v>27000</v>
      </c>
    </row>
    <row r="15" customFormat="false" ht="15" hidden="false" customHeight="false" outlineLevel="0" collapsed="false">
      <c r="B15" s="21" t="s">
        <v>54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22" t="n">
        <f aca="false">SUM(C15:O15)</f>
        <v>0</v>
      </c>
    </row>
    <row r="16" customFormat="false" ht="15" hidden="false" customHeight="false" outlineLevel="0" collapsed="false">
      <c r="B16" s="23" t="s">
        <v>55</v>
      </c>
      <c r="C16" s="22" t="n">
        <f aca="false">SUM(C13:C15)</f>
        <v>300000</v>
      </c>
      <c r="D16" s="22" t="n">
        <f aca="false">SUM(D13:D15)</f>
        <v>260000</v>
      </c>
      <c r="E16" s="22" t="n">
        <f aca="false">SUM(E13:E15)</f>
        <v>355000</v>
      </c>
      <c r="F16" s="22" t="n">
        <f aca="false">SUM(F13:F15)</f>
        <v>310000</v>
      </c>
      <c r="G16" s="22" t="n">
        <f aca="false">SUM(G13:G15)</f>
        <v>280000</v>
      </c>
      <c r="H16" s="22" t="n">
        <f aca="false">SUM(H13:H15)</f>
        <v>320000</v>
      </c>
      <c r="I16" s="22" t="n">
        <f aca="false">SUM(I13:I15)</f>
        <v>360000</v>
      </c>
      <c r="J16" s="22" t="n">
        <f aca="false">SUM(J13:J15)</f>
        <v>302000</v>
      </c>
      <c r="K16" s="22" t="n">
        <f aca="false">SUM(K13:K15)</f>
        <v>330000</v>
      </c>
      <c r="L16" s="22" t="n">
        <f aca="false">SUM(L13:L15)</f>
        <v>350000</v>
      </c>
      <c r="M16" s="22" t="n">
        <f aca="false">SUM(M13:M15)</f>
        <v>300000</v>
      </c>
      <c r="N16" s="22" t="n">
        <f aca="false">SUM(N13:N15)</f>
        <v>340000</v>
      </c>
      <c r="O16" s="22" t="n">
        <f aca="false">SUM(O13:O15)</f>
        <v>360000</v>
      </c>
      <c r="P16" s="22" t="n">
        <f aca="false">SUM(P13:P15)</f>
        <v>4167000</v>
      </c>
    </row>
    <row r="18" customFormat="false" ht="15" hidden="false" customHeight="false" outlineLevel="0" collapsed="false">
      <c r="B18" s="3" t="s">
        <v>56</v>
      </c>
    </row>
    <row r="19" customFormat="false" ht="15" hidden="false" customHeight="false" outlineLevel="0" collapsed="false">
      <c r="B19" s="21" t="s">
        <v>57</v>
      </c>
      <c r="C19" s="16" t="n">
        <v>180000</v>
      </c>
      <c r="D19" s="16" t="n">
        <v>210000</v>
      </c>
      <c r="E19" s="16" t="n">
        <v>160000</v>
      </c>
      <c r="F19" s="16" t="n">
        <v>190000</v>
      </c>
      <c r="G19" s="16" t="n">
        <v>200000</v>
      </c>
      <c r="H19" s="16" t="n">
        <v>170000</v>
      </c>
      <c r="I19" s="16" t="n">
        <v>220000</v>
      </c>
      <c r="J19" s="16" t="n">
        <v>180000</v>
      </c>
      <c r="K19" s="16" t="n">
        <v>190000</v>
      </c>
      <c r="L19" s="16" t="n">
        <v>210000</v>
      </c>
      <c r="M19" s="16" t="n">
        <v>175000</v>
      </c>
      <c r="N19" s="16" t="n">
        <v>195000</v>
      </c>
      <c r="O19" s="16" t="n">
        <v>205000</v>
      </c>
      <c r="P19" s="22" t="n">
        <f aca="false">SUM(C19:O19)</f>
        <v>2485000</v>
      </c>
    </row>
    <row r="20" customFormat="false" ht="15" hidden="false" customHeight="false" outlineLevel="0" collapsed="false">
      <c r="B20" s="21" t="s">
        <v>58</v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480000</v>
      </c>
      <c r="H20" s="16" t="n">
        <v>0</v>
      </c>
      <c r="I20" s="16" t="n">
        <v>0</v>
      </c>
      <c r="J20" s="16" t="n">
        <v>0</v>
      </c>
      <c r="K20" s="16" t="n">
        <v>495000</v>
      </c>
      <c r="L20" s="16" t="n">
        <v>0</v>
      </c>
      <c r="M20" s="16" t="n">
        <v>0</v>
      </c>
      <c r="N20" s="16" t="n">
        <v>0</v>
      </c>
      <c r="O20" s="16" t="n">
        <v>0</v>
      </c>
      <c r="P20" s="22" t="n">
        <f aca="false">SUM(C20:O20)</f>
        <v>975000</v>
      </c>
    </row>
    <row r="21" customFormat="false" ht="15" hidden="false" customHeight="false" outlineLevel="0" collapsed="false">
      <c r="B21" s="21" t="s">
        <v>59</v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85000</v>
      </c>
      <c r="H21" s="16" t="n">
        <v>0</v>
      </c>
      <c r="I21" s="16" t="n">
        <v>0</v>
      </c>
      <c r="J21" s="16" t="n">
        <v>0</v>
      </c>
      <c r="K21" s="16" t="n">
        <v>85000</v>
      </c>
      <c r="L21" s="16" t="n">
        <v>0</v>
      </c>
      <c r="M21" s="16" t="n">
        <v>0</v>
      </c>
      <c r="N21" s="16" t="n">
        <v>0</v>
      </c>
      <c r="O21" s="16" t="n">
        <v>85000</v>
      </c>
      <c r="P21" s="22" t="n">
        <f aca="false">SUM(C21:O21)</f>
        <v>255000</v>
      </c>
    </row>
    <row r="22" customFormat="false" ht="15" hidden="false" customHeight="false" outlineLevel="0" collapsed="false">
      <c r="B22" s="21" t="s">
        <v>60</v>
      </c>
      <c r="C22" s="16" t="n">
        <v>0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140000</v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145000</v>
      </c>
      <c r="P22" s="22" t="n">
        <f aca="false">SUM(C22:O22)</f>
        <v>285000</v>
      </c>
    </row>
    <row r="23" customFormat="false" ht="15" hidden="false" customHeight="false" outlineLevel="0" collapsed="false">
      <c r="B23" s="21" t="s">
        <v>61</v>
      </c>
      <c r="C23" s="16" t="n">
        <v>0</v>
      </c>
      <c r="D23" s="16" t="n">
        <v>0</v>
      </c>
      <c r="E23" s="16" t="n">
        <v>41000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42000</v>
      </c>
      <c r="L23" s="16" t="n">
        <v>0</v>
      </c>
      <c r="M23" s="16" t="n">
        <v>0</v>
      </c>
      <c r="N23" s="16" t="n">
        <v>0</v>
      </c>
      <c r="O23" s="16" t="n">
        <v>0</v>
      </c>
      <c r="P23" s="22" t="n">
        <f aca="false">SUM(C23:O23)</f>
        <v>83000</v>
      </c>
    </row>
    <row r="24" customFormat="false" ht="15" hidden="false" customHeight="false" outlineLevel="0" collapsed="false">
      <c r="B24" s="21" t="s">
        <v>62</v>
      </c>
      <c r="C24" s="16" t="n">
        <v>0</v>
      </c>
      <c r="D24" s="16" t="n">
        <v>0</v>
      </c>
      <c r="E24" s="16" t="n">
        <v>0</v>
      </c>
      <c r="F24" s="16" t="n">
        <v>62000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64000</v>
      </c>
      <c r="N24" s="16" t="n">
        <v>0</v>
      </c>
      <c r="O24" s="16" t="n">
        <v>0</v>
      </c>
      <c r="P24" s="22" t="n">
        <f aca="false">SUM(C24:O24)</f>
        <v>126000</v>
      </c>
    </row>
    <row r="25" customFormat="false" ht="15" hidden="false" customHeight="false" outlineLevel="0" collapsed="false">
      <c r="B25" s="21" t="s">
        <v>63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58000</v>
      </c>
      <c r="H25" s="16" t="n">
        <v>0</v>
      </c>
      <c r="I25" s="16" t="n">
        <v>0</v>
      </c>
      <c r="J25" s="16" t="n">
        <v>0</v>
      </c>
      <c r="K25" s="16" t="n">
        <v>58000</v>
      </c>
      <c r="L25" s="16" t="n">
        <v>0</v>
      </c>
      <c r="M25" s="16" t="n">
        <v>0</v>
      </c>
      <c r="N25" s="16" t="n">
        <v>0</v>
      </c>
      <c r="O25" s="16" t="n">
        <v>58000</v>
      </c>
      <c r="P25" s="22" t="n">
        <f aca="false">SUM(C25:O25)</f>
        <v>174000</v>
      </c>
    </row>
    <row r="26" customFormat="false" ht="15" hidden="false" customHeight="false" outlineLevel="0" collapsed="false">
      <c r="B26" s="21" t="s">
        <v>64</v>
      </c>
      <c r="C26" s="16" t="n">
        <v>0</v>
      </c>
      <c r="D26" s="16" t="n">
        <v>0</v>
      </c>
      <c r="E26" s="16" t="n">
        <v>45000</v>
      </c>
      <c r="F26" s="16" t="n">
        <v>0</v>
      </c>
      <c r="G26" s="16" t="n">
        <v>0</v>
      </c>
      <c r="H26" s="16" t="n">
        <v>0</v>
      </c>
      <c r="I26" s="16" t="n">
        <v>45000</v>
      </c>
      <c r="J26" s="16" t="n">
        <v>0</v>
      </c>
      <c r="K26" s="16" t="n">
        <v>0</v>
      </c>
      <c r="L26" s="16" t="n">
        <v>0</v>
      </c>
      <c r="M26" s="16" t="n">
        <v>45000</v>
      </c>
      <c r="N26" s="16" t="n">
        <v>0</v>
      </c>
      <c r="O26" s="16" t="n">
        <v>0</v>
      </c>
      <c r="P26" s="22" t="n">
        <f aca="false">SUM(C26:O26)</f>
        <v>135000</v>
      </c>
    </row>
    <row r="27" customFormat="false" ht="15" hidden="false" customHeight="false" outlineLevel="0" collapsed="false">
      <c r="B27" s="21" t="s">
        <v>65</v>
      </c>
      <c r="C27" s="16" t="n">
        <v>15000</v>
      </c>
      <c r="D27" s="16" t="n">
        <v>20000</v>
      </c>
      <c r="E27" s="16" t="n">
        <v>18000</v>
      </c>
      <c r="F27" s="16" t="n">
        <v>15000</v>
      </c>
      <c r="G27" s="16" t="n">
        <v>22000</v>
      </c>
      <c r="H27" s="16" t="n">
        <v>16000</v>
      </c>
      <c r="I27" s="16" t="n">
        <v>18000</v>
      </c>
      <c r="J27" s="16" t="n">
        <v>20000</v>
      </c>
      <c r="K27" s="16" t="n">
        <v>15000</v>
      </c>
      <c r="L27" s="16" t="n">
        <v>17000</v>
      </c>
      <c r="M27" s="16" t="n">
        <v>19000</v>
      </c>
      <c r="N27" s="16" t="n">
        <v>16000</v>
      </c>
      <c r="O27" s="16" t="n">
        <v>18000</v>
      </c>
      <c r="P27" s="22" t="n">
        <f aca="false">SUM(C27:O27)</f>
        <v>229000</v>
      </c>
    </row>
    <row r="28" customFormat="false" ht="15" hidden="false" customHeight="false" outlineLevel="0" collapsed="false">
      <c r="B28" s="23" t="s">
        <v>66</v>
      </c>
      <c r="C28" s="22" t="n">
        <f aca="false">SUM(C19:C27)</f>
        <v>195000</v>
      </c>
      <c r="D28" s="22" t="n">
        <f aca="false">SUM(D19:D27)</f>
        <v>230000</v>
      </c>
      <c r="E28" s="22" t="n">
        <f aca="false">SUM(E19:E27)</f>
        <v>264000</v>
      </c>
      <c r="F28" s="22" t="n">
        <f aca="false">SUM(F19:F27)</f>
        <v>267000</v>
      </c>
      <c r="G28" s="22" t="n">
        <f aca="false">SUM(G19:G27)</f>
        <v>845000</v>
      </c>
      <c r="H28" s="22" t="n">
        <f aca="false">SUM(H19:H27)</f>
        <v>186000</v>
      </c>
      <c r="I28" s="22" t="n">
        <f aca="false">SUM(I19:I27)</f>
        <v>283000</v>
      </c>
      <c r="J28" s="22" t="n">
        <f aca="false">SUM(J19:J27)</f>
        <v>340000</v>
      </c>
      <c r="K28" s="22" t="n">
        <f aca="false">SUM(K19:K27)</f>
        <v>885000</v>
      </c>
      <c r="L28" s="22" t="n">
        <f aca="false">SUM(L19:L27)</f>
        <v>227000</v>
      </c>
      <c r="M28" s="22" t="n">
        <f aca="false">SUM(M19:M27)</f>
        <v>303000</v>
      </c>
      <c r="N28" s="22" t="n">
        <f aca="false">SUM(N19:N27)</f>
        <v>211000</v>
      </c>
      <c r="O28" s="22" t="n">
        <f aca="false">SUM(O19:O27)</f>
        <v>511000</v>
      </c>
      <c r="P28" s="22" t="n">
        <f aca="false">SUM(P19:P27)</f>
        <v>4747000</v>
      </c>
    </row>
    <row r="30" customFormat="false" ht="15" hidden="false" customHeight="false" outlineLevel="0" collapsed="false">
      <c r="B30" s="7" t="s">
        <v>67</v>
      </c>
      <c r="C30" s="24" t="n">
        <f aca="false">C16-C28</f>
        <v>105000</v>
      </c>
      <c r="D30" s="24" t="n">
        <f aca="false">D16-D28</f>
        <v>30000</v>
      </c>
      <c r="E30" s="24" t="n">
        <f aca="false">E16-E28</f>
        <v>91000</v>
      </c>
      <c r="F30" s="24" t="n">
        <f aca="false">F16-F28</f>
        <v>43000</v>
      </c>
      <c r="G30" s="24" t="n">
        <f aca="false">G16-G28</f>
        <v>-565000</v>
      </c>
      <c r="H30" s="24" t="n">
        <f aca="false">H16-H28</f>
        <v>134000</v>
      </c>
      <c r="I30" s="24" t="n">
        <f aca="false">I16-I28</f>
        <v>77000</v>
      </c>
      <c r="J30" s="24" t="n">
        <f aca="false">J16-J28</f>
        <v>-38000</v>
      </c>
      <c r="K30" s="24" t="n">
        <f aca="false">K16-K28</f>
        <v>-555000</v>
      </c>
      <c r="L30" s="24" t="n">
        <f aca="false">L16-L28</f>
        <v>123000</v>
      </c>
      <c r="M30" s="24" t="n">
        <f aca="false">M16-M28</f>
        <v>-3000</v>
      </c>
      <c r="N30" s="24" t="n">
        <f aca="false">N16-N28</f>
        <v>129000</v>
      </c>
      <c r="O30" s="24" t="n">
        <f aca="false">O16-O28</f>
        <v>-151000</v>
      </c>
      <c r="P30" s="22" t="n">
        <f aca="false">SUM(C30:O30)</f>
        <v>-580000</v>
      </c>
    </row>
    <row r="31" customFormat="false" ht="15" hidden="false" customHeight="false" outlineLevel="0" collapsed="false">
      <c r="B31" s="7" t="s">
        <v>68</v>
      </c>
      <c r="C31" s="24" t="n">
        <f aca="false">$C$6</f>
        <v>1150000</v>
      </c>
      <c r="D31" s="24" t="n">
        <f aca="false">C32</f>
        <v>1255000</v>
      </c>
      <c r="E31" s="24" t="n">
        <f aca="false">D32</f>
        <v>1285000</v>
      </c>
      <c r="F31" s="24" t="n">
        <f aca="false">E32</f>
        <v>1376000</v>
      </c>
      <c r="G31" s="24" t="n">
        <f aca="false">F32</f>
        <v>1419000</v>
      </c>
      <c r="H31" s="24" t="n">
        <f aca="false">G32</f>
        <v>854000</v>
      </c>
      <c r="I31" s="24" t="n">
        <f aca="false">H32</f>
        <v>988000</v>
      </c>
      <c r="J31" s="24" t="n">
        <f aca="false">I32</f>
        <v>1065000</v>
      </c>
      <c r="K31" s="24" t="n">
        <f aca="false">J32</f>
        <v>1027000</v>
      </c>
      <c r="L31" s="24" t="n">
        <f aca="false">K32</f>
        <v>472000</v>
      </c>
      <c r="M31" s="24" t="n">
        <f aca="false">L32</f>
        <v>595000</v>
      </c>
      <c r="N31" s="24" t="n">
        <f aca="false">M32</f>
        <v>592000</v>
      </c>
      <c r="O31" s="24" t="n">
        <f aca="false">N32</f>
        <v>721000</v>
      </c>
    </row>
    <row r="32" customFormat="false" ht="15" hidden="false" customHeight="false" outlineLevel="0" collapsed="false">
      <c r="B32" s="23" t="s">
        <v>69</v>
      </c>
      <c r="C32" s="22" t="n">
        <f aca="false">C31+C30</f>
        <v>1255000</v>
      </c>
      <c r="D32" s="22" t="n">
        <f aca="false">D31+D30</f>
        <v>1285000</v>
      </c>
      <c r="E32" s="22" t="n">
        <f aca="false">E31+E30</f>
        <v>1376000</v>
      </c>
      <c r="F32" s="22" t="n">
        <f aca="false">F31+F30</f>
        <v>1419000</v>
      </c>
      <c r="G32" s="22" t="n">
        <f aca="false">G31+G30</f>
        <v>854000</v>
      </c>
      <c r="H32" s="22" t="n">
        <f aca="false">H31+H30</f>
        <v>988000</v>
      </c>
      <c r="I32" s="22" t="n">
        <f aca="false">I31+I30</f>
        <v>1065000</v>
      </c>
      <c r="J32" s="22" t="n">
        <f aca="false">J31+J30</f>
        <v>1027000</v>
      </c>
      <c r="K32" s="22" t="n">
        <f aca="false">K31+K30</f>
        <v>472000</v>
      </c>
      <c r="L32" s="22" t="n">
        <f aca="false">L31+L30</f>
        <v>595000</v>
      </c>
      <c r="M32" s="22" t="n">
        <f aca="false">M31+M30</f>
        <v>592000</v>
      </c>
      <c r="N32" s="22" t="n">
        <f aca="false">N31+N30</f>
        <v>721000</v>
      </c>
      <c r="O32" s="22" t="n">
        <f aca="false">O31+O30</f>
        <v>570000</v>
      </c>
      <c r="P32" s="22" t="n">
        <f aca="false">O32</f>
        <v>570000</v>
      </c>
    </row>
    <row r="33" customFormat="false" ht="15" hidden="false" customHeight="false" outlineLevel="0" collapsed="false">
      <c r="B33" s="7" t="s">
        <v>70</v>
      </c>
      <c r="C33" s="25" t="n">
        <f aca="false">$C$7</f>
        <v>500000</v>
      </c>
      <c r="D33" s="25" t="n">
        <f aca="false">$C$7</f>
        <v>500000</v>
      </c>
      <c r="E33" s="25" t="n">
        <f aca="false">$C$7</f>
        <v>500000</v>
      </c>
      <c r="F33" s="25" t="n">
        <f aca="false">$C$7</f>
        <v>500000</v>
      </c>
      <c r="G33" s="25" t="n">
        <f aca="false">$C$7</f>
        <v>500000</v>
      </c>
      <c r="H33" s="25" t="n">
        <f aca="false">$C$7</f>
        <v>500000</v>
      </c>
      <c r="I33" s="25" t="n">
        <f aca="false">$C$7</f>
        <v>500000</v>
      </c>
      <c r="J33" s="25" t="n">
        <f aca="false">$C$7</f>
        <v>500000</v>
      </c>
      <c r="K33" s="25" t="n">
        <f aca="false">$C$7</f>
        <v>500000</v>
      </c>
      <c r="L33" s="25" t="n">
        <f aca="false">$C$7</f>
        <v>500000</v>
      </c>
      <c r="M33" s="25" t="n">
        <f aca="false">$C$7</f>
        <v>500000</v>
      </c>
      <c r="N33" s="25" t="n">
        <f aca="false">$C$7</f>
        <v>500000</v>
      </c>
      <c r="O33" s="25" t="n">
        <f aca="false">$C$7</f>
        <v>500000</v>
      </c>
    </row>
    <row r="34" customFormat="false" ht="15" hidden="false" customHeight="false" outlineLevel="0" collapsed="false">
      <c r="B34" s="7" t="s">
        <v>71</v>
      </c>
      <c r="C34" s="24" t="n">
        <f aca="false">C32-C33</f>
        <v>755000</v>
      </c>
      <c r="D34" s="24" t="n">
        <f aca="false">D32-D33</f>
        <v>785000</v>
      </c>
      <c r="E34" s="24" t="n">
        <f aca="false">E32-E33</f>
        <v>876000</v>
      </c>
      <c r="F34" s="24" t="n">
        <f aca="false">F32-F33</f>
        <v>919000</v>
      </c>
      <c r="G34" s="24" t="n">
        <f aca="false">G32-G33</f>
        <v>354000</v>
      </c>
      <c r="H34" s="24" t="n">
        <f aca="false">H32-H33</f>
        <v>488000</v>
      </c>
      <c r="I34" s="24" t="n">
        <f aca="false">I32-I33</f>
        <v>565000</v>
      </c>
      <c r="J34" s="24" t="n">
        <f aca="false">J32-J33</f>
        <v>527000</v>
      </c>
      <c r="K34" s="24" t="n">
        <f aca="false">K32-K33</f>
        <v>-28000</v>
      </c>
      <c r="L34" s="24" t="n">
        <f aca="false">L32-L33</f>
        <v>95000</v>
      </c>
      <c r="M34" s="24" t="n">
        <f aca="false">M32-M33</f>
        <v>92000</v>
      </c>
      <c r="N34" s="24" t="n">
        <f aca="false">N32-N33</f>
        <v>221000</v>
      </c>
      <c r="O34" s="24" t="n">
        <f aca="false">O32-O33</f>
        <v>70000</v>
      </c>
    </row>
    <row r="35" customFormat="false" ht="15" hidden="false" customHeight="false" outlineLevel="0" collapsed="false">
      <c r="B35" s="26" t="s">
        <v>72</v>
      </c>
      <c r="C35" s="27" t="str">
        <f aca="false">IF(C32&lt;C33,"Below buffer",IF(C32&lt;C33*1.2,"Watch","OK"))</f>
        <v>OK</v>
      </c>
      <c r="D35" s="27" t="str">
        <f aca="false">IF(D32&lt;D33,"Below buffer",IF(D32&lt;D33*1.2,"Watch","OK"))</f>
        <v>OK</v>
      </c>
      <c r="E35" s="27" t="str">
        <f aca="false">IF(E32&lt;E33,"Below buffer",IF(E32&lt;E33*1.2,"Watch","OK"))</f>
        <v>OK</v>
      </c>
      <c r="F35" s="27" t="str">
        <f aca="false">IF(F32&lt;F33,"Below buffer",IF(F32&lt;F33*1.2,"Watch","OK"))</f>
        <v>OK</v>
      </c>
      <c r="G35" s="27" t="str">
        <f aca="false">IF(G32&lt;G33,"Below buffer",IF(G32&lt;G33*1.2,"Watch","OK"))</f>
        <v>OK</v>
      </c>
      <c r="H35" s="27" t="str">
        <f aca="false">IF(H32&lt;H33,"Below buffer",IF(H32&lt;H33*1.2,"Watch","OK"))</f>
        <v>OK</v>
      </c>
      <c r="I35" s="27" t="str">
        <f aca="false">IF(I32&lt;I33,"Below buffer",IF(I32&lt;I33*1.2,"Watch","OK"))</f>
        <v>OK</v>
      </c>
      <c r="J35" s="27" t="str">
        <f aca="false">IF(J32&lt;J33,"Below buffer",IF(J32&lt;J33*1.2,"Watch","OK"))</f>
        <v>OK</v>
      </c>
      <c r="K35" s="27" t="str">
        <f aca="false">IF(K32&lt;K33,"Below buffer",IF(K32&lt;K33*1.2,"Watch","OK"))</f>
        <v>Below buffer</v>
      </c>
      <c r="L35" s="27" t="str">
        <f aca="false">IF(L32&lt;L33,"Below buffer",IF(L32&lt;L33*1.2,"Watch","OK"))</f>
        <v>Watch</v>
      </c>
      <c r="M35" s="27" t="str">
        <f aca="false">IF(M32&lt;M33,"Below buffer",IF(M32&lt;M33*1.2,"Watch","OK"))</f>
        <v>Watch</v>
      </c>
      <c r="N35" s="27" t="str">
        <f aca="false">IF(N32&lt;N33,"Below buffer",IF(N32&lt;N33*1.2,"Watch","OK"))</f>
        <v>OK</v>
      </c>
      <c r="O35" s="27" t="str">
        <f aca="false">IF(O32&lt;O33,"Below buffer",IF(O32&lt;O33*1.2,"Watch","OK"))</f>
        <v>Watch</v>
      </c>
    </row>
    <row r="37" customFormat="false" ht="15" hidden="false" customHeight="false" outlineLevel="0" collapsed="false">
      <c r="B37" s="3" t="s">
        <v>73</v>
      </c>
    </row>
    <row r="38" customFormat="false" ht="15" hidden="false" customHeight="false" outlineLevel="0" collapsed="false">
      <c r="B38" s="7" t="s">
        <v>74</v>
      </c>
      <c r="C38" s="28" t="n">
        <f aca="false">MIN(C32:O32)</f>
        <v>472000</v>
      </c>
    </row>
    <row r="39" customFormat="false" ht="15" hidden="false" customHeight="false" outlineLevel="0" collapsed="false">
      <c r="B39" s="7" t="s">
        <v>75</v>
      </c>
      <c r="C39" s="26" t="str">
        <f aca="false">"Week "&amp;MATCH(MIN(C32:O32),C32:O32,0)</f>
        <v>Week 9</v>
      </c>
    </row>
    <row r="40" customFormat="false" ht="15" hidden="false" customHeight="false" outlineLevel="0" collapsed="false">
      <c r="B40" s="7" t="s">
        <v>76</v>
      </c>
      <c r="C40" s="29" t="n">
        <f aca="false">COUNTIF(C35:O35,"Below buffer")</f>
        <v>1</v>
      </c>
    </row>
    <row r="41" customFormat="false" ht="15" hidden="false" customHeight="false" outlineLevel="0" collapsed="false">
      <c r="B41" s="7" t="s">
        <v>77</v>
      </c>
      <c r="C41" s="28" t="n">
        <f aca="false">O32</f>
        <v>570000</v>
      </c>
    </row>
  </sheetData>
  <conditionalFormatting sqref="C35:O35">
    <cfRule type="cellIs" priority="2" operator="equal" aboveAverage="0" equalAverage="0" bottom="0" percent="0" rank="0" text="" dxfId="0">
      <formula>"Below buffer"</formula>
    </cfRule>
    <cfRule type="cellIs" priority="3" operator="equal" aboveAverage="0" equalAverage="0" bottom="0" percent="0" rank="0" text="" dxfId="1">
      <formula>"Watch"</formula>
    </cfRule>
    <cfRule type="cellIs" priority="4" operator="equal" aboveAverage="0" equalAverage="0" bottom="0" percent="0" rank="0" text="" dxfId="2">
      <formula>"OK"</formula>
    </cfRule>
  </conditionalFormatting>
  <conditionalFormatting sqref="C32:O32">
    <cfRule type="expression" priority="5" aboveAverage="0" equalAverage="0" bottom="0" percent="0" rank="0" text="" dxfId="3">
      <formula>C32&lt;C33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2026-10-26T18:07:18Z</dcterms:created>
  <dc:creator>openpyxl</dc:creator>
  <dc:description/>
  <dc:language>en-US</dc:language>
  <cp:lastModifiedBy/>
  <dcterms:modified xsi:type="dcterms:W3CDTF">2026-10-26T18:07:29Z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