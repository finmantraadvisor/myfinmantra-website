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Ratios" sheetId="2" state="visible" r:id="rId4"/>
    <sheet name="Inp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<sst xmlns="http://schemas.openxmlformats.org/spreadsheetml/2006/main" count="107" uniqueCount="104">
  <si>
    <t xml:space="preserve">MyFinMantra — Ratio Analysis (Schedule III)</t>
  </si>
  <si>
    <t xml:space="preserve">Client service format · Clear books. Confident business.</t>
  </si>
  <si>
    <t xml:space="preserve">Purpose</t>
  </si>
  <si>
    <t xml:space="preserve">Calculates the 11 ratios Schedule III requires companies to disclose, plus common management ratios, for two years — with the % change and a flag wherever the change exceeds 25%, which Schedule III requires you to explain.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</si>
  <si>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</si>
  <si>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</si>
  <si>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</si>
  <si>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</si>
  <si>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</si>
  <si>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</si>
  <si>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</si>
  <si>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</si>
  <si>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</si>
  <si>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'Inputs', enter balance sheet figures for three year-ends (needed for averages) and profit and loss figures for the current and previous year.</t>
  </si>
  <si>
    <t xml:space="preserve">Step 2</t>
  </si>
  <si>
    <t xml:space="preserve">Open 'Ratios'. Each ratio shows its formula, both years, the change and whether an explanation is needed.</t>
  </si>
  <si>
    <t xml:space="preserve">Step 3</t>
  </si>
  <si>
    <t xml:space="preserve">For every ratio flagged 'Explain', write the reason in the blue 'Reason for variance' column — this goes into the notes to accounts.</t>
  </si>
  <si>
    <t xml:space="preserve">Notes</t>
  </si>
  <si>
    <t xml:space="preserve">Turnover ratios use average balances (opening + closing ÷ 2).</t>
  </si>
  <si>
    <t xml:space="preserve">Debt Service Coverage = earnings available for debt service (PAT + depreciation + finance costs + other non-cash items) ÷ (finance costs + principal repayments).</t>
  </si>
  <si>
    <t xml:space="preserve">Return on investment is calculated on treasury investments: income from investments ÷ average investments. Adjust definitions to match your accounting policy and disclose them.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</si>
  <si>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</si>
  <si>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</si>
  <si>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</si>
  <si>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</si>
  <si>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Ratio analysis</t>
  </si>
  <si>
    <t xml:space="preserve">Schedule III ratios and management ratios</t>
  </si>
  <si>
    <t xml:space="preserve">Ratio</t>
  </si>
  <si>
    <t xml:space="preserve">FY 2025-26</t>
  </si>
  <si>
    <t xml:space="preserve">FY 2026-27</t>
  </si>
  <si>
    <t xml:space="preserve">Change %</t>
  </si>
  <si>
    <t xml:space="preserve">Explain?</t>
  </si>
  <si>
    <t xml:space="preserve">Reason for variance (if change &gt; 25%)</t>
  </si>
  <si>
    <t xml:space="preserve">Schedule III ratios</t>
  </si>
  <si>
    <t xml:space="preserve">Current ratio</t>
  </si>
  <si>
    <t xml:space="preserve">Current assets ÷ current liabilities</t>
  </si>
  <si>
    <t xml:space="preserve">Debt-equity ratio</t>
  </si>
  <si>
    <t xml:space="preserve">Total debt ÷ shareholders' equity</t>
  </si>
  <si>
    <t xml:space="preserve">Debt service coverage ratio</t>
  </si>
  <si>
    <t xml:space="preserve">(PAT + depreciation + finance costs + non-cash) ÷ (finance costs + principal repaid)</t>
  </si>
  <si>
    <t xml:space="preserve">Return on equity (ROE)</t>
  </si>
  <si>
    <t xml:space="preserve">(PAT − preference dividend) ÷ average shareholders' equity</t>
  </si>
  <si>
    <t xml:space="preserve">Inventory turnover ratio</t>
  </si>
  <si>
    <t xml:space="preserve">Cost of goods sold ÷ average inventory</t>
  </si>
  <si>
    <t xml:space="preserve">Trade receivables turnover ratio</t>
  </si>
  <si>
    <t xml:space="preserve">Net sales ÷ average trade receivables</t>
  </si>
  <si>
    <t xml:space="preserve">Trade payables turnover ratio</t>
  </si>
  <si>
    <t xml:space="preserve">Purchases ÷ average trade payables</t>
  </si>
  <si>
    <t xml:space="preserve">Net capital turnover ratio</t>
  </si>
  <si>
    <t xml:space="preserve">Net sales ÷ working capital (current assets − current liabilities)</t>
  </si>
  <si>
    <t xml:space="preserve">Net profit ratio</t>
  </si>
  <si>
    <t xml:space="preserve">PAT ÷ net sales</t>
  </si>
  <si>
    <t xml:space="preserve">Return on capital employed (ROCE)</t>
  </si>
  <si>
    <t xml:space="preserve">EBIT ÷ capital employed (equity + total debt + deferred tax liability)</t>
  </si>
  <si>
    <t xml:space="preserve">Return on investment</t>
  </si>
  <si>
    <t xml:space="preserve">Income from investments ÷ average investments</t>
  </si>
  <si>
    <t xml:space="preserve">Management ratios</t>
  </si>
  <si>
    <t xml:space="preserve">Quick ratio</t>
  </si>
  <si>
    <t xml:space="preserve">(Current assets − inventories) ÷ current liabilities</t>
  </si>
  <si>
    <t xml:space="preserve">Gross profit margin</t>
  </si>
  <si>
    <t xml:space="preserve">(Net sales − COGS) ÷ net sales</t>
  </si>
  <si>
    <t xml:space="preserve">EBITDA margin</t>
  </si>
  <si>
    <t xml:space="preserve">(EBIT + depreciation) ÷ net sales</t>
  </si>
  <si>
    <t xml:space="preserve">Interest coverage ratio</t>
  </si>
  <si>
    <t xml:space="preserve">EBIT ÷ finance costs</t>
  </si>
  <si>
    <t xml:space="preserve">Debtor days</t>
  </si>
  <si>
    <t xml:space="preserve">365 ÷ receivables turnover</t>
  </si>
  <si>
    <t xml:space="preserve">Inventory days</t>
  </si>
  <si>
    <t xml:space="preserve">365 ÷ inventory turnover</t>
  </si>
  <si>
    <t xml:space="preserve">Creditor days</t>
  </si>
  <si>
    <t xml:space="preserve">365 ÷ payables turnover</t>
  </si>
  <si>
    <t xml:space="preserve">Cash conversion cycle (days)</t>
  </si>
  <si>
    <t xml:space="preserve">Debtor days + inventory days − creditor days</t>
  </si>
  <si>
    <t xml:space="preserve">Return on assets</t>
  </si>
  <si>
    <t xml:space="preserve">PAT ÷ average total assets</t>
  </si>
  <si>
    <t xml:space="preserve">Inputs</t>
  </si>
  <si>
    <t xml:space="preserve">₹ — blue cells</t>
  </si>
  <si>
    <t xml:space="preserve">Balance sheet items</t>
  </si>
  <si>
    <t xml:space="preserve">31-Mar-2025</t>
  </si>
  <si>
    <t xml:space="preserve">31-Mar-2026</t>
  </si>
  <si>
    <t xml:space="preserve">31-Mar-2027</t>
  </si>
  <si>
    <t xml:space="preserve">Current assets</t>
  </si>
  <si>
    <t xml:space="preserve">Inventories</t>
  </si>
  <si>
    <t xml:space="preserve">Trade receivables</t>
  </si>
  <si>
    <t xml:space="preserve">Current liabilities</t>
  </si>
  <si>
    <t xml:space="preserve">Trade payables</t>
  </si>
  <si>
    <t xml:space="preserve">Total debt (long-term + short-term borrowings)</t>
  </si>
  <si>
    <t xml:space="preserve">Shareholders' equity (share capital + other equity)</t>
  </si>
  <si>
    <t xml:space="preserve">Current investments + non-current investments (treasury)</t>
  </si>
  <si>
    <t xml:space="preserve">Total assets</t>
  </si>
  <si>
    <t xml:space="preserve">Deferred tax liability</t>
  </si>
  <si>
    <t xml:space="preserve">Profit &amp; loss items</t>
  </si>
  <si>
    <t xml:space="preserve">Revenue from operations (net sales)</t>
  </si>
  <si>
    <t xml:space="preserve">Cost of goods sold</t>
  </si>
  <si>
    <t xml:space="preserve">Purchases</t>
  </si>
  <si>
    <t xml:space="preserve">Profit after tax</t>
  </si>
  <si>
    <t xml:space="preserve">Depreciation and amortisation</t>
  </si>
  <si>
    <t xml:space="preserve">Finance costs</t>
  </si>
  <si>
    <t xml:space="preserve">Tax expense</t>
  </si>
  <si>
    <t xml:space="preserve">Other non-cash expenses</t>
  </si>
  <si>
    <t xml:space="preserve">Principal repayments of borrowings in the year</t>
  </si>
  <si>
    <t xml:space="preserve">Income from investments</t>
  </si>
  <si>
    <t xml:space="preserve">Preference dividend (if any)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</si>
</sst>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x"/>
    <numFmt numFmtId="166" formatCode="0.0%;\-0.0%;\-"/>
    <numFmt numFmtId="167" formatCode="0"/>
    <numFmt numFmtId="168" formatCode="[&gt;=10000000]##\,##\,##\,##0;[&gt;=100000]##\,##\,##0;#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9"/>
      <color rgb="FF55666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DECEA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392B"/>
      </font>
      <fill>
        <patternFill>
          <bgColor rgb="FFFDEC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7D6"/>
      <rgbColor rgb="FFF4F7F6"/>
      <rgbColor rgb="FF660066"/>
      <rgbColor rgb="FFFF8080"/>
      <rgbColor rgb="FF0066CC"/>
      <rgbColor rgb="FFD7E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6A"/>
      <rgbColor rgb="FF999999"/>
      <rgbColor rgb="FF0F2E35"/>
      <rgbColor rgb="FF339966"/>
      <rgbColor rgb="FF003300"/>
      <rgbColor rgb="FF333300"/>
      <rgbColor rgb="FFC0392B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30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7" customFormat="false" ht="15" hidden="false" customHeight="false" outlineLevel="0" collapsed="false">
      <c r="B17" s="3" t="s">
        <v>18</v>
      </c>
    </row>
    <row r="18" customFormat="false" ht="15.75" hidden="false" customHeight="true" outlineLevel="0" collapsed="false">
      <c r="C18" s="11" t="s">
        <v>19</v>
      </c>
    </row>
    <row r="19" customFormat="false" ht="30" hidden="false" customHeight="true" outlineLevel="0" collapsed="false">
      <c r="C19" s="11" t="s">
        <v>20</v>
      </c>
    </row>
    <row r="20" customFormat="false" ht="30" hidden="false" customHeight="true" outlineLevel="0" collapsed="false">
      <c r="C20" s="11" t="s">
        <v>21</v>
      </c>
    </row>
    <row r="22" customFormat="false" ht="15" hidden="false" customHeight="false" outlineLevel="0" collapsed="false">
      <c r="B22" s="12" t="s">
        <v>22</v>
      </c>
    </row>
    <row r="24" customFormat="false" ht="15" hidden="false" customHeight="false" outlineLevel="0" collapsed="false">
      <c r="B24" s="3" t="s">
        <v>23</v>
      </c>
    </row>
    <row r="25" customFormat="false" ht="15" hidden="false" customHeight="false" outlineLevel="0" collapsed="false">
      <c r="B25" s="13" t="s">
        <v>24</v>
      </c>
    </row>
    <row r="26" customFormat="false" ht="15" hidden="false" customHeight="false" outlineLevel="0" collapsed="false">
      <c r="B26" s="14" t="s">
        <v>25</v>
      </c>
    </row>
  </sheetData>
  <hyperlinks>
    <hyperlink ref="B25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50"/>
  </cols>
  <sheetData>
    <row r="2" customFormat="false" ht="19.7" hidden="false" customHeight="false" outlineLevel="0" collapsed="false">
      <c r="B2" s="1" t="s">
        <v>26</v>
      </c>
    </row>
    <row r="3" customFormat="false" ht="15" hidden="false" customHeight="false" outlineLevel="0" collapsed="false">
      <c r="B3" s="2" t="s">
        <v>27</v>
      </c>
    </row>
    <row r="5" customFormat="false" ht="30" hidden="false" customHeight="true" outlineLevel="0" collapsed="false">
      <c r="B5" s="15" t="s">
        <v>28</v>
      </c>
      <c r="C5" s="16" t="s">
        <v>7</v>
      </c>
      <c r="D5" s="16" t="s">
        <v>29</v>
      </c>
      <c r="E5" s="16" t="s">
        <v>30</v>
      </c>
      <c r="F5" s="16" t="s">
        <v>31</v>
      </c>
      <c r="G5" s="16" t="s">
        <v>32</v>
      </c>
      <c r="H5" s="16" t="s">
        <v>33</v>
      </c>
    </row>
    <row r="6" customFormat="false" ht="15" hidden="false" customHeight="false" outlineLevel="0" collapsed="false">
      <c r="B6" s="3" t="s">
        <v>34</v>
      </c>
    </row>
    <row r="7" customFormat="false" ht="27.75" hidden="false" customHeight="true" outlineLevel="0" collapsed="false">
      <c r="B7" s="17" t="s">
        <v>35</v>
      </c>
      <c r="C7" s="18" t="s">
        <v>36</v>
      </c>
      <c r="D7" s="19" t="n">
        <f aca="false">IFERROR(Inputs!$D$6/Inputs!$D$9,"")</f>
        <v>1.78947368421053</v>
      </c>
      <c r="E7" s="19" t="n">
        <f aca="false">IFERROR(Inputs!$E$6/Inputs!$E$9,"")</f>
        <v>1.82478632478632</v>
      </c>
      <c r="F7" s="20" t="n">
        <f aca="false">IFERROR(IF(D7=0,"",(E7-D7)/ABS(D7)),"")</f>
        <v>0.0197335344394168</v>
      </c>
      <c r="G7" s="17" t="str">
        <f aca="false">IF(F7="","",IF(ABS(F7)&gt;0.25,"Explain","—"))</f>
        <v>—</v>
      </c>
      <c r="H7" s="21"/>
    </row>
    <row r="8" customFormat="false" ht="27.75" hidden="false" customHeight="true" outlineLevel="0" collapsed="false">
      <c r="B8" s="17" t="s">
        <v>37</v>
      </c>
      <c r="C8" s="18" t="s">
        <v>38</v>
      </c>
      <c r="D8" s="19" t="n">
        <f aca="false">IFERROR(Inputs!$D$11/Inputs!$D$12,"")</f>
        <v>0.676470588235294</v>
      </c>
      <c r="E8" s="19" t="n">
        <f aca="false">IFERROR(Inputs!$E$11/Inputs!$E$12,"")</f>
        <v>0.450733752620545</v>
      </c>
      <c r="F8" s="20" t="n">
        <f aca="false">IFERROR(IF(D8=0,"",(E8-D8)/ABS(D8)),"")</f>
        <v>-0.33369793090876</v>
      </c>
      <c r="G8" s="17" t="str">
        <f aca="false">IF(F8="","",IF(ABS(F8)&gt;0.25,"Explain","—"))</f>
        <v>Explain</v>
      </c>
      <c r="H8" s="21"/>
    </row>
    <row r="9" customFormat="false" ht="27.75" hidden="false" customHeight="true" outlineLevel="0" collapsed="false">
      <c r="B9" s="17" t="s">
        <v>39</v>
      </c>
      <c r="C9" s="18" t="s">
        <v>40</v>
      </c>
      <c r="D9" s="19" t="n">
        <f aca="false">IFERROR((Inputs!$D$22+Inputs!$D$23+Inputs!$D$24+Inputs!$D$26)/(Inputs!$D$24+Inputs!$D$27),"")</f>
        <v>2.77777777777778</v>
      </c>
      <c r="E9" s="19" t="n">
        <f aca="false">IFERROR((Inputs!$E$22+Inputs!$E$23+Inputs!$E$24+Inputs!$E$26)/(Inputs!$E$24+Inputs!$E$27),"")</f>
        <v>3.6078431372549</v>
      </c>
      <c r="F9" s="20" t="n">
        <f aca="false">IFERROR(IF(D9=0,"",(E9-D9)/ABS(D9)),"")</f>
        <v>0.298823529411765</v>
      </c>
      <c r="G9" s="17" t="str">
        <f aca="false">IF(F9="","",IF(ABS(F9)&gt;0.25,"Explain","—"))</f>
        <v>Explain</v>
      </c>
      <c r="H9" s="21"/>
    </row>
    <row r="10" customFormat="false" ht="27.75" hidden="false" customHeight="true" outlineLevel="0" collapsed="false">
      <c r="B10" s="17" t="s">
        <v>41</v>
      </c>
      <c r="C10" s="18" t="s">
        <v>42</v>
      </c>
      <c r="D10" s="20" t="n">
        <f aca="false">IFERROR((Inputs!$D$22-Inputs!$D$29)/((Inputs!$D$12+Inputs!$C$12)/2),"")</f>
        <v>0.28125</v>
      </c>
      <c r="E10" s="20" t="n">
        <f aca="false">IFERROR((Inputs!$E$22-Inputs!$E$29)/((Inputs!$E$12+Inputs!$D$12)/2),"")</f>
        <v>0.298653610771114</v>
      </c>
      <c r="F10" s="20" t="n">
        <f aca="false">IFERROR(IF(D10=0,"",(E10-D10)/ABS(D10)),"")</f>
        <v>0.0618795049639604</v>
      </c>
      <c r="G10" s="17" t="str">
        <f aca="false">IF(F10="","",IF(ABS(F10)&gt;0.25,"Explain","—"))</f>
        <v>—</v>
      </c>
      <c r="H10" s="21"/>
    </row>
    <row r="11" customFormat="false" ht="27.75" hidden="false" customHeight="true" outlineLevel="0" collapsed="false">
      <c r="B11" s="17" t="s">
        <v>43</v>
      </c>
      <c r="C11" s="18" t="s">
        <v>44</v>
      </c>
      <c r="D11" s="19" t="n">
        <f aca="false">IFERROR(Inputs!$D$20/((Inputs!$D$7+Inputs!$C$7)/2),"")</f>
        <v>5.33333333333333</v>
      </c>
      <c r="E11" s="19" t="n">
        <f aca="false">IFERROR(Inputs!$E$20/((Inputs!$E$7+Inputs!$D$7)/2),"")</f>
        <v>5.53191489361702</v>
      </c>
      <c r="F11" s="20" t="n">
        <f aca="false">IFERROR(IF(D11=0,"",(E11-D11)/ABS(D11)),"")</f>
        <v>0.0372340425531916</v>
      </c>
      <c r="G11" s="17" t="str">
        <f aca="false">IF(F11="","",IF(ABS(F11)&gt;0.25,"Explain","—"))</f>
        <v>—</v>
      </c>
      <c r="H11" s="21"/>
    </row>
    <row r="12" customFormat="false" ht="27.75" hidden="false" customHeight="true" outlineLevel="0" collapsed="false">
      <c r="B12" s="17" t="s">
        <v>45</v>
      </c>
      <c r="C12" s="18" t="s">
        <v>46</v>
      </c>
      <c r="D12" s="19" t="n">
        <f aca="false">IFERROR(Inputs!$D$19/((Inputs!$D$8+Inputs!$C$8)/2),"")</f>
        <v>6.87719298245614</v>
      </c>
      <c r="E12" s="19" t="n">
        <f aca="false">IFERROR(Inputs!$E$19/((Inputs!$E$8+Inputs!$D$8)/2),"")</f>
        <v>6.98795180722892</v>
      </c>
      <c r="F12" s="20" t="n">
        <f aca="false">IFERROR(IF(D12=0,"",(E12-D12)/ABS(D12)),"")</f>
        <v>0.0161052372756331</v>
      </c>
      <c r="G12" s="17" t="str">
        <f aca="false">IF(F12="","",IF(ABS(F12)&gt;0.25,"Explain","—"))</f>
        <v>—</v>
      </c>
      <c r="H12" s="21"/>
    </row>
    <row r="13" customFormat="false" ht="27.75" hidden="false" customHeight="true" outlineLevel="0" collapsed="false">
      <c r="B13" s="17" t="s">
        <v>47</v>
      </c>
      <c r="C13" s="18" t="s">
        <v>48</v>
      </c>
      <c r="D13" s="19" t="n">
        <f aca="false">IFERROR(Inputs!$D$21/((Inputs!$D$10+Inputs!$C$10)/2),"")</f>
        <v>6.62790697674419</v>
      </c>
      <c r="E13" s="19" t="n">
        <f aca="false">IFERROR(Inputs!$E$21/((Inputs!$E$10+Inputs!$D$10)/2),"")</f>
        <v>6.71717171717172</v>
      </c>
      <c r="F13" s="20" t="n">
        <f aca="false">IFERROR(IF(D13=0,"",(E13-D13)/ABS(D13)),"")</f>
        <v>0.0134680134680134</v>
      </c>
      <c r="G13" s="17" t="str">
        <f aca="false">IF(F13="","",IF(ABS(F13)&gt;0.25,"Explain","—"))</f>
        <v>—</v>
      </c>
      <c r="H13" s="21"/>
    </row>
    <row r="14" customFormat="false" ht="27.75" hidden="false" customHeight="true" outlineLevel="0" collapsed="false">
      <c r="B14" s="17" t="s">
        <v>49</v>
      </c>
      <c r="C14" s="18" t="s">
        <v>50</v>
      </c>
      <c r="D14" s="19" t="n">
        <f aca="false">IFERROR(Inputs!$D$19/(Inputs!$D$6-Inputs!$D$9),"")</f>
        <v>6.53333333333333</v>
      </c>
      <c r="E14" s="19" t="n">
        <f aca="false">IFERROR(Inputs!$E$19/(Inputs!$E$6-Inputs!$E$9),"")</f>
        <v>6.01036269430052</v>
      </c>
      <c r="F14" s="20" t="n">
        <f aca="false">IFERROR(IF(D14=0,"",(E14-D14)/ABS(D14)),"")</f>
        <v>-0.0800465263825737</v>
      </c>
      <c r="G14" s="17" t="str">
        <f aca="false">IF(F14="","",IF(ABS(F14)&gt;0.25,"Explain","—"))</f>
        <v>—</v>
      </c>
      <c r="H14" s="21"/>
    </row>
    <row r="15" customFormat="false" ht="27.75" hidden="false" customHeight="true" outlineLevel="0" collapsed="false">
      <c r="B15" s="17" t="s">
        <v>51</v>
      </c>
      <c r="C15" s="18" t="s">
        <v>52</v>
      </c>
      <c r="D15" s="20" t="n">
        <f aca="false">IFERROR(Inputs!$D$22/Inputs!$D$19,"")</f>
        <v>0.0918367346938776</v>
      </c>
      <c r="E15" s="20" t="n">
        <f aca="false">IFERROR(Inputs!$E$22/Inputs!$E$19,"")</f>
        <v>0.105172413793103</v>
      </c>
      <c r="F15" s="20" t="n">
        <f aca="false">IFERROR(IF(D15=0,"",(E15-D15)/ABS(D15)),"")</f>
        <v>0.145210727969349</v>
      </c>
      <c r="G15" s="17" t="str">
        <f aca="false">IF(F15="","",IF(ABS(F15)&gt;0.25,"Explain","—"))</f>
        <v>—</v>
      </c>
      <c r="H15" s="21"/>
    </row>
    <row r="16" customFormat="false" ht="27.75" hidden="false" customHeight="true" outlineLevel="0" collapsed="false">
      <c r="B16" s="17" t="s">
        <v>53</v>
      </c>
      <c r="C16" s="18" t="s">
        <v>54</v>
      </c>
      <c r="D16" s="20" t="n">
        <f aca="false">IFERROR((Inputs!$D$22+Inputs!$D$25+Inputs!$D$24)/(Inputs!$D$12+Inputs!$D$11+Inputs!$D$15),"")</f>
        <v>0.252631578947368</v>
      </c>
      <c r="E16" s="20" t="n">
        <f aca="false">IFERROR((Inputs!$E$22+Inputs!$E$25+Inputs!$E$24)/(Inputs!$E$12+Inputs!$E$11+Inputs!$E$15),"")</f>
        <v>0.26878612716763</v>
      </c>
      <c r="F16" s="20" t="n">
        <f aca="false">IFERROR(IF(D16=0,"",(E16-D16)/ABS(D16)),"")</f>
        <v>0.0639450867052023</v>
      </c>
      <c r="G16" s="17" t="str">
        <f aca="false">IF(F16="","",IF(ABS(F16)&gt;0.25,"Explain","—"))</f>
        <v>—</v>
      </c>
      <c r="H16" s="21"/>
    </row>
    <row r="17" customFormat="false" ht="27.75" hidden="false" customHeight="true" outlineLevel="0" collapsed="false">
      <c r="B17" s="17" t="s">
        <v>55</v>
      </c>
      <c r="C17" s="18" t="s">
        <v>56</v>
      </c>
      <c r="D17" s="20" t="n">
        <f aca="false">IFERROR(Inputs!$D$28/((Inputs!$D$13+Inputs!$C$13)/2),"")</f>
        <v>0.0622222222222222</v>
      </c>
      <c r="E17" s="20" t="n">
        <f aca="false">IFERROR(Inputs!$E$28/((Inputs!$E$13+Inputs!$D$13)/2),"")</f>
        <v>0.0583333333333333</v>
      </c>
      <c r="F17" s="20" t="n">
        <f aca="false">IFERROR(IF(D17=0,"",(E17-D17)/ABS(D17)),"")</f>
        <v>-0.0625</v>
      </c>
      <c r="G17" s="17" t="str">
        <f aca="false">IF(F17="","",IF(ABS(F17)&gt;0.25,"Explain","—"))</f>
        <v>—</v>
      </c>
      <c r="H17" s="21"/>
    </row>
    <row r="18" customFormat="false" ht="15" hidden="false" customHeight="false" outlineLevel="0" collapsed="false">
      <c r="B18" s="3" t="s">
        <v>57</v>
      </c>
    </row>
    <row r="19" customFormat="false" ht="27.75" hidden="false" customHeight="true" outlineLevel="0" collapsed="false">
      <c r="B19" s="17" t="s">
        <v>58</v>
      </c>
      <c r="C19" s="18" t="s">
        <v>59</v>
      </c>
      <c r="D19" s="19" t="n">
        <f aca="false">IFERROR((Inputs!$D$6-Inputs!$D$7)/Inputs!$D$9,"")</f>
        <v>1.21052631578947</v>
      </c>
      <c r="E19" s="19" t="n">
        <f aca="false">IFERROR((Inputs!$E$6-Inputs!$E$7)/Inputs!$E$9,"")</f>
        <v>1.29059829059829</v>
      </c>
      <c r="F19" s="20" t="n">
        <f aca="false">IFERROR(IF(D19=0,"",(E19-D19)/ABS(D19)),"")</f>
        <v>0.066146413972501</v>
      </c>
      <c r="G19" s="22"/>
      <c r="H19" s="22"/>
    </row>
    <row r="20" customFormat="false" ht="27.75" hidden="false" customHeight="true" outlineLevel="0" collapsed="false">
      <c r="B20" s="17" t="s">
        <v>60</v>
      </c>
      <c r="C20" s="18" t="s">
        <v>61</v>
      </c>
      <c r="D20" s="20" t="n">
        <f aca="false">IFERROR((Inputs!$D$19-Inputs!$D$20)/Inputs!$D$19,"")</f>
        <v>0.428571428571429</v>
      </c>
      <c r="E20" s="20" t="n">
        <f aca="false">IFERROR((Inputs!$E$19-Inputs!$E$20)/Inputs!$E$19,"")</f>
        <v>0.439655172413793</v>
      </c>
      <c r="F20" s="20" t="n">
        <f aca="false">IFERROR(IF(D20=0,"",(E20-D20)/ABS(D20)),"")</f>
        <v>0.0258620689655173</v>
      </c>
      <c r="G20" s="22"/>
      <c r="H20" s="22"/>
    </row>
    <row r="21" customFormat="false" ht="27.75" hidden="false" customHeight="true" outlineLevel="0" collapsed="false">
      <c r="B21" s="17" t="s">
        <v>62</v>
      </c>
      <c r="C21" s="18" t="s">
        <v>63</v>
      </c>
      <c r="D21" s="20" t="n">
        <f aca="false">IFERROR(((Inputs!$D$22+Inputs!$D$25+Inputs!$D$24)+Inputs!$D$23)/Inputs!$D$19,"")</f>
        <v>0.183673469387755</v>
      </c>
      <c r="E21" s="20" t="n">
        <f aca="false">IFERROR(((Inputs!$E$22+Inputs!$E$25+Inputs!$E$24)+Inputs!$E$23)/Inputs!$E$19,"")</f>
        <v>0.195689655172414</v>
      </c>
      <c r="F21" s="20" t="n">
        <f aca="false">IFERROR(IF(D21=0,"",(E21-D21)/ABS(D21)),"")</f>
        <v>0.0654214559386973</v>
      </c>
      <c r="G21" s="22"/>
      <c r="H21" s="22"/>
    </row>
    <row r="22" customFormat="false" ht="27.75" hidden="false" customHeight="true" outlineLevel="0" collapsed="false">
      <c r="B22" s="17" t="s">
        <v>64</v>
      </c>
      <c r="C22" s="18" t="s">
        <v>65</v>
      </c>
      <c r="D22" s="19" t="n">
        <f aca="false">IFERROR((Inputs!$D$22+Inputs!$D$25+Inputs!$D$24)/Inputs!$D$24,"")</f>
        <v>6</v>
      </c>
      <c r="E22" s="19" t="n">
        <f aca="false">IFERROR((Inputs!$E$22+Inputs!$E$25+Inputs!$E$24)/Inputs!$E$24,"")</f>
        <v>8.85714285714286</v>
      </c>
      <c r="F22" s="20" t="n">
        <f aca="false">IFERROR(IF(D22=0,"",(E22-D22)/ABS(D22)),"")</f>
        <v>0.476190476190476</v>
      </c>
      <c r="G22" s="22"/>
      <c r="H22" s="22"/>
    </row>
    <row r="23" customFormat="false" ht="27.75" hidden="false" customHeight="true" outlineLevel="0" collapsed="false">
      <c r="B23" s="17" t="s">
        <v>66</v>
      </c>
      <c r="C23" s="18" t="s">
        <v>67</v>
      </c>
      <c r="D23" s="23" t="n">
        <f aca="false">IFERROR(365/(Inputs!$D$19/((Inputs!$D$8+Inputs!$C$8)/2)),"")</f>
        <v>53.0739795918367</v>
      </c>
      <c r="E23" s="23" t="n">
        <f aca="false">IFERROR(365/(Inputs!$E$19/((Inputs!$E$8+Inputs!$D$8)/2)),"")</f>
        <v>52.2327586206897</v>
      </c>
      <c r="F23" s="20" t="n">
        <f aca="false">IFERROR(IF(D23=0,"",(E23-D23)/ABS(D23)),"")</f>
        <v>-0.015849969751966</v>
      </c>
      <c r="G23" s="22"/>
      <c r="H23" s="22"/>
    </row>
    <row r="24" customFormat="false" ht="27.75" hidden="false" customHeight="true" outlineLevel="0" collapsed="false">
      <c r="B24" s="17" t="s">
        <v>68</v>
      </c>
      <c r="C24" s="18" t="s">
        <v>69</v>
      </c>
      <c r="D24" s="23" t="n">
        <f aca="false">IFERROR(365/(Inputs!$D$20/((Inputs!$D$7+Inputs!$C$7)/2)),"")</f>
        <v>68.4375</v>
      </c>
      <c r="E24" s="23" t="n">
        <f aca="false">IFERROR(365/(Inputs!$E$20/((Inputs!$E$7+Inputs!$D$7)/2)),"")</f>
        <v>65.9807692307692</v>
      </c>
      <c r="F24" s="20" t="n">
        <f aca="false">IFERROR(IF(D24=0,"",(E24-D24)/ABS(D24)),"")</f>
        <v>-0.035897435897436</v>
      </c>
      <c r="G24" s="22"/>
      <c r="H24" s="22"/>
    </row>
    <row r="25" customFormat="false" ht="27.75" hidden="false" customHeight="true" outlineLevel="0" collapsed="false">
      <c r="B25" s="17" t="s">
        <v>70</v>
      </c>
      <c r="C25" s="18" t="s">
        <v>71</v>
      </c>
      <c r="D25" s="23" t="n">
        <f aca="false">IFERROR(365/(Inputs!$D$21/((Inputs!$D$10+Inputs!$C$10)/2)),"")</f>
        <v>55.0701754385965</v>
      </c>
      <c r="E25" s="23" t="n">
        <f aca="false">IFERROR(365/(Inputs!$E$21/((Inputs!$E$10+Inputs!$D$10)/2)),"")</f>
        <v>54.3383458646617</v>
      </c>
      <c r="F25" s="20" t="n">
        <f aca="false">IFERROR(IF(D25=0,"",(E25-D25)/ABS(D25)),"")</f>
        <v>-0.0132890365448504</v>
      </c>
      <c r="G25" s="22"/>
      <c r="H25" s="22"/>
    </row>
    <row r="26" customFormat="false" ht="27.75" hidden="false" customHeight="true" outlineLevel="0" collapsed="false">
      <c r="B26" s="17" t="s">
        <v>72</v>
      </c>
      <c r="C26" s="18" t="s">
        <v>73</v>
      </c>
      <c r="D26" s="23" t="n">
        <f aca="false">IFERROR(D23+D24-D25,"")</f>
        <v>66.4413041532403</v>
      </c>
      <c r="E26" s="23" t="n">
        <f aca="false">IFERROR(E23+E24-E25,"")</f>
        <v>63.8751819867972</v>
      </c>
      <c r="F26" s="20" t="n">
        <f aca="false">IFERROR(IF(D26=0,"",(E26-D26)/ABS(D26)),"")</f>
        <v>-0.0386223930903663</v>
      </c>
      <c r="G26" s="22"/>
      <c r="H26" s="22"/>
    </row>
    <row r="27" customFormat="false" ht="27.75" hidden="false" customHeight="true" outlineLevel="0" collapsed="false">
      <c r="B27" s="17" t="s">
        <v>74</v>
      </c>
      <c r="C27" s="18" t="s">
        <v>75</v>
      </c>
      <c r="D27" s="20" t="n">
        <f aca="false">IFERROR(Inputs!$D$22/((Inputs!$D$14+Inputs!$C$14)/2),"")</f>
        <v>0.120805369127517</v>
      </c>
      <c r="E27" s="20" t="n">
        <f aca="false">IFERROR(Inputs!$E$22/((Inputs!$E$14+Inputs!$D$14)/2),"")</f>
        <v>0.144721233689205</v>
      </c>
      <c r="F27" s="20" t="n">
        <f aca="false">IFERROR(IF(D27=0,"",(E27-D27)/ABS(D27)),"")</f>
        <v>0.197970212205088</v>
      </c>
      <c r="G27" s="22"/>
      <c r="H27" s="22"/>
    </row>
  </sheetData>
  <conditionalFormatting sqref="G6:G40">
    <cfRule type="cellIs" priority="2" operator="equal" aboveAverage="0" equalAverage="0" bottom="0" percent="0" rank="0" text="" dxfId="0">
      <formula>"Explain"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5"/>
  </cols>
  <sheetData>
    <row r="2" customFormat="false" ht="19.7" hidden="false" customHeight="false" outlineLevel="0" collapsed="false">
      <c r="B2" s="1" t="s">
        <v>76</v>
      </c>
    </row>
    <row r="3" customFormat="false" ht="15" hidden="false" customHeight="false" outlineLevel="0" collapsed="false">
      <c r="B3" s="2" t="s">
        <v>77</v>
      </c>
    </row>
    <row r="5" customFormat="false" ht="30" hidden="false" customHeight="true" outlineLevel="0" collapsed="false">
      <c r="B5" s="15" t="s">
        <v>78</v>
      </c>
      <c r="C5" s="16" t="s">
        <v>79</v>
      </c>
      <c r="D5" s="16" t="s">
        <v>80</v>
      </c>
      <c r="E5" s="16" t="s">
        <v>81</v>
      </c>
    </row>
    <row r="6" customFormat="false" ht="15" hidden="false" customHeight="false" outlineLevel="0" collapsed="false">
      <c r="B6" s="24" t="s">
        <v>82</v>
      </c>
      <c r="C6" s="25" t="n">
        <v>3100000</v>
      </c>
      <c r="D6" s="25" t="n">
        <v>3400000</v>
      </c>
      <c r="E6" s="25" t="n">
        <v>4270000</v>
      </c>
    </row>
    <row r="7" customFormat="false" ht="15" hidden="false" customHeight="false" outlineLevel="0" collapsed="false">
      <c r="B7" s="24" t="s">
        <v>83</v>
      </c>
      <c r="C7" s="25" t="n">
        <v>1000000</v>
      </c>
      <c r="D7" s="25" t="n">
        <v>1100000</v>
      </c>
      <c r="E7" s="25" t="n">
        <v>1250000</v>
      </c>
    </row>
    <row r="8" customFormat="false" ht="15" hidden="false" customHeight="false" outlineLevel="0" collapsed="false">
      <c r="B8" s="24" t="s">
        <v>84</v>
      </c>
      <c r="C8" s="25" t="n">
        <v>1350000</v>
      </c>
      <c r="D8" s="25" t="n">
        <v>1500000</v>
      </c>
      <c r="E8" s="25" t="n">
        <v>1820000</v>
      </c>
    </row>
    <row r="9" customFormat="false" ht="15" hidden="false" customHeight="false" outlineLevel="0" collapsed="false">
      <c r="B9" s="24" t="s">
        <v>85</v>
      </c>
      <c r="C9" s="25" t="n">
        <v>1700000</v>
      </c>
      <c r="D9" s="25" t="n">
        <v>1900000</v>
      </c>
      <c r="E9" s="25" t="n">
        <v>2340000</v>
      </c>
    </row>
    <row r="10" customFormat="false" ht="15" hidden="false" customHeight="false" outlineLevel="0" collapsed="false">
      <c r="B10" s="24" t="s">
        <v>86</v>
      </c>
      <c r="C10" s="25" t="n">
        <v>820000</v>
      </c>
      <c r="D10" s="25" t="n">
        <v>900000</v>
      </c>
      <c r="E10" s="25" t="n">
        <v>1080000</v>
      </c>
    </row>
    <row r="11" customFormat="false" ht="15" hidden="false" customHeight="false" outlineLevel="0" collapsed="false">
      <c r="B11" s="24" t="s">
        <v>87</v>
      </c>
      <c r="C11" s="25" t="n">
        <v>2600000</v>
      </c>
      <c r="D11" s="25" t="n">
        <v>2300000</v>
      </c>
      <c r="E11" s="25" t="n">
        <v>2150000</v>
      </c>
    </row>
    <row r="12" customFormat="false" ht="15" hidden="false" customHeight="false" outlineLevel="0" collapsed="false">
      <c r="B12" s="24" t="s">
        <v>88</v>
      </c>
      <c r="C12" s="25" t="n">
        <v>3000000</v>
      </c>
      <c r="D12" s="25" t="n">
        <v>3400000</v>
      </c>
      <c r="E12" s="25" t="n">
        <v>4770000</v>
      </c>
    </row>
    <row r="13" customFormat="false" ht="15" hidden="false" customHeight="false" outlineLevel="0" collapsed="false">
      <c r="B13" s="24" t="s">
        <v>89</v>
      </c>
      <c r="C13" s="25" t="n">
        <v>400000</v>
      </c>
      <c r="D13" s="25" t="n">
        <v>500000</v>
      </c>
      <c r="E13" s="25" t="n">
        <v>700000</v>
      </c>
    </row>
    <row r="14" customFormat="false" ht="15" hidden="false" customHeight="false" outlineLevel="0" collapsed="false">
      <c r="B14" s="24" t="s">
        <v>90</v>
      </c>
      <c r="C14" s="25" t="n">
        <v>7300000</v>
      </c>
      <c r="D14" s="25" t="n">
        <v>7600000</v>
      </c>
      <c r="E14" s="25" t="n">
        <v>9260000</v>
      </c>
    </row>
    <row r="15" customFormat="false" ht="15" hidden="false" customHeight="false" outlineLevel="0" collapsed="false">
      <c r="B15" s="24" t="s">
        <v>91</v>
      </c>
      <c r="C15" s="25" t="n">
        <v>0</v>
      </c>
      <c r="D15" s="25" t="n">
        <v>0</v>
      </c>
      <c r="E15" s="25" t="n">
        <v>0</v>
      </c>
    </row>
    <row r="18" customFormat="false" ht="30" hidden="false" customHeight="true" outlineLevel="0" collapsed="false">
      <c r="B18" s="15" t="s">
        <v>92</v>
      </c>
      <c r="C18" s="16"/>
      <c r="D18" s="16" t="s">
        <v>29</v>
      </c>
      <c r="E18" s="16" t="s">
        <v>30</v>
      </c>
    </row>
    <row r="19" customFormat="false" ht="15" hidden="false" customHeight="false" outlineLevel="0" collapsed="false">
      <c r="B19" s="24" t="s">
        <v>93</v>
      </c>
      <c r="C19" s="26"/>
      <c r="D19" s="25" t="n">
        <v>9800000</v>
      </c>
      <c r="E19" s="25" t="n">
        <v>11600000</v>
      </c>
    </row>
    <row r="20" customFormat="false" ht="15" hidden="false" customHeight="false" outlineLevel="0" collapsed="false">
      <c r="B20" s="24" t="s">
        <v>94</v>
      </c>
      <c r="C20" s="26"/>
      <c r="D20" s="25" t="n">
        <v>5600000</v>
      </c>
      <c r="E20" s="25" t="n">
        <v>6500000</v>
      </c>
    </row>
    <row r="21" customFormat="false" ht="15" hidden="false" customHeight="false" outlineLevel="0" collapsed="false">
      <c r="B21" s="24" t="s">
        <v>95</v>
      </c>
      <c r="C21" s="26"/>
      <c r="D21" s="25" t="n">
        <v>5700000</v>
      </c>
      <c r="E21" s="25" t="n">
        <v>6650000</v>
      </c>
    </row>
    <row r="22" customFormat="false" ht="15" hidden="false" customHeight="false" outlineLevel="0" collapsed="false">
      <c r="B22" s="24" t="s">
        <v>96</v>
      </c>
      <c r="C22" s="26"/>
      <c r="D22" s="25" t="n">
        <v>900000</v>
      </c>
      <c r="E22" s="25" t="n">
        <v>1220000</v>
      </c>
    </row>
    <row r="23" customFormat="false" ht="15" hidden="false" customHeight="false" outlineLevel="0" collapsed="false">
      <c r="B23" s="24" t="s">
        <v>97</v>
      </c>
      <c r="C23" s="26"/>
      <c r="D23" s="25" t="n">
        <v>360000</v>
      </c>
      <c r="E23" s="25" t="n">
        <v>410000</v>
      </c>
    </row>
    <row r="24" customFormat="false" ht="15" hidden="false" customHeight="false" outlineLevel="0" collapsed="false">
      <c r="B24" s="24" t="s">
        <v>98</v>
      </c>
      <c r="C24" s="26"/>
      <c r="D24" s="25" t="n">
        <v>240000</v>
      </c>
      <c r="E24" s="25" t="n">
        <v>210000</v>
      </c>
    </row>
    <row r="25" customFormat="false" ht="15" hidden="false" customHeight="false" outlineLevel="0" collapsed="false">
      <c r="B25" s="24" t="s">
        <v>99</v>
      </c>
      <c r="C25" s="26"/>
      <c r="D25" s="25" t="n">
        <v>300000</v>
      </c>
      <c r="E25" s="25" t="n">
        <v>430000</v>
      </c>
    </row>
    <row r="26" customFormat="false" ht="15" hidden="false" customHeight="false" outlineLevel="0" collapsed="false">
      <c r="B26" s="24" t="s">
        <v>100</v>
      </c>
      <c r="C26" s="26"/>
      <c r="D26" s="25" t="n">
        <v>0</v>
      </c>
      <c r="E26" s="25" t="n">
        <v>0</v>
      </c>
    </row>
    <row r="27" customFormat="false" ht="15" hidden="false" customHeight="false" outlineLevel="0" collapsed="false">
      <c r="B27" s="24" t="s">
        <v>101</v>
      </c>
      <c r="C27" s="26"/>
      <c r="D27" s="25" t="n">
        <v>300000</v>
      </c>
      <c r="E27" s="25" t="n">
        <v>300000</v>
      </c>
    </row>
    <row r="28" customFormat="false" ht="15" hidden="false" customHeight="false" outlineLevel="0" collapsed="false">
      <c r="B28" s="24" t="s">
        <v>102</v>
      </c>
      <c r="C28" s="26"/>
      <c r="D28" s="25" t="n">
        <v>28000</v>
      </c>
      <c r="E28" s="25" t="n">
        <v>35000</v>
      </c>
    </row>
    <row r="29" customFormat="false" ht="15" hidden="false" customHeight="false" outlineLevel="0" collapsed="false">
      <c r="B29" s="24" t="s">
        <v>103</v>
      </c>
      <c r="C29" s="26"/>
      <c r="D29" s="25" t="n">
        <v>0</v>
      </c>
      <c r="E29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2026-10-26T18:06:14Z</dcterms:created>
  <dc:creator>openpyxl</dc:creator>
  <dc:description/>
  <dc:language>en-US</dc:language>
  <cp:lastModifiedBy/>
  <dcterms:modified xsi:type="dcterms:W3CDTF">2026-10-26T18:06:14Z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