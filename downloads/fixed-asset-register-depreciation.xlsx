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Asset Register" sheetId="2" state="visible" r:id="rId4"/>
    <sheet name="Summary" sheetId="3" state="visible" r:id="rId5"/>
    <sheet name="IT Depreciation" sheetId="4" state="visible" r:id="rId6"/>
    <sheet name="Sett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<sst xmlns="http://schemas.openxmlformats.org/spreadsheetml/2006/main" count="151" uniqueCount="121">
  <si>
    <t xml:space="preserve">MyFinMantra — Fixed Asset Register &amp; Depreciation</t>
  </si>
  <si>
    <t xml:space="preserve">Client service format · Clear books. Confident business.</t>
  </si>
  <si>
    <t xml:space="preserve">Purpose</t>
  </si>
  <si>
    <t xml:space="preserve">A fixed asset register with depreciation under the Companies Act, 2013 (Schedule II, straight-line or written-down value, pro-rata by days) and a block-wise Income-tax depreciation schedule (half rate for assets used under 180 days), linked to the same asset list.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</si>
  <si>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</si>
  <si>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</si>
  <si>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</si>
  <si>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</si>
  <si>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</si>
  <si>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</si>
  <si>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</si>
  <si>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</si>
  <si>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</si>
  <si>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'Settings', set the company name and the financial year start and end dates.</t>
  </si>
  <si>
    <t xml:space="preserve">Step 2</t>
  </si>
  <si>
    <t xml:space="preserve">On 'Asset Register', add each asset: class, purchase and put-to-use dates, cost, method and Income-tax block. Useful life fills in from Schedule II (you can override it).</t>
  </si>
  <si>
    <t xml:space="preserve">Step 3</t>
  </si>
  <si>
    <t xml:space="preserve">For assets bought in earlier years, enter accumulated depreciation up to the start of the year (from last year's register).</t>
  </si>
  <si>
    <t xml:space="preserve">Step 4</t>
  </si>
  <si>
    <t xml:space="preserve">For assets sold or scrapped this year, enter the disposal date and sale value; the profit or loss on sale calculates.</t>
  </si>
  <si>
    <t xml:space="preserve">Step 5</t>
  </si>
  <si>
    <t xml:space="preserve">On 'IT Depreciation', enter each block's opening WDV. Additions and sales flow from the register automatically.</t>
  </si>
  <si>
    <t xml:space="preserve">Notes</t>
  </si>
  <si>
    <t xml:space="preserve">Companies Act: residual value 5% of cost by default; WDV rate = 1 − (residual ÷ cost)^(1 ÷ useful life). Depreciation is pro-rata for days used in the year and stops at residual value.</t>
  </si>
  <si>
    <t xml:space="preserve">Income-tax: 180-day test on the put-to-use date; additional depreciation, section 115BAA restrictions and block-specific rules are not modelled — adjust manually if they apply.</t>
  </si>
  <si>
    <t xml:space="preserve">Useful lives and rates are as commonly applied under Schedule II and the Income-tax rules; verify for your asset class.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</si>
  <si>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</si>
  <si>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</si>
  <si>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</si>
  <si>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</si>
  <si>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Fixed asset register — Companies Act depreciation</t>
  </si>
  <si>
    <t xml:space="preserve">Asset ID</t>
  </si>
  <si>
    <t xml:space="preserve">Description</t>
  </si>
  <si>
    <t xml:space="preserve">Asset class (Schedule II)</t>
  </si>
  <si>
    <t xml:space="preserve">Location</t>
  </si>
  <si>
    <t xml:space="preserve">Purchase date</t>
  </si>
  <si>
    <t xml:space="preserve">Put-to-use date</t>
  </si>
  <si>
    <t xml:space="preserve">Cost (₹)</t>
  </si>
  <si>
    <t xml:space="preserve">Residual %</t>
  </si>
  <si>
    <t xml:space="preserve">Useful life (yrs)</t>
  </si>
  <si>
    <t xml:space="preserve">Life override</t>
  </si>
  <si>
    <t xml:space="preserve">Method</t>
  </si>
  <si>
    <t xml:space="preserve">IT block</t>
  </si>
  <si>
    <t xml:space="preserve">Acc. dep. at FY start (₹)</t>
  </si>
  <si>
    <t xml:space="preserve">Disposal date</t>
  </si>
  <si>
    <t xml:space="preserve">Sale value (₹)</t>
  </si>
  <si>
    <t xml:space="preserve">Opening gross</t>
  </si>
  <si>
    <t xml:space="preserve">Additions</t>
  </si>
  <si>
    <t xml:space="preserve">Opening NBV</t>
  </si>
  <si>
    <t xml:space="preserve">Days used in FY</t>
  </si>
  <si>
    <t xml:space="preserve">WDV rate</t>
  </si>
  <si>
    <t xml:space="preserve">Depreciation for FY</t>
  </si>
  <si>
    <t xml:space="preserve">Gross on disposal</t>
  </si>
  <si>
    <t xml:space="preserve">Acc. dep. on disposal</t>
  </si>
  <si>
    <t xml:space="preserve">Closing gross</t>
  </si>
  <si>
    <t xml:space="preserve">Closing acc. dep.</t>
  </si>
  <si>
    <t xml:space="preserve">Closing NBV</t>
  </si>
  <si>
    <t xml:space="preserve">Profit / (loss) on sale</t>
  </si>
  <si>
    <t xml:space="preserve">IT: used &lt; 180 days?</t>
  </si>
  <si>
    <t xml:space="preserve">FA-001</t>
  </si>
  <si>
    <t xml:space="preserve">Office laptop — Dell</t>
  </si>
  <si>
    <t xml:space="preserve">Computers — end-user devices (desktops, laptops)</t>
  </si>
  <si>
    <t xml:space="preserve">Gurugram</t>
  </si>
  <si>
    <t xml:space="preserve">SLM</t>
  </si>
  <si>
    <t xml:space="preserve">Computers &amp; software</t>
  </si>
  <si>
    <t xml:space="preserve">FA-002</t>
  </si>
  <si>
    <t xml:space="preserve">Office furniture</t>
  </si>
  <si>
    <t xml:space="preserve">Furniture &amp; fittings</t>
  </si>
  <si>
    <t xml:space="preserve">WDV</t>
  </si>
  <si>
    <t xml:space="preserve">FA-003</t>
  </si>
  <si>
    <t xml:space="preserve">Server rack</t>
  </si>
  <si>
    <t xml:space="preserve">Computers — servers &amp; networks</t>
  </si>
  <si>
    <t xml:space="preserve">FA-004</t>
  </si>
  <si>
    <t xml:space="preserve">Car — Maruti Ciaz</t>
  </si>
  <si>
    <t xml:space="preserve">Motor cars</t>
  </si>
  <si>
    <t xml:space="preserve">Motor cars (not for hire)</t>
  </si>
  <si>
    <t xml:space="preserve">FA-005</t>
  </si>
  <si>
    <t xml:space="preserve">Old printer</t>
  </si>
  <si>
    <t xml:space="preserve">Office equipment</t>
  </si>
  <si>
    <t xml:space="preserve">Plant &amp; machinery — general</t>
  </si>
  <si>
    <t xml:space="preserve">Total</t>
  </si>
  <si>
    <t xml:space="preserve">Class-wise summary (Companies Act)</t>
  </si>
  <si>
    <t xml:space="preserve">Ready for the PPE note in the financial statements</t>
  </si>
  <si>
    <t xml:space="preserve">Asset class</t>
  </si>
  <si>
    <t xml:space="preserve">Disposals</t>
  </si>
  <si>
    <t xml:space="preserve">Opening acc. dep.</t>
  </si>
  <si>
    <t xml:space="preserve">Dep. for year</t>
  </si>
  <si>
    <t xml:space="preserve">On disposals</t>
  </si>
  <si>
    <t xml:space="preserve">Check: closing NBV agrees to register (should be 0)</t>
  </si>
  <si>
    <t xml:space="preserve">Income-tax depreciation — block of assets</t>
  </si>
  <si>
    <t xml:space="preserve">Opening WDV is an input; additions and sales flow from the register</t>
  </si>
  <si>
    <t xml:space="preserve">Block</t>
  </si>
  <si>
    <t xml:space="preserve">Rate</t>
  </si>
  <si>
    <t xml:space="preserve">Opening WDV</t>
  </si>
  <si>
    <t xml:space="preserve">Additions ≥ 180 days</t>
  </si>
  <si>
    <t xml:space="preserve">Additions &lt; 180 days</t>
  </si>
  <si>
    <t xml:space="preserve">Sale proceeds</t>
  </si>
  <si>
    <t xml:space="preserve">WDV before dep.</t>
  </si>
  <si>
    <t xml:space="preserve">Depreciation</t>
  </si>
  <si>
    <t xml:space="preserve">Closing WDV</t>
  </si>
  <si>
    <t xml:space="preserve">If sale proceeds exceed the block's WDV (or the block becomes empty), short-term capital gains rules apply — review manually.</t>
  </si>
  <si>
    <t xml:space="preserve">Settings</t>
  </si>
  <si>
    <t xml:space="preserve">Company name</t>
  </si>
  <si>
    <t xml:space="preserve">Sample Industries Pvt Ltd</t>
  </si>
  <si>
    <t xml:space="preserve">Financial year start</t>
  </si>
  <si>
    <t xml:space="preserve">Financial year end</t>
  </si>
  <si>
    <t xml:space="preserve">Default residual value (% of cost)</t>
  </si>
  <si>
    <t xml:space="preserve">Days in year</t>
  </si>
  <si>
    <t xml:space="preserve">Schedule II useful lives (Companies Act)</t>
  </si>
  <si>
    <t xml:space="preserve">Income-tax blocks</t>
  </si>
  <si>
    <t xml:space="preserve">Useful life (years)</t>
  </si>
  <si>
    <t xml:space="preserve">Buildings (other than factory) — RCC frame</t>
  </si>
  <si>
    <t xml:space="preserve">Building — residential</t>
  </si>
  <si>
    <t xml:space="preserve">Buildings — non-RCC frame</t>
  </si>
  <si>
    <t xml:space="preserve">Building — other</t>
  </si>
  <si>
    <t xml:space="preserve">Factory buildings</t>
  </si>
  <si>
    <t xml:space="preserve">Intangible assets</t>
  </si>
  <si>
    <t xml:space="preserve">Electrical installations &amp; equipment</t>
  </si>
  <si>
    <t xml:space="preserve">Motor cycles &amp; scooters</t>
  </si>
  <si>
    <t xml:space="preserve">Laboratory equipment</t>
  </si>
  <si>
    <t xml:space="preserve">Computer software (intangible)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</si>
</sst>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[&gt;=10000000]##\,##\,##\,##0;[&gt;=100000]##\,##\,##0;##,##0"/>
    <numFmt numFmtId="167" formatCode="0.0%;\-0.0%;\-"/>
    <numFmt numFmtId="168" formatCode="0"/>
    <numFmt numFmtId="169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1B465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5666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4F7F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F4F7F6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6A"/>
      <rgbColor rgb="FF999999"/>
      <rgbColor rgb="FF0F2E35"/>
      <rgbColor rgb="FF339966"/>
      <rgbColor rgb="FF003300"/>
      <rgbColor rgb="FF333300"/>
      <rgbColor rgb="FFB45309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15.75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30" hidden="false" customHeight="true" outlineLevel="0" collapsed="false">
      <c r="B16" s="9" t="s">
        <v>18</v>
      </c>
      <c r="C16" s="10" t="s">
        <v>19</v>
      </c>
    </row>
    <row r="17" customFormat="false" ht="30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1" customFormat="false" ht="30" hidden="false" customHeight="true" outlineLevel="0" collapsed="false">
      <c r="C21" s="11" t="s">
        <v>24</v>
      </c>
    </row>
    <row r="22" customFormat="false" ht="30" hidden="false" customHeight="true" outlineLevel="0" collapsed="false">
      <c r="C22" s="11" t="s">
        <v>25</v>
      </c>
    </row>
    <row r="24" customFormat="false" ht="15" hidden="false" customHeight="false" outlineLevel="0" collapsed="false">
      <c r="B24" s="12" t="s">
        <v>26</v>
      </c>
    </row>
    <row r="26" customFormat="false" ht="15" hidden="false" customHeight="false" outlineLevel="0" collapsed="false">
      <c r="B26" s="3" t="s">
        <v>27</v>
      </c>
    </row>
    <row r="27" customFormat="false" ht="15" hidden="false" customHeight="false" outlineLevel="0" collapsed="false">
      <c r="B27" s="13" t="s">
        <v>28</v>
      </c>
    </row>
    <row r="28" customFormat="false" ht="15" hidden="false" customHeight="false" outlineLevel="0" collapsed="false">
      <c r="B28" s="14" t="s">
        <v>29</v>
      </c>
    </row>
  </sheetData>
  <hyperlinks>
    <hyperlink ref="B27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C1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9" min="17" style="0" width="12"/>
    <col collapsed="false" customWidth="true" hidden="false" outlineLevel="0" max="21" min="20" style="0" width="8"/>
    <col collapsed="false" customWidth="true" hidden="false" outlineLevel="0" max="28" min="22" style="0" width="12"/>
    <col collapsed="false" customWidth="true" hidden="false" outlineLevel="0" max="29" min="29" style="0" width="9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15" t="str">
        <f aca="false">Settings!$C$5&amp;"  ·  FY "&amp;TEXT(Settings!$C$6,"dd-mmm-yy")&amp;" to "&amp;TEXT(Settings!$C$7,"dd-mmm-yy")</f>
        <v>Sample Industries Pvt Ltd  ·  FY 01-Apr-26 to 31-Mar-27</v>
      </c>
    </row>
    <row r="5" customFormat="false" ht="43.5" hidden="false" customHeight="true" outlineLevel="0" collapsed="false">
      <c r="B5" s="16" t="s">
        <v>31</v>
      </c>
      <c r="C5" s="17" t="s">
        <v>32</v>
      </c>
      <c r="D5" s="17" t="s">
        <v>33</v>
      </c>
      <c r="E5" s="17" t="s">
        <v>34</v>
      </c>
      <c r="F5" s="17" t="s">
        <v>35</v>
      </c>
      <c r="G5" s="17" t="s">
        <v>36</v>
      </c>
      <c r="H5" s="17" t="s">
        <v>37</v>
      </c>
      <c r="I5" s="17" t="s">
        <v>38</v>
      </c>
      <c r="J5" s="17" t="s">
        <v>39</v>
      </c>
      <c r="K5" s="17" t="s">
        <v>40</v>
      </c>
      <c r="L5" s="17" t="s">
        <v>41</v>
      </c>
      <c r="M5" s="17" t="s">
        <v>42</v>
      </c>
      <c r="N5" s="17" t="s">
        <v>43</v>
      </c>
      <c r="O5" s="17" t="s">
        <v>44</v>
      </c>
      <c r="P5" s="17" t="s">
        <v>45</v>
      </c>
      <c r="Q5" s="17" t="s">
        <v>46</v>
      </c>
      <c r="R5" s="17" t="s">
        <v>47</v>
      </c>
      <c r="S5" s="17" t="s">
        <v>48</v>
      </c>
      <c r="T5" s="17" t="s">
        <v>49</v>
      </c>
      <c r="U5" s="17" t="s">
        <v>50</v>
      </c>
      <c r="V5" s="17" t="s">
        <v>51</v>
      </c>
      <c r="W5" s="17" t="s">
        <v>52</v>
      </c>
      <c r="X5" s="17" t="s">
        <v>53</v>
      </c>
      <c r="Y5" s="17" t="s">
        <v>54</v>
      </c>
      <c r="Z5" s="17" t="s">
        <v>55</v>
      </c>
      <c r="AA5" s="17" t="s">
        <v>56</v>
      </c>
      <c r="AB5" s="17" t="s">
        <v>57</v>
      </c>
      <c r="AC5" s="17" t="s">
        <v>58</v>
      </c>
    </row>
    <row r="6" customFormat="false" ht="15" hidden="false" customHeight="false" outlineLevel="0" collapsed="false">
      <c r="B6" s="5" t="s">
        <v>59</v>
      </c>
      <c r="C6" s="5" t="s">
        <v>60</v>
      </c>
      <c r="D6" s="5" t="s">
        <v>61</v>
      </c>
      <c r="E6" s="5" t="s">
        <v>62</v>
      </c>
      <c r="F6" s="18" t="n">
        <v>45453</v>
      </c>
      <c r="G6" s="18" t="n">
        <v>45455</v>
      </c>
      <c r="H6" s="19" t="n">
        <v>85000</v>
      </c>
      <c r="I6" s="20"/>
      <c r="J6" s="21" t="n">
        <f aca="false">IF(B6="","",IF(K6&lt;&gt;"",K6,IFERROR(INDEX(Settings!$C$14:$C$31,MATCH(D6,Settings!$B$14:$B$31,0)),"")))</f>
        <v>3</v>
      </c>
      <c r="K6" s="22"/>
      <c r="L6" s="5" t="s">
        <v>63</v>
      </c>
      <c r="M6" s="5" t="s">
        <v>64</v>
      </c>
      <c r="N6" s="19" t="n">
        <v>48524</v>
      </c>
      <c r="O6" s="18"/>
      <c r="P6" s="19"/>
      <c r="Q6" s="23" t="n">
        <f aca="false">IF(B6="","",IF(G6&lt;Settings!$C$6,H6,0))</f>
        <v>85000</v>
      </c>
      <c r="R6" s="23" t="n">
        <f aca="false">IF(B6="","",IF(AND(G6&gt;=Settings!$C$6,G6&lt;=Settings!$C$7),H6,0))</f>
        <v>0</v>
      </c>
      <c r="S6" s="23" t="n">
        <f aca="false">IF(B6="","",Q6-N(N6))</f>
        <v>36476</v>
      </c>
      <c r="T6" s="21" t="n">
        <f aca="false">IF(B6="","",MAX(0,MIN(Settings!$C$7,IF(AND(O6&lt;&gt;"",O6&lt;=Settings!$C$7),O6-1,Settings!$C$7))-MAX(Settings!$C$6,G6)+1))</f>
        <v>365</v>
      </c>
      <c r="U6" s="24" t="n">
        <f aca="false">IF(OR(B6="",J6=""),"",1-(IF(I6="",Settings!$C$8,I6))^(1/J6))</f>
        <v>0.631596850135961</v>
      </c>
      <c r="V6" s="23" t="n">
        <f aca="false">IF(OR(B6="",J6=""),"",ROUND(MAX(0,MIN(IF(L6="WDV",(S6+R6)*U6,H6*(1-IF(I6="",Settings!$C$8,I6))/J6)*T6/Settings!$C$9,(S6+R6)-H6*IF(I6="",Settings!$C$8,I6))),0))</f>
        <v>26917</v>
      </c>
      <c r="W6" s="23" t="n">
        <f aca="false">IF(B6="","",IF(AND(O6&lt;&gt;"",O6&gt;=Settings!$C$6,O6&lt;=Settings!$C$7),H6,0))</f>
        <v>0</v>
      </c>
      <c r="X6" s="23" t="n">
        <f aca="false">IF(B6="","",IF(W6&gt;0,N(N6)+V6,0))</f>
        <v>0</v>
      </c>
      <c r="Y6" s="23" t="n">
        <f aca="false">IF(B6="","",Q6+R6-W6)</f>
        <v>85000</v>
      </c>
      <c r="Z6" s="23" t="n">
        <f aca="false">IF(B6="","",N(N6)+N(V6)-X6)</f>
        <v>75441</v>
      </c>
      <c r="AA6" s="25" t="n">
        <f aca="false">IF(B6="","",Y6-Z6)</f>
        <v>9559</v>
      </c>
      <c r="AB6" s="23" t="n">
        <f aca="false">IF(B6="","",IF(W6&gt;0,N(P6)-(W6-X6),0))</f>
        <v>0</v>
      </c>
      <c r="AC6" s="7" t="str">
        <f aca="false">IF(B6="","",IF(AND(R6&gt;0,Settings!$C$7-G6+1&lt;180),"Yes","No"))</f>
        <v>No</v>
      </c>
    </row>
    <row r="7" customFormat="false" ht="15" hidden="false" customHeight="false" outlineLevel="0" collapsed="false">
      <c r="B7" s="5" t="s">
        <v>65</v>
      </c>
      <c r="C7" s="5" t="s">
        <v>66</v>
      </c>
      <c r="D7" s="5" t="s">
        <v>67</v>
      </c>
      <c r="E7" s="5" t="s">
        <v>62</v>
      </c>
      <c r="F7" s="18" t="n">
        <v>45767</v>
      </c>
      <c r="G7" s="18" t="n">
        <v>45772</v>
      </c>
      <c r="H7" s="19" t="n">
        <v>240000</v>
      </c>
      <c r="I7" s="20"/>
      <c r="J7" s="21" t="n">
        <f aca="false">IF(B7="","",IF(K7&lt;&gt;"",K7,IFERROR(INDEX(Settings!$C$14:$C$31,MATCH(D7,Settings!$B$14:$B$31,0)),"")))</f>
        <v>10</v>
      </c>
      <c r="K7" s="22"/>
      <c r="L7" s="5" t="s">
        <v>68</v>
      </c>
      <c r="M7" s="5" t="s">
        <v>67</v>
      </c>
      <c r="N7" s="19" t="n">
        <v>58050</v>
      </c>
      <c r="O7" s="18"/>
      <c r="P7" s="19"/>
      <c r="Q7" s="23" t="n">
        <f aca="false">IF(B7="","",IF(G7&lt;Settings!$C$6,H7,0))</f>
        <v>240000</v>
      </c>
      <c r="R7" s="23" t="n">
        <f aca="false">IF(B7="","",IF(AND(G7&gt;=Settings!$C$6,G7&lt;=Settings!$C$7),H7,0))</f>
        <v>0</v>
      </c>
      <c r="S7" s="23" t="n">
        <f aca="false">IF(B7="","",Q7-N(N7))</f>
        <v>181950</v>
      </c>
      <c r="T7" s="21" t="n">
        <f aca="false">IF(B7="","",MAX(0,MIN(Settings!$C$7,IF(AND(O7&lt;&gt;"",O7&lt;=Settings!$C$7),O7-1,Settings!$C$7))-MAX(Settings!$C$6,G7)+1))</f>
        <v>365</v>
      </c>
      <c r="U7" s="24" t="n">
        <f aca="false">IF(OR(B7="",J7=""),"",1-(IF(I7="",Settings!$C$8,I7))^(1/J7))</f>
        <v>0.258865550893052</v>
      </c>
      <c r="V7" s="23" t="n">
        <f aca="false">IF(OR(B7="",J7=""),"",ROUND(MAX(0,MIN(IF(L7="WDV",(S7+R7)*U7,H7*(1-IF(I7="",Settings!$C$8,I7))/J7)*T7/Settings!$C$9,(S7+R7)-H7*IF(I7="",Settings!$C$8,I7))),0))</f>
        <v>47101</v>
      </c>
      <c r="W7" s="23" t="n">
        <f aca="false">IF(B7="","",IF(AND(O7&lt;&gt;"",O7&gt;=Settings!$C$6,O7&lt;=Settings!$C$7),H7,0))</f>
        <v>0</v>
      </c>
      <c r="X7" s="23" t="n">
        <f aca="false">IF(B7="","",IF(W7&gt;0,N(N7)+V7,0))</f>
        <v>0</v>
      </c>
      <c r="Y7" s="23" t="n">
        <f aca="false">IF(B7="","",Q7+R7-W7)</f>
        <v>240000</v>
      </c>
      <c r="Z7" s="23" t="n">
        <f aca="false">IF(B7="","",N(N7)+N(V7)-X7)</f>
        <v>105151</v>
      </c>
      <c r="AA7" s="25" t="n">
        <f aca="false">IF(B7="","",Y7-Z7)</f>
        <v>134849</v>
      </c>
      <c r="AB7" s="23" t="n">
        <f aca="false">IF(B7="","",IF(W7&gt;0,N(P7)-(W7-X7),0))</f>
        <v>0</v>
      </c>
      <c r="AC7" s="7" t="str">
        <f aca="false">IF(B7="","",IF(AND(R7&gt;0,Settings!$C$7-G7+1&lt;180),"Yes","No"))</f>
        <v>No</v>
      </c>
    </row>
    <row r="8" customFormat="false" ht="15" hidden="false" customHeight="false" outlineLevel="0" collapsed="false">
      <c r="B8" s="5" t="s">
        <v>69</v>
      </c>
      <c r="C8" s="5" t="s">
        <v>70</v>
      </c>
      <c r="D8" s="5" t="s">
        <v>71</v>
      </c>
      <c r="E8" s="5" t="s">
        <v>62</v>
      </c>
      <c r="F8" s="18" t="n">
        <v>46204</v>
      </c>
      <c r="G8" s="18" t="n">
        <v>46218</v>
      </c>
      <c r="H8" s="19" t="n">
        <v>320000</v>
      </c>
      <c r="I8" s="20"/>
      <c r="J8" s="21" t="n">
        <f aca="false">IF(B8="","",IF(K8&lt;&gt;"",K8,IFERROR(INDEX(Settings!$C$14:$C$31,MATCH(D8,Settings!$B$14:$B$31,0)),"")))</f>
        <v>6</v>
      </c>
      <c r="K8" s="22"/>
      <c r="L8" s="5" t="s">
        <v>63</v>
      </c>
      <c r="M8" s="5" t="s">
        <v>64</v>
      </c>
      <c r="N8" s="19" t="n">
        <v>0</v>
      </c>
      <c r="O8" s="18"/>
      <c r="P8" s="19"/>
      <c r="Q8" s="23" t="n">
        <f aca="false">IF(B8="","",IF(G8&lt;Settings!$C$6,H8,0))</f>
        <v>0</v>
      </c>
      <c r="R8" s="23" t="n">
        <f aca="false">IF(B8="","",IF(AND(G8&gt;=Settings!$C$6,G8&lt;=Settings!$C$7),H8,0))</f>
        <v>320000</v>
      </c>
      <c r="S8" s="23" t="n">
        <f aca="false">IF(B8="","",Q8-N(N8))</f>
        <v>0</v>
      </c>
      <c r="T8" s="21" t="n">
        <f aca="false">IF(B8="","",MAX(0,MIN(Settings!$C$7,IF(AND(O8&lt;&gt;"",O8&lt;=Settings!$C$7),O8-1,Settings!$C$7))-MAX(Settings!$C$6,G8)+1))</f>
        <v>260</v>
      </c>
      <c r="U8" s="24" t="n">
        <f aca="false">IF(OR(B8="",J8=""),"",1-(IF(I8="",Settings!$C$8,I8))^(1/J8))</f>
        <v>0.393037768997083</v>
      </c>
      <c r="V8" s="23" t="n">
        <f aca="false">IF(OR(B8="",J8=""),"",ROUND(MAX(0,MIN(IF(L8="WDV",(S8+R8)*U8,H8*(1-IF(I8="",Settings!$C$8,I8))/J8)*T8/Settings!$C$9,(S8+R8)-H8*IF(I8="",Settings!$C$8,I8))),0))</f>
        <v>36091</v>
      </c>
      <c r="W8" s="23" t="n">
        <f aca="false">IF(B8="","",IF(AND(O8&lt;&gt;"",O8&gt;=Settings!$C$6,O8&lt;=Settings!$C$7),H8,0))</f>
        <v>0</v>
      </c>
      <c r="X8" s="23" t="n">
        <f aca="false">IF(B8="","",IF(W8&gt;0,N(N8)+V8,0))</f>
        <v>0</v>
      </c>
      <c r="Y8" s="23" t="n">
        <f aca="false">IF(B8="","",Q8+R8-W8)</f>
        <v>320000</v>
      </c>
      <c r="Z8" s="23" t="n">
        <f aca="false">IF(B8="","",N(N8)+N(V8)-X8)</f>
        <v>36091</v>
      </c>
      <c r="AA8" s="25" t="n">
        <f aca="false">IF(B8="","",Y8-Z8)</f>
        <v>283909</v>
      </c>
      <c r="AB8" s="23" t="n">
        <f aca="false">IF(B8="","",IF(W8&gt;0,N(P8)-(W8-X8),0))</f>
        <v>0</v>
      </c>
      <c r="AC8" s="7" t="str">
        <f aca="false">IF(B8="","",IF(AND(R8&gt;0,Settings!$C$7-G8+1&lt;180),"Yes","No"))</f>
        <v>No</v>
      </c>
    </row>
    <row r="9" customFormat="false" ht="15" hidden="false" customHeight="false" outlineLevel="0" collapsed="false">
      <c r="B9" s="5" t="s">
        <v>72</v>
      </c>
      <c r="C9" s="5" t="s">
        <v>73</v>
      </c>
      <c r="D9" s="5" t="s">
        <v>74</v>
      </c>
      <c r="E9" s="5" t="s">
        <v>62</v>
      </c>
      <c r="F9" s="18" t="n">
        <v>46346</v>
      </c>
      <c r="G9" s="18" t="n">
        <v>46348</v>
      </c>
      <c r="H9" s="19" t="n">
        <v>1050000</v>
      </c>
      <c r="I9" s="20"/>
      <c r="J9" s="21" t="n">
        <f aca="false">IF(B9="","",IF(K9&lt;&gt;"",K9,IFERROR(INDEX(Settings!$C$14:$C$31,MATCH(D9,Settings!$B$14:$B$31,0)),"")))</f>
        <v>8</v>
      </c>
      <c r="K9" s="22"/>
      <c r="L9" s="5" t="s">
        <v>68</v>
      </c>
      <c r="M9" s="5" t="s">
        <v>75</v>
      </c>
      <c r="N9" s="19" t="n">
        <v>0</v>
      </c>
      <c r="O9" s="18"/>
      <c r="P9" s="19"/>
      <c r="Q9" s="23" t="n">
        <f aca="false">IF(B9="","",IF(G9&lt;Settings!$C$6,H9,0))</f>
        <v>0</v>
      </c>
      <c r="R9" s="23" t="n">
        <f aca="false">IF(B9="","",IF(AND(G9&gt;=Settings!$C$6,G9&lt;=Settings!$C$7),H9,0))</f>
        <v>1050000</v>
      </c>
      <c r="S9" s="23" t="n">
        <f aca="false">IF(B9="","",Q9-N(N9))</f>
        <v>0</v>
      </c>
      <c r="T9" s="21" t="n">
        <f aca="false">IF(B9="","",MAX(0,MIN(Settings!$C$7,IF(AND(O9&lt;&gt;"",O9&lt;=Settings!$C$7),O9-1,Settings!$C$7))-MAX(Settings!$C$6,G9)+1))</f>
        <v>130</v>
      </c>
      <c r="U9" s="24" t="n">
        <f aca="false">IF(OR(B9="",J9=""),"",1-(IF(I9="",Settings!$C$8,I9))^(1/J9))</f>
        <v>0.312343978066368</v>
      </c>
      <c r="V9" s="23" t="n">
        <f aca="false">IF(OR(B9="",J9=""),"",ROUND(MAX(0,MIN(IF(L9="WDV",(S9+R9)*U9,H9*(1-IF(I9="",Settings!$C$8,I9))/J9)*T9/Settings!$C$9,(S9+R9)-H9*IF(I9="",Settings!$C$8,I9))),0))</f>
        <v>116808</v>
      </c>
      <c r="W9" s="23" t="n">
        <f aca="false">IF(B9="","",IF(AND(O9&lt;&gt;"",O9&gt;=Settings!$C$6,O9&lt;=Settings!$C$7),H9,0))</f>
        <v>0</v>
      </c>
      <c r="X9" s="23" t="n">
        <f aca="false">IF(B9="","",IF(W9&gt;0,N(N9)+V9,0))</f>
        <v>0</v>
      </c>
      <c r="Y9" s="23" t="n">
        <f aca="false">IF(B9="","",Q9+R9-W9)</f>
        <v>1050000</v>
      </c>
      <c r="Z9" s="23" t="n">
        <f aca="false">IF(B9="","",N(N9)+N(V9)-X9)</f>
        <v>116808</v>
      </c>
      <c r="AA9" s="25" t="n">
        <f aca="false">IF(B9="","",Y9-Z9)</f>
        <v>933192</v>
      </c>
      <c r="AB9" s="23" t="n">
        <f aca="false">IF(B9="","",IF(W9&gt;0,N(P9)-(W9-X9),0))</f>
        <v>0</v>
      </c>
      <c r="AC9" s="7" t="str">
        <f aca="false">IF(B9="","",IF(AND(R9&gt;0,Settings!$C$7-G9+1&lt;180),"Yes","No"))</f>
        <v>Yes</v>
      </c>
    </row>
    <row r="10" customFormat="false" ht="15" hidden="false" customHeight="false" outlineLevel="0" collapsed="false">
      <c r="B10" s="5" t="s">
        <v>76</v>
      </c>
      <c r="C10" s="5" t="s">
        <v>77</v>
      </c>
      <c r="D10" s="5" t="s">
        <v>78</v>
      </c>
      <c r="E10" s="5" t="s">
        <v>62</v>
      </c>
      <c r="F10" s="18" t="n">
        <v>44682</v>
      </c>
      <c r="G10" s="18" t="n">
        <v>44682</v>
      </c>
      <c r="H10" s="19" t="n">
        <v>45000</v>
      </c>
      <c r="I10" s="20"/>
      <c r="J10" s="21" t="n">
        <f aca="false">IF(B10="","",IF(K10&lt;&gt;"",K10,IFERROR(INDEX(Settings!$C$14:$C$31,MATCH(D10,Settings!$B$14:$B$31,0)),"")))</f>
        <v>5</v>
      </c>
      <c r="K10" s="22"/>
      <c r="L10" s="5" t="s">
        <v>63</v>
      </c>
      <c r="M10" s="5" t="s">
        <v>79</v>
      </c>
      <c r="N10" s="19" t="n">
        <v>33500</v>
      </c>
      <c r="O10" s="18" t="n">
        <v>46295</v>
      </c>
      <c r="P10" s="19" t="n">
        <v>6000</v>
      </c>
      <c r="Q10" s="23" t="n">
        <f aca="false">IF(B10="","",IF(G10&lt;Settings!$C$6,H10,0))</f>
        <v>45000</v>
      </c>
      <c r="R10" s="23" t="n">
        <f aca="false">IF(B10="","",IF(AND(G10&gt;=Settings!$C$6,G10&lt;=Settings!$C$7),H10,0))</f>
        <v>0</v>
      </c>
      <c r="S10" s="23" t="n">
        <f aca="false">IF(B10="","",Q10-N(N10))</f>
        <v>11500</v>
      </c>
      <c r="T10" s="21" t="n">
        <f aca="false">IF(B10="","",MAX(0,MIN(Settings!$C$7,IF(AND(O10&lt;&gt;"",O10&lt;=Settings!$C$7),O10-1,Settings!$C$7))-MAX(Settings!$C$6,G10)+1))</f>
        <v>182</v>
      </c>
      <c r="U10" s="24" t="n">
        <f aca="false">IF(OR(B10="",J10=""),"",1-(IF(I10="",Settings!$C$8,I10))^(1/J10))</f>
        <v>0.450719728346941</v>
      </c>
      <c r="V10" s="23" t="n">
        <f aca="false">IF(OR(B10="",J10=""),"",ROUND(MAX(0,MIN(IF(L10="WDV",(S10+R10)*U10,H10*(1-IF(I10="",Settings!$C$8,I10))/J10)*T10/Settings!$C$9,(S10+R10)-H10*IF(I10="",Settings!$C$8,I10))),0))</f>
        <v>4263</v>
      </c>
      <c r="W10" s="23" t="n">
        <f aca="false">IF(B10="","",IF(AND(O10&lt;&gt;"",O10&gt;=Settings!$C$6,O10&lt;=Settings!$C$7),H10,0))</f>
        <v>45000</v>
      </c>
      <c r="X10" s="23" t="n">
        <f aca="false">IF(B10="","",IF(W10&gt;0,N(N10)+V10,0))</f>
        <v>37763</v>
      </c>
      <c r="Y10" s="23" t="n">
        <f aca="false">IF(B10="","",Q10+R10-W10)</f>
        <v>0</v>
      </c>
      <c r="Z10" s="23" t="n">
        <f aca="false">IF(B10="","",N(N10)+N(V10)-X10)</f>
        <v>0</v>
      </c>
      <c r="AA10" s="25" t="n">
        <f aca="false">IF(B10="","",Y10-Z10)</f>
        <v>0</v>
      </c>
      <c r="AB10" s="23" t="n">
        <f aca="false">IF(B10="","",IF(W10&gt;0,N(P10)-(W10-X10),0))</f>
        <v>-1237</v>
      </c>
      <c r="AC10" s="7" t="str">
        <f aca="false">IF(B10="","",IF(AND(R10&gt;0,Settings!$C$7-G10+1&lt;180),"Yes","No"))</f>
        <v>No</v>
      </c>
    </row>
    <row r="11" customFormat="false" ht="15" hidden="false" customHeight="false" outlineLevel="0" collapsed="false">
      <c r="B11" s="5"/>
      <c r="C11" s="5"/>
      <c r="D11" s="5"/>
      <c r="E11" s="5"/>
      <c r="F11" s="18"/>
      <c r="G11" s="18"/>
      <c r="H11" s="19"/>
      <c r="I11" s="20"/>
      <c r="J11" s="21" t="str">
        <f aca="false">IF(B11="","",IF(K11&lt;&gt;"",K11,IFERROR(INDEX(Settings!$C$14:$C$31,MATCH(D11,Settings!$B$14:$B$31,0)),"")))</f>
        <v/>
      </c>
      <c r="K11" s="22"/>
      <c r="L11" s="5"/>
      <c r="M11" s="5"/>
      <c r="N11" s="19"/>
      <c r="O11" s="18"/>
      <c r="P11" s="19"/>
      <c r="Q11" s="23" t="str">
        <f aca="false">IF(B11="","",IF(G11&lt;Settings!$C$6,H11,0))</f>
        <v/>
      </c>
      <c r="R11" s="23" t="str">
        <f aca="false">IF(B11="","",IF(AND(G11&gt;=Settings!$C$6,G11&lt;=Settings!$C$7),H11,0))</f>
        <v/>
      </c>
      <c r="S11" s="23" t="str">
        <f aca="false">IF(B11="","",Q11-N(N11))</f>
        <v/>
      </c>
      <c r="T11" s="21" t="str">
        <f aca="false">IF(B11="","",MAX(0,MIN(Settings!$C$7,IF(AND(O11&lt;&gt;"",O11&lt;=Settings!$C$7),O11-1,Settings!$C$7))-MAX(Settings!$C$6,G11)+1))</f>
        <v/>
      </c>
      <c r="U11" s="24" t="str">
        <f aca="false">IF(OR(B11="",J11=""),"",1-(IF(I11="",Settings!$C$8,I11))^(1/J11))</f>
        <v/>
      </c>
      <c r="V11" s="23" t="str">
        <f aca="false">IF(OR(B11="",J11=""),"",ROUND(MAX(0,MIN(IF(L11="WDV",(S11+R11)*U11,H11*(1-IF(I11="",Settings!$C$8,I11))/J11)*T11/Settings!$C$9,(S11+R11)-H11*IF(I11="",Settings!$C$8,I11))),0))</f>
        <v/>
      </c>
      <c r="W11" s="23" t="str">
        <f aca="false">IF(B11="","",IF(AND(O11&lt;&gt;"",O11&gt;=Settings!$C$6,O11&lt;=Settings!$C$7),H11,0))</f>
        <v/>
      </c>
      <c r="X11" s="23" t="str">
        <f aca="false">IF(B11="","",IF(W11&gt;0,N(N11)+V11,0))</f>
        <v/>
      </c>
      <c r="Y11" s="23" t="str">
        <f aca="false">IF(B11="","",Q11+R11-W11)</f>
        <v/>
      </c>
      <c r="Z11" s="23" t="str">
        <f aca="false">IF(B11="","",N(N11)+N(V11)-X11)</f>
        <v/>
      </c>
      <c r="AA11" s="25" t="str">
        <f aca="false">IF(B11="","",Y11-Z11)</f>
        <v/>
      </c>
      <c r="AB11" s="23" t="str">
        <f aca="false">IF(B11="","",IF(W11&gt;0,N(P11)-(W11-X11),0))</f>
        <v/>
      </c>
      <c r="AC11" s="7" t="str">
        <f aca="false">IF(B11="","",IF(AND(R11&gt;0,Settings!$C$7-G11+1&lt;180),"Yes","No"))</f>
        <v/>
      </c>
    </row>
    <row r="12" customFormat="false" ht="15" hidden="false" customHeight="false" outlineLevel="0" collapsed="false">
      <c r="B12" s="5"/>
      <c r="C12" s="5"/>
      <c r="D12" s="5"/>
      <c r="E12" s="5"/>
      <c r="F12" s="18"/>
      <c r="G12" s="18"/>
      <c r="H12" s="19"/>
      <c r="I12" s="20"/>
      <c r="J12" s="21" t="str">
        <f aca="false">IF(B12="","",IF(K12&lt;&gt;"",K12,IFERROR(INDEX(Settings!$C$14:$C$31,MATCH(D12,Settings!$B$14:$B$31,0)),"")))</f>
        <v/>
      </c>
      <c r="K12" s="22"/>
      <c r="L12" s="5"/>
      <c r="M12" s="5"/>
      <c r="N12" s="19"/>
      <c r="O12" s="18"/>
      <c r="P12" s="19"/>
      <c r="Q12" s="23" t="str">
        <f aca="false">IF(B12="","",IF(G12&lt;Settings!$C$6,H12,0))</f>
        <v/>
      </c>
      <c r="R12" s="23" t="str">
        <f aca="false">IF(B12="","",IF(AND(G12&gt;=Settings!$C$6,G12&lt;=Settings!$C$7),H12,0))</f>
        <v/>
      </c>
      <c r="S12" s="23" t="str">
        <f aca="false">IF(B12="","",Q12-N(N12))</f>
        <v/>
      </c>
      <c r="T12" s="21" t="str">
        <f aca="false">IF(B12="","",MAX(0,MIN(Settings!$C$7,IF(AND(O12&lt;&gt;"",O12&lt;=Settings!$C$7),O12-1,Settings!$C$7))-MAX(Settings!$C$6,G12)+1))</f>
        <v/>
      </c>
      <c r="U12" s="24" t="str">
        <f aca="false">IF(OR(B12="",J12=""),"",1-(IF(I12="",Settings!$C$8,I12))^(1/J12))</f>
        <v/>
      </c>
      <c r="V12" s="23" t="str">
        <f aca="false">IF(OR(B12="",J12=""),"",ROUND(MAX(0,MIN(IF(L12="WDV",(S12+R12)*U12,H12*(1-IF(I12="",Settings!$C$8,I12))/J12)*T12/Settings!$C$9,(S12+R12)-H12*IF(I12="",Settings!$C$8,I12))),0))</f>
        <v/>
      </c>
      <c r="W12" s="23" t="str">
        <f aca="false">IF(B12="","",IF(AND(O12&lt;&gt;"",O12&gt;=Settings!$C$6,O12&lt;=Settings!$C$7),H12,0))</f>
        <v/>
      </c>
      <c r="X12" s="23" t="str">
        <f aca="false">IF(B12="","",IF(W12&gt;0,N(N12)+V12,0))</f>
        <v/>
      </c>
      <c r="Y12" s="23" t="str">
        <f aca="false">IF(B12="","",Q12+R12-W12)</f>
        <v/>
      </c>
      <c r="Z12" s="23" t="str">
        <f aca="false">IF(B12="","",N(N12)+N(V12)-X12)</f>
        <v/>
      </c>
      <c r="AA12" s="25" t="str">
        <f aca="false">IF(B12="","",Y12-Z12)</f>
        <v/>
      </c>
      <c r="AB12" s="23" t="str">
        <f aca="false">IF(B12="","",IF(W12&gt;0,N(P12)-(W12-X12),0))</f>
        <v/>
      </c>
      <c r="AC12" s="7" t="str">
        <f aca="false">IF(B12="","",IF(AND(R12&gt;0,Settings!$C$7-G12+1&lt;180),"Yes","No"))</f>
        <v/>
      </c>
    </row>
    <row r="13" customFormat="false" ht="15" hidden="false" customHeight="false" outlineLevel="0" collapsed="false">
      <c r="B13" s="5"/>
      <c r="C13" s="5"/>
      <c r="D13" s="5"/>
      <c r="E13" s="5"/>
      <c r="F13" s="18"/>
      <c r="G13" s="18"/>
      <c r="H13" s="19"/>
      <c r="I13" s="20"/>
      <c r="J13" s="21" t="str">
        <f aca="false">IF(B13="","",IF(K13&lt;&gt;"",K13,IFERROR(INDEX(Settings!$C$14:$C$31,MATCH(D13,Settings!$B$14:$B$31,0)),"")))</f>
        <v/>
      </c>
      <c r="K13" s="22"/>
      <c r="L13" s="5"/>
      <c r="M13" s="5"/>
      <c r="N13" s="19"/>
      <c r="O13" s="18"/>
      <c r="P13" s="19"/>
      <c r="Q13" s="23" t="str">
        <f aca="false">IF(B13="","",IF(G13&lt;Settings!$C$6,H13,0))</f>
        <v/>
      </c>
      <c r="R13" s="23" t="str">
        <f aca="false">IF(B13="","",IF(AND(G13&gt;=Settings!$C$6,G13&lt;=Settings!$C$7),H13,0))</f>
        <v/>
      </c>
      <c r="S13" s="23" t="str">
        <f aca="false">IF(B13="","",Q13-N(N13))</f>
        <v/>
      </c>
      <c r="T13" s="21" t="str">
        <f aca="false">IF(B13="","",MAX(0,MIN(Settings!$C$7,IF(AND(O13&lt;&gt;"",O13&lt;=Settings!$C$7),O13-1,Settings!$C$7))-MAX(Settings!$C$6,G13)+1))</f>
        <v/>
      </c>
      <c r="U13" s="24" t="str">
        <f aca="false">IF(OR(B13="",J13=""),"",1-(IF(I13="",Settings!$C$8,I13))^(1/J13))</f>
        <v/>
      </c>
      <c r="V13" s="23" t="str">
        <f aca="false">IF(OR(B13="",J13=""),"",ROUND(MAX(0,MIN(IF(L13="WDV",(S13+R13)*U13,H13*(1-IF(I13="",Settings!$C$8,I13))/J13)*T13/Settings!$C$9,(S13+R13)-H13*IF(I13="",Settings!$C$8,I13))),0))</f>
        <v/>
      </c>
      <c r="W13" s="23" t="str">
        <f aca="false">IF(B13="","",IF(AND(O13&lt;&gt;"",O13&gt;=Settings!$C$6,O13&lt;=Settings!$C$7),H13,0))</f>
        <v/>
      </c>
      <c r="X13" s="23" t="str">
        <f aca="false">IF(B13="","",IF(W13&gt;0,N(N13)+V13,0))</f>
        <v/>
      </c>
      <c r="Y13" s="23" t="str">
        <f aca="false">IF(B13="","",Q13+R13-W13)</f>
        <v/>
      </c>
      <c r="Z13" s="23" t="str">
        <f aca="false">IF(B13="","",N(N13)+N(V13)-X13)</f>
        <v/>
      </c>
      <c r="AA13" s="25" t="str">
        <f aca="false">IF(B13="","",Y13-Z13)</f>
        <v/>
      </c>
      <c r="AB13" s="23" t="str">
        <f aca="false">IF(B13="","",IF(W13&gt;0,N(P13)-(W13-X13),0))</f>
        <v/>
      </c>
      <c r="AC13" s="7" t="str">
        <f aca="false">IF(B13="","",IF(AND(R13&gt;0,Settings!$C$7-G13+1&lt;180),"Yes","No"))</f>
        <v/>
      </c>
    </row>
    <row r="14" customFormat="false" ht="15" hidden="false" customHeight="false" outlineLevel="0" collapsed="false">
      <c r="B14" s="5"/>
      <c r="C14" s="5"/>
      <c r="D14" s="5"/>
      <c r="E14" s="5"/>
      <c r="F14" s="18"/>
      <c r="G14" s="18"/>
      <c r="H14" s="19"/>
      <c r="I14" s="20"/>
      <c r="J14" s="21" t="str">
        <f aca="false">IF(B14="","",IF(K14&lt;&gt;"",K14,IFERROR(INDEX(Settings!$C$14:$C$31,MATCH(D14,Settings!$B$14:$B$31,0)),"")))</f>
        <v/>
      </c>
      <c r="K14" s="22"/>
      <c r="L14" s="5"/>
      <c r="M14" s="5"/>
      <c r="N14" s="19"/>
      <c r="O14" s="18"/>
      <c r="P14" s="19"/>
      <c r="Q14" s="23" t="str">
        <f aca="false">IF(B14="","",IF(G14&lt;Settings!$C$6,H14,0))</f>
        <v/>
      </c>
      <c r="R14" s="23" t="str">
        <f aca="false">IF(B14="","",IF(AND(G14&gt;=Settings!$C$6,G14&lt;=Settings!$C$7),H14,0))</f>
        <v/>
      </c>
      <c r="S14" s="23" t="str">
        <f aca="false">IF(B14="","",Q14-N(N14))</f>
        <v/>
      </c>
      <c r="T14" s="21" t="str">
        <f aca="false">IF(B14="","",MAX(0,MIN(Settings!$C$7,IF(AND(O14&lt;&gt;"",O14&lt;=Settings!$C$7),O14-1,Settings!$C$7))-MAX(Settings!$C$6,G14)+1))</f>
        <v/>
      </c>
      <c r="U14" s="24" t="str">
        <f aca="false">IF(OR(B14="",J14=""),"",1-(IF(I14="",Settings!$C$8,I14))^(1/J14))</f>
        <v/>
      </c>
      <c r="V14" s="23" t="str">
        <f aca="false">IF(OR(B14="",J14=""),"",ROUND(MAX(0,MIN(IF(L14="WDV",(S14+R14)*U14,H14*(1-IF(I14="",Settings!$C$8,I14))/J14)*T14/Settings!$C$9,(S14+R14)-H14*IF(I14="",Settings!$C$8,I14))),0))</f>
        <v/>
      </c>
      <c r="W14" s="23" t="str">
        <f aca="false">IF(B14="","",IF(AND(O14&lt;&gt;"",O14&gt;=Settings!$C$6,O14&lt;=Settings!$C$7),H14,0))</f>
        <v/>
      </c>
      <c r="X14" s="23" t="str">
        <f aca="false">IF(B14="","",IF(W14&gt;0,N(N14)+V14,0))</f>
        <v/>
      </c>
      <c r="Y14" s="23" t="str">
        <f aca="false">IF(B14="","",Q14+R14-W14)</f>
        <v/>
      </c>
      <c r="Z14" s="23" t="str">
        <f aca="false">IF(B14="","",N(N14)+N(V14)-X14)</f>
        <v/>
      </c>
      <c r="AA14" s="25" t="str">
        <f aca="false">IF(B14="","",Y14-Z14)</f>
        <v/>
      </c>
      <c r="AB14" s="23" t="str">
        <f aca="false">IF(B14="","",IF(W14&gt;0,N(P14)-(W14-X14),0))</f>
        <v/>
      </c>
      <c r="AC14" s="7" t="str">
        <f aca="false">IF(B14="","",IF(AND(R14&gt;0,Settings!$C$7-G14+1&lt;180),"Yes","No"))</f>
        <v/>
      </c>
    </row>
    <row r="15" customFormat="false" ht="15" hidden="false" customHeight="false" outlineLevel="0" collapsed="false">
      <c r="B15" s="5"/>
      <c r="C15" s="5"/>
      <c r="D15" s="5"/>
      <c r="E15" s="5"/>
      <c r="F15" s="18"/>
      <c r="G15" s="18"/>
      <c r="H15" s="19"/>
      <c r="I15" s="20"/>
      <c r="J15" s="21" t="str">
        <f aca="false">IF(B15="","",IF(K15&lt;&gt;"",K15,IFERROR(INDEX(Settings!$C$14:$C$31,MATCH(D15,Settings!$B$14:$B$31,0)),"")))</f>
        <v/>
      </c>
      <c r="K15" s="22"/>
      <c r="L15" s="5"/>
      <c r="M15" s="5"/>
      <c r="N15" s="19"/>
      <c r="O15" s="18"/>
      <c r="P15" s="19"/>
      <c r="Q15" s="23" t="str">
        <f aca="false">IF(B15="","",IF(G15&lt;Settings!$C$6,H15,0))</f>
        <v/>
      </c>
      <c r="R15" s="23" t="str">
        <f aca="false">IF(B15="","",IF(AND(G15&gt;=Settings!$C$6,G15&lt;=Settings!$C$7),H15,0))</f>
        <v/>
      </c>
      <c r="S15" s="23" t="str">
        <f aca="false">IF(B15="","",Q15-N(N15))</f>
        <v/>
      </c>
      <c r="T15" s="21" t="str">
        <f aca="false">IF(B15="","",MAX(0,MIN(Settings!$C$7,IF(AND(O15&lt;&gt;"",O15&lt;=Settings!$C$7),O15-1,Settings!$C$7))-MAX(Settings!$C$6,G15)+1))</f>
        <v/>
      </c>
      <c r="U15" s="24" t="str">
        <f aca="false">IF(OR(B15="",J15=""),"",1-(IF(I15="",Settings!$C$8,I15))^(1/J15))</f>
        <v/>
      </c>
      <c r="V15" s="23" t="str">
        <f aca="false">IF(OR(B15="",J15=""),"",ROUND(MAX(0,MIN(IF(L15="WDV",(S15+R15)*U15,H15*(1-IF(I15="",Settings!$C$8,I15))/J15)*T15/Settings!$C$9,(S15+R15)-H15*IF(I15="",Settings!$C$8,I15))),0))</f>
        <v/>
      </c>
      <c r="W15" s="23" t="str">
        <f aca="false">IF(B15="","",IF(AND(O15&lt;&gt;"",O15&gt;=Settings!$C$6,O15&lt;=Settings!$C$7),H15,0))</f>
        <v/>
      </c>
      <c r="X15" s="23" t="str">
        <f aca="false">IF(B15="","",IF(W15&gt;0,N(N15)+V15,0))</f>
        <v/>
      </c>
      <c r="Y15" s="23" t="str">
        <f aca="false">IF(B15="","",Q15+R15-W15)</f>
        <v/>
      </c>
      <c r="Z15" s="23" t="str">
        <f aca="false">IF(B15="","",N(N15)+N(V15)-X15)</f>
        <v/>
      </c>
      <c r="AA15" s="25" t="str">
        <f aca="false">IF(B15="","",Y15-Z15)</f>
        <v/>
      </c>
      <c r="AB15" s="23" t="str">
        <f aca="false">IF(B15="","",IF(W15&gt;0,N(P15)-(W15-X15),0))</f>
        <v/>
      </c>
      <c r="AC15" s="7" t="str">
        <f aca="false">IF(B15="","",IF(AND(R15&gt;0,Settings!$C$7-G15+1&lt;180),"Yes","No"))</f>
        <v/>
      </c>
    </row>
    <row r="16" customFormat="false" ht="15" hidden="false" customHeight="false" outlineLevel="0" collapsed="false">
      <c r="B16" s="5"/>
      <c r="C16" s="5"/>
      <c r="D16" s="5"/>
      <c r="E16" s="5"/>
      <c r="F16" s="18"/>
      <c r="G16" s="18"/>
      <c r="H16" s="19"/>
      <c r="I16" s="20"/>
      <c r="J16" s="21" t="str">
        <f aca="false">IF(B16="","",IF(K16&lt;&gt;"",K16,IFERROR(INDEX(Settings!$C$14:$C$31,MATCH(D16,Settings!$B$14:$B$31,0)),"")))</f>
        <v/>
      </c>
      <c r="K16" s="22"/>
      <c r="L16" s="5"/>
      <c r="M16" s="5"/>
      <c r="N16" s="19"/>
      <c r="O16" s="18"/>
      <c r="P16" s="19"/>
      <c r="Q16" s="23" t="str">
        <f aca="false">IF(B16="","",IF(G16&lt;Settings!$C$6,H16,0))</f>
        <v/>
      </c>
      <c r="R16" s="23" t="str">
        <f aca="false">IF(B16="","",IF(AND(G16&gt;=Settings!$C$6,G16&lt;=Settings!$C$7),H16,0))</f>
        <v/>
      </c>
      <c r="S16" s="23" t="str">
        <f aca="false">IF(B16="","",Q16-N(N16))</f>
        <v/>
      </c>
      <c r="T16" s="21" t="str">
        <f aca="false">IF(B16="","",MAX(0,MIN(Settings!$C$7,IF(AND(O16&lt;&gt;"",O16&lt;=Settings!$C$7),O16-1,Settings!$C$7))-MAX(Settings!$C$6,G16)+1))</f>
        <v/>
      </c>
      <c r="U16" s="24" t="str">
        <f aca="false">IF(OR(B16="",J16=""),"",1-(IF(I16="",Settings!$C$8,I16))^(1/J16))</f>
        <v/>
      </c>
      <c r="V16" s="23" t="str">
        <f aca="false">IF(OR(B16="",J16=""),"",ROUND(MAX(0,MIN(IF(L16="WDV",(S16+R16)*U16,H16*(1-IF(I16="",Settings!$C$8,I16))/J16)*T16/Settings!$C$9,(S16+R16)-H16*IF(I16="",Settings!$C$8,I16))),0))</f>
        <v/>
      </c>
      <c r="W16" s="23" t="str">
        <f aca="false">IF(B16="","",IF(AND(O16&lt;&gt;"",O16&gt;=Settings!$C$6,O16&lt;=Settings!$C$7),H16,0))</f>
        <v/>
      </c>
      <c r="X16" s="23" t="str">
        <f aca="false">IF(B16="","",IF(W16&gt;0,N(N16)+V16,0))</f>
        <v/>
      </c>
      <c r="Y16" s="23" t="str">
        <f aca="false">IF(B16="","",Q16+R16-W16)</f>
        <v/>
      </c>
      <c r="Z16" s="23" t="str">
        <f aca="false">IF(B16="","",N(N16)+N(V16)-X16)</f>
        <v/>
      </c>
      <c r="AA16" s="25" t="str">
        <f aca="false">IF(B16="","",Y16-Z16)</f>
        <v/>
      </c>
      <c r="AB16" s="23" t="str">
        <f aca="false">IF(B16="","",IF(W16&gt;0,N(P16)-(W16-X16),0))</f>
        <v/>
      </c>
      <c r="AC16" s="7" t="str">
        <f aca="false">IF(B16="","",IF(AND(R16&gt;0,Settings!$C$7-G16+1&lt;180),"Yes","No"))</f>
        <v/>
      </c>
    </row>
    <row r="17" customFormat="false" ht="15" hidden="false" customHeight="false" outlineLevel="0" collapsed="false">
      <c r="B17" s="5"/>
      <c r="C17" s="5"/>
      <c r="D17" s="5"/>
      <c r="E17" s="5"/>
      <c r="F17" s="18"/>
      <c r="G17" s="18"/>
      <c r="H17" s="19"/>
      <c r="I17" s="20"/>
      <c r="J17" s="21" t="str">
        <f aca="false">IF(B17="","",IF(K17&lt;&gt;"",K17,IFERROR(INDEX(Settings!$C$14:$C$31,MATCH(D17,Settings!$B$14:$B$31,0)),"")))</f>
        <v/>
      </c>
      <c r="K17" s="22"/>
      <c r="L17" s="5"/>
      <c r="M17" s="5"/>
      <c r="N17" s="19"/>
      <c r="O17" s="18"/>
      <c r="P17" s="19"/>
      <c r="Q17" s="23" t="str">
        <f aca="false">IF(B17="","",IF(G17&lt;Settings!$C$6,H17,0))</f>
        <v/>
      </c>
      <c r="R17" s="23" t="str">
        <f aca="false">IF(B17="","",IF(AND(G17&gt;=Settings!$C$6,G17&lt;=Settings!$C$7),H17,0))</f>
        <v/>
      </c>
      <c r="S17" s="23" t="str">
        <f aca="false">IF(B17="","",Q17-N(N17))</f>
        <v/>
      </c>
      <c r="T17" s="21" t="str">
        <f aca="false">IF(B17="","",MAX(0,MIN(Settings!$C$7,IF(AND(O17&lt;&gt;"",O17&lt;=Settings!$C$7),O17-1,Settings!$C$7))-MAX(Settings!$C$6,G17)+1))</f>
        <v/>
      </c>
      <c r="U17" s="24" t="str">
        <f aca="false">IF(OR(B17="",J17=""),"",1-(IF(I17="",Settings!$C$8,I17))^(1/J17))</f>
        <v/>
      </c>
      <c r="V17" s="23" t="str">
        <f aca="false">IF(OR(B17="",J17=""),"",ROUND(MAX(0,MIN(IF(L17="WDV",(S17+R17)*U17,H17*(1-IF(I17="",Settings!$C$8,I17))/J17)*T17/Settings!$C$9,(S17+R17)-H17*IF(I17="",Settings!$C$8,I17))),0))</f>
        <v/>
      </c>
      <c r="W17" s="23" t="str">
        <f aca="false">IF(B17="","",IF(AND(O17&lt;&gt;"",O17&gt;=Settings!$C$6,O17&lt;=Settings!$C$7),H17,0))</f>
        <v/>
      </c>
      <c r="X17" s="23" t="str">
        <f aca="false">IF(B17="","",IF(W17&gt;0,N(N17)+V17,0))</f>
        <v/>
      </c>
      <c r="Y17" s="23" t="str">
        <f aca="false">IF(B17="","",Q17+R17-W17)</f>
        <v/>
      </c>
      <c r="Z17" s="23" t="str">
        <f aca="false">IF(B17="","",N(N17)+N(V17)-X17)</f>
        <v/>
      </c>
      <c r="AA17" s="25" t="str">
        <f aca="false">IF(B17="","",Y17-Z17)</f>
        <v/>
      </c>
      <c r="AB17" s="23" t="str">
        <f aca="false">IF(B17="","",IF(W17&gt;0,N(P17)-(W17-X17),0))</f>
        <v/>
      </c>
      <c r="AC17" s="7" t="str">
        <f aca="false">IF(B17="","",IF(AND(R17&gt;0,Settings!$C$7-G17+1&lt;180),"Yes","No"))</f>
        <v/>
      </c>
    </row>
    <row r="18" customFormat="false" ht="15" hidden="false" customHeight="false" outlineLevel="0" collapsed="false">
      <c r="B18" s="5"/>
      <c r="C18" s="5"/>
      <c r="D18" s="5"/>
      <c r="E18" s="5"/>
      <c r="F18" s="18"/>
      <c r="G18" s="18"/>
      <c r="H18" s="19"/>
      <c r="I18" s="20"/>
      <c r="J18" s="21" t="str">
        <f aca="false">IF(B18="","",IF(K18&lt;&gt;"",K18,IFERROR(INDEX(Settings!$C$14:$C$31,MATCH(D18,Settings!$B$14:$B$31,0)),"")))</f>
        <v/>
      </c>
      <c r="K18" s="22"/>
      <c r="L18" s="5"/>
      <c r="M18" s="5"/>
      <c r="N18" s="19"/>
      <c r="O18" s="18"/>
      <c r="P18" s="19"/>
      <c r="Q18" s="23" t="str">
        <f aca="false">IF(B18="","",IF(G18&lt;Settings!$C$6,H18,0))</f>
        <v/>
      </c>
      <c r="R18" s="23" t="str">
        <f aca="false">IF(B18="","",IF(AND(G18&gt;=Settings!$C$6,G18&lt;=Settings!$C$7),H18,0))</f>
        <v/>
      </c>
      <c r="S18" s="23" t="str">
        <f aca="false">IF(B18="","",Q18-N(N18))</f>
        <v/>
      </c>
      <c r="T18" s="21" t="str">
        <f aca="false">IF(B18="","",MAX(0,MIN(Settings!$C$7,IF(AND(O18&lt;&gt;"",O18&lt;=Settings!$C$7),O18-1,Settings!$C$7))-MAX(Settings!$C$6,G18)+1))</f>
        <v/>
      </c>
      <c r="U18" s="24" t="str">
        <f aca="false">IF(OR(B18="",J18=""),"",1-(IF(I18="",Settings!$C$8,I18))^(1/J18))</f>
        <v/>
      </c>
      <c r="V18" s="23" t="str">
        <f aca="false">IF(OR(B18="",J18=""),"",ROUND(MAX(0,MIN(IF(L18="WDV",(S18+R18)*U18,H18*(1-IF(I18="",Settings!$C$8,I18))/J18)*T18/Settings!$C$9,(S18+R18)-H18*IF(I18="",Settings!$C$8,I18))),0))</f>
        <v/>
      </c>
      <c r="W18" s="23" t="str">
        <f aca="false">IF(B18="","",IF(AND(O18&lt;&gt;"",O18&gt;=Settings!$C$6,O18&lt;=Settings!$C$7),H18,0))</f>
        <v/>
      </c>
      <c r="X18" s="23" t="str">
        <f aca="false">IF(B18="","",IF(W18&gt;0,N(N18)+V18,0))</f>
        <v/>
      </c>
      <c r="Y18" s="23" t="str">
        <f aca="false">IF(B18="","",Q18+R18-W18)</f>
        <v/>
      </c>
      <c r="Z18" s="23" t="str">
        <f aca="false">IF(B18="","",N(N18)+N(V18)-X18)</f>
        <v/>
      </c>
      <c r="AA18" s="25" t="str">
        <f aca="false">IF(B18="","",Y18-Z18)</f>
        <v/>
      </c>
      <c r="AB18" s="23" t="str">
        <f aca="false">IF(B18="","",IF(W18&gt;0,N(P18)-(W18-X18),0))</f>
        <v/>
      </c>
      <c r="AC18" s="7" t="str">
        <f aca="false">IF(B18="","",IF(AND(R18&gt;0,Settings!$C$7-G18+1&lt;180),"Yes","No"))</f>
        <v/>
      </c>
    </row>
    <row r="19" customFormat="false" ht="15" hidden="false" customHeight="false" outlineLevel="0" collapsed="false">
      <c r="B19" s="5"/>
      <c r="C19" s="5"/>
      <c r="D19" s="5"/>
      <c r="E19" s="5"/>
      <c r="F19" s="18"/>
      <c r="G19" s="18"/>
      <c r="H19" s="19"/>
      <c r="I19" s="20"/>
      <c r="J19" s="21" t="str">
        <f aca="false">IF(B19="","",IF(K19&lt;&gt;"",K19,IFERROR(INDEX(Settings!$C$14:$C$31,MATCH(D19,Settings!$B$14:$B$31,0)),"")))</f>
        <v/>
      </c>
      <c r="K19" s="22"/>
      <c r="L19" s="5"/>
      <c r="M19" s="5"/>
      <c r="N19" s="19"/>
      <c r="O19" s="18"/>
      <c r="P19" s="19"/>
      <c r="Q19" s="23" t="str">
        <f aca="false">IF(B19="","",IF(G19&lt;Settings!$C$6,H19,0))</f>
        <v/>
      </c>
      <c r="R19" s="23" t="str">
        <f aca="false">IF(B19="","",IF(AND(G19&gt;=Settings!$C$6,G19&lt;=Settings!$C$7),H19,0))</f>
        <v/>
      </c>
      <c r="S19" s="23" t="str">
        <f aca="false">IF(B19="","",Q19-N(N19))</f>
        <v/>
      </c>
      <c r="T19" s="21" t="str">
        <f aca="false">IF(B19="","",MAX(0,MIN(Settings!$C$7,IF(AND(O19&lt;&gt;"",O19&lt;=Settings!$C$7),O19-1,Settings!$C$7))-MAX(Settings!$C$6,G19)+1))</f>
        <v/>
      </c>
      <c r="U19" s="24" t="str">
        <f aca="false">IF(OR(B19="",J19=""),"",1-(IF(I19="",Settings!$C$8,I19))^(1/J19))</f>
        <v/>
      </c>
      <c r="V19" s="23" t="str">
        <f aca="false">IF(OR(B19="",J19=""),"",ROUND(MAX(0,MIN(IF(L19="WDV",(S19+R19)*U19,H19*(1-IF(I19="",Settings!$C$8,I19))/J19)*T19/Settings!$C$9,(S19+R19)-H19*IF(I19="",Settings!$C$8,I19))),0))</f>
        <v/>
      </c>
      <c r="W19" s="23" t="str">
        <f aca="false">IF(B19="","",IF(AND(O19&lt;&gt;"",O19&gt;=Settings!$C$6,O19&lt;=Settings!$C$7),H19,0))</f>
        <v/>
      </c>
      <c r="X19" s="23" t="str">
        <f aca="false">IF(B19="","",IF(W19&gt;0,N(N19)+V19,0))</f>
        <v/>
      </c>
      <c r="Y19" s="23" t="str">
        <f aca="false">IF(B19="","",Q19+R19-W19)</f>
        <v/>
      </c>
      <c r="Z19" s="23" t="str">
        <f aca="false">IF(B19="","",N(N19)+N(V19)-X19)</f>
        <v/>
      </c>
      <c r="AA19" s="25" t="str">
        <f aca="false">IF(B19="","",Y19-Z19)</f>
        <v/>
      </c>
      <c r="AB19" s="23" t="str">
        <f aca="false">IF(B19="","",IF(W19&gt;0,N(P19)-(W19-X19),0))</f>
        <v/>
      </c>
      <c r="AC19" s="7" t="str">
        <f aca="false">IF(B19="","",IF(AND(R19&gt;0,Settings!$C$7-G19+1&lt;180),"Yes","No"))</f>
        <v/>
      </c>
    </row>
    <row r="20" customFormat="false" ht="15" hidden="false" customHeight="false" outlineLevel="0" collapsed="false">
      <c r="B20" s="5"/>
      <c r="C20" s="5"/>
      <c r="D20" s="5"/>
      <c r="E20" s="5"/>
      <c r="F20" s="18"/>
      <c r="G20" s="18"/>
      <c r="H20" s="19"/>
      <c r="I20" s="20"/>
      <c r="J20" s="21" t="str">
        <f aca="false">IF(B20="","",IF(K20&lt;&gt;"",K20,IFERROR(INDEX(Settings!$C$14:$C$31,MATCH(D20,Settings!$B$14:$B$31,0)),"")))</f>
        <v/>
      </c>
      <c r="K20" s="22"/>
      <c r="L20" s="5"/>
      <c r="M20" s="5"/>
      <c r="N20" s="19"/>
      <c r="O20" s="18"/>
      <c r="P20" s="19"/>
      <c r="Q20" s="23" t="str">
        <f aca="false">IF(B20="","",IF(G20&lt;Settings!$C$6,H20,0))</f>
        <v/>
      </c>
      <c r="R20" s="23" t="str">
        <f aca="false">IF(B20="","",IF(AND(G20&gt;=Settings!$C$6,G20&lt;=Settings!$C$7),H20,0))</f>
        <v/>
      </c>
      <c r="S20" s="23" t="str">
        <f aca="false">IF(B20="","",Q20-N(N20))</f>
        <v/>
      </c>
      <c r="T20" s="21" t="str">
        <f aca="false">IF(B20="","",MAX(0,MIN(Settings!$C$7,IF(AND(O20&lt;&gt;"",O20&lt;=Settings!$C$7),O20-1,Settings!$C$7))-MAX(Settings!$C$6,G20)+1))</f>
        <v/>
      </c>
      <c r="U20" s="24" t="str">
        <f aca="false">IF(OR(B20="",J20=""),"",1-(IF(I20="",Settings!$C$8,I20))^(1/J20))</f>
        <v/>
      </c>
      <c r="V20" s="23" t="str">
        <f aca="false">IF(OR(B20="",J20=""),"",ROUND(MAX(0,MIN(IF(L20="WDV",(S20+R20)*U20,H20*(1-IF(I20="",Settings!$C$8,I20))/J20)*T20/Settings!$C$9,(S20+R20)-H20*IF(I20="",Settings!$C$8,I20))),0))</f>
        <v/>
      </c>
      <c r="W20" s="23" t="str">
        <f aca="false">IF(B20="","",IF(AND(O20&lt;&gt;"",O20&gt;=Settings!$C$6,O20&lt;=Settings!$C$7),H20,0))</f>
        <v/>
      </c>
      <c r="X20" s="23" t="str">
        <f aca="false">IF(B20="","",IF(W20&gt;0,N(N20)+V20,0))</f>
        <v/>
      </c>
      <c r="Y20" s="23" t="str">
        <f aca="false">IF(B20="","",Q20+R20-W20)</f>
        <v/>
      </c>
      <c r="Z20" s="23" t="str">
        <f aca="false">IF(B20="","",N(N20)+N(V20)-X20)</f>
        <v/>
      </c>
      <c r="AA20" s="25" t="str">
        <f aca="false">IF(B20="","",Y20-Z20)</f>
        <v/>
      </c>
      <c r="AB20" s="23" t="str">
        <f aca="false">IF(B20="","",IF(W20&gt;0,N(P20)-(W20-X20),0))</f>
        <v/>
      </c>
      <c r="AC20" s="7" t="str">
        <f aca="false">IF(B20="","",IF(AND(R20&gt;0,Settings!$C$7-G20+1&lt;180),"Yes","No"))</f>
        <v/>
      </c>
    </row>
    <row r="21" customFormat="false" ht="15" hidden="false" customHeight="false" outlineLevel="0" collapsed="false">
      <c r="B21" s="5"/>
      <c r="C21" s="5"/>
      <c r="D21" s="5"/>
      <c r="E21" s="5"/>
      <c r="F21" s="18"/>
      <c r="G21" s="18"/>
      <c r="H21" s="19"/>
      <c r="I21" s="20"/>
      <c r="J21" s="21" t="str">
        <f aca="false">IF(B21="","",IF(K21&lt;&gt;"",K21,IFERROR(INDEX(Settings!$C$14:$C$31,MATCH(D21,Settings!$B$14:$B$31,0)),"")))</f>
        <v/>
      </c>
      <c r="K21" s="22"/>
      <c r="L21" s="5"/>
      <c r="M21" s="5"/>
      <c r="N21" s="19"/>
      <c r="O21" s="18"/>
      <c r="P21" s="19"/>
      <c r="Q21" s="23" t="str">
        <f aca="false">IF(B21="","",IF(G21&lt;Settings!$C$6,H21,0))</f>
        <v/>
      </c>
      <c r="R21" s="23" t="str">
        <f aca="false">IF(B21="","",IF(AND(G21&gt;=Settings!$C$6,G21&lt;=Settings!$C$7),H21,0))</f>
        <v/>
      </c>
      <c r="S21" s="23" t="str">
        <f aca="false">IF(B21="","",Q21-N(N21))</f>
        <v/>
      </c>
      <c r="T21" s="21" t="str">
        <f aca="false">IF(B21="","",MAX(0,MIN(Settings!$C$7,IF(AND(O21&lt;&gt;"",O21&lt;=Settings!$C$7),O21-1,Settings!$C$7))-MAX(Settings!$C$6,G21)+1))</f>
        <v/>
      </c>
      <c r="U21" s="24" t="str">
        <f aca="false">IF(OR(B21="",J21=""),"",1-(IF(I21="",Settings!$C$8,I21))^(1/J21))</f>
        <v/>
      </c>
      <c r="V21" s="23" t="str">
        <f aca="false">IF(OR(B21="",J21=""),"",ROUND(MAX(0,MIN(IF(L21="WDV",(S21+R21)*U21,H21*(1-IF(I21="",Settings!$C$8,I21))/J21)*T21/Settings!$C$9,(S21+R21)-H21*IF(I21="",Settings!$C$8,I21))),0))</f>
        <v/>
      </c>
      <c r="W21" s="23" t="str">
        <f aca="false">IF(B21="","",IF(AND(O21&lt;&gt;"",O21&gt;=Settings!$C$6,O21&lt;=Settings!$C$7),H21,0))</f>
        <v/>
      </c>
      <c r="X21" s="23" t="str">
        <f aca="false">IF(B21="","",IF(W21&gt;0,N(N21)+V21,0))</f>
        <v/>
      </c>
      <c r="Y21" s="23" t="str">
        <f aca="false">IF(B21="","",Q21+R21-W21)</f>
        <v/>
      </c>
      <c r="Z21" s="23" t="str">
        <f aca="false">IF(B21="","",N(N21)+N(V21)-X21)</f>
        <v/>
      </c>
      <c r="AA21" s="25" t="str">
        <f aca="false">IF(B21="","",Y21-Z21)</f>
        <v/>
      </c>
      <c r="AB21" s="23" t="str">
        <f aca="false">IF(B21="","",IF(W21&gt;0,N(P21)-(W21-X21),0))</f>
        <v/>
      </c>
      <c r="AC21" s="7" t="str">
        <f aca="false">IF(B21="","",IF(AND(R21&gt;0,Settings!$C$7-G21+1&lt;180),"Yes","No"))</f>
        <v/>
      </c>
    </row>
    <row r="22" customFormat="false" ht="15" hidden="false" customHeight="false" outlineLevel="0" collapsed="false">
      <c r="B22" s="5"/>
      <c r="C22" s="5"/>
      <c r="D22" s="5"/>
      <c r="E22" s="5"/>
      <c r="F22" s="18"/>
      <c r="G22" s="18"/>
      <c r="H22" s="19"/>
      <c r="I22" s="20"/>
      <c r="J22" s="21" t="str">
        <f aca="false">IF(B22="","",IF(K22&lt;&gt;"",K22,IFERROR(INDEX(Settings!$C$14:$C$31,MATCH(D22,Settings!$B$14:$B$31,0)),"")))</f>
        <v/>
      </c>
      <c r="K22" s="22"/>
      <c r="L22" s="5"/>
      <c r="M22" s="5"/>
      <c r="N22" s="19"/>
      <c r="O22" s="18"/>
      <c r="P22" s="19"/>
      <c r="Q22" s="23" t="str">
        <f aca="false">IF(B22="","",IF(G22&lt;Settings!$C$6,H22,0))</f>
        <v/>
      </c>
      <c r="R22" s="23" t="str">
        <f aca="false">IF(B22="","",IF(AND(G22&gt;=Settings!$C$6,G22&lt;=Settings!$C$7),H22,0))</f>
        <v/>
      </c>
      <c r="S22" s="23" t="str">
        <f aca="false">IF(B22="","",Q22-N(N22))</f>
        <v/>
      </c>
      <c r="T22" s="21" t="str">
        <f aca="false">IF(B22="","",MAX(0,MIN(Settings!$C$7,IF(AND(O22&lt;&gt;"",O22&lt;=Settings!$C$7),O22-1,Settings!$C$7))-MAX(Settings!$C$6,G22)+1))</f>
        <v/>
      </c>
      <c r="U22" s="24" t="str">
        <f aca="false">IF(OR(B22="",J22=""),"",1-(IF(I22="",Settings!$C$8,I22))^(1/J22))</f>
        <v/>
      </c>
      <c r="V22" s="23" t="str">
        <f aca="false">IF(OR(B22="",J22=""),"",ROUND(MAX(0,MIN(IF(L22="WDV",(S22+R22)*U22,H22*(1-IF(I22="",Settings!$C$8,I22))/J22)*T22/Settings!$C$9,(S22+R22)-H22*IF(I22="",Settings!$C$8,I22))),0))</f>
        <v/>
      </c>
      <c r="W22" s="23" t="str">
        <f aca="false">IF(B22="","",IF(AND(O22&lt;&gt;"",O22&gt;=Settings!$C$6,O22&lt;=Settings!$C$7),H22,0))</f>
        <v/>
      </c>
      <c r="X22" s="23" t="str">
        <f aca="false">IF(B22="","",IF(W22&gt;0,N(N22)+V22,0))</f>
        <v/>
      </c>
      <c r="Y22" s="23" t="str">
        <f aca="false">IF(B22="","",Q22+R22-W22)</f>
        <v/>
      </c>
      <c r="Z22" s="23" t="str">
        <f aca="false">IF(B22="","",N(N22)+N(V22)-X22)</f>
        <v/>
      </c>
      <c r="AA22" s="25" t="str">
        <f aca="false">IF(B22="","",Y22-Z22)</f>
        <v/>
      </c>
      <c r="AB22" s="23" t="str">
        <f aca="false">IF(B22="","",IF(W22&gt;0,N(P22)-(W22-X22),0))</f>
        <v/>
      </c>
      <c r="AC22" s="7" t="str">
        <f aca="false">IF(B22="","",IF(AND(R22&gt;0,Settings!$C$7-G22+1&lt;180),"Yes","No"))</f>
        <v/>
      </c>
    </row>
    <row r="23" customFormat="false" ht="15" hidden="false" customHeight="false" outlineLevel="0" collapsed="false">
      <c r="B23" s="5"/>
      <c r="C23" s="5"/>
      <c r="D23" s="5"/>
      <c r="E23" s="5"/>
      <c r="F23" s="18"/>
      <c r="G23" s="18"/>
      <c r="H23" s="19"/>
      <c r="I23" s="20"/>
      <c r="J23" s="21" t="str">
        <f aca="false">IF(B23="","",IF(K23&lt;&gt;"",K23,IFERROR(INDEX(Settings!$C$14:$C$31,MATCH(D23,Settings!$B$14:$B$31,0)),"")))</f>
        <v/>
      </c>
      <c r="K23" s="22"/>
      <c r="L23" s="5"/>
      <c r="M23" s="5"/>
      <c r="N23" s="19"/>
      <c r="O23" s="18"/>
      <c r="P23" s="19"/>
      <c r="Q23" s="23" t="str">
        <f aca="false">IF(B23="","",IF(G23&lt;Settings!$C$6,H23,0))</f>
        <v/>
      </c>
      <c r="R23" s="23" t="str">
        <f aca="false">IF(B23="","",IF(AND(G23&gt;=Settings!$C$6,G23&lt;=Settings!$C$7),H23,0))</f>
        <v/>
      </c>
      <c r="S23" s="23" t="str">
        <f aca="false">IF(B23="","",Q23-N(N23))</f>
        <v/>
      </c>
      <c r="T23" s="21" t="str">
        <f aca="false">IF(B23="","",MAX(0,MIN(Settings!$C$7,IF(AND(O23&lt;&gt;"",O23&lt;=Settings!$C$7),O23-1,Settings!$C$7))-MAX(Settings!$C$6,G23)+1))</f>
        <v/>
      </c>
      <c r="U23" s="24" t="str">
        <f aca="false">IF(OR(B23="",J23=""),"",1-(IF(I23="",Settings!$C$8,I23))^(1/J23))</f>
        <v/>
      </c>
      <c r="V23" s="23" t="str">
        <f aca="false">IF(OR(B23="",J23=""),"",ROUND(MAX(0,MIN(IF(L23="WDV",(S23+R23)*U23,H23*(1-IF(I23="",Settings!$C$8,I23))/J23)*T23/Settings!$C$9,(S23+R23)-H23*IF(I23="",Settings!$C$8,I23))),0))</f>
        <v/>
      </c>
      <c r="W23" s="23" t="str">
        <f aca="false">IF(B23="","",IF(AND(O23&lt;&gt;"",O23&gt;=Settings!$C$6,O23&lt;=Settings!$C$7),H23,0))</f>
        <v/>
      </c>
      <c r="X23" s="23" t="str">
        <f aca="false">IF(B23="","",IF(W23&gt;0,N(N23)+V23,0))</f>
        <v/>
      </c>
      <c r="Y23" s="23" t="str">
        <f aca="false">IF(B23="","",Q23+R23-W23)</f>
        <v/>
      </c>
      <c r="Z23" s="23" t="str">
        <f aca="false">IF(B23="","",N(N23)+N(V23)-X23)</f>
        <v/>
      </c>
      <c r="AA23" s="25" t="str">
        <f aca="false">IF(B23="","",Y23-Z23)</f>
        <v/>
      </c>
      <c r="AB23" s="23" t="str">
        <f aca="false">IF(B23="","",IF(W23&gt;0,N(P23)-(W23-X23),0))</f>
        <v/>
      </c>
      <c r="AC23" s="7" t="str">
        <f aca="false">IF(B23="","",IF(AND(R23&gt;0,Settings!$C$7-G23+1&lt;180),"Yes","No"))</f>
        <v/>
      </c>
    </row>
    <row r="24" customFormat="false" ht="15" hidden="false" customHeight="false" outlineLevel="0" collapsed="false">
      <c r="B24" s="5"/>
      <c r="C24" s="5"/>
      <c r="D24" s="5"/>
      <c r="E24" s="5"/>
      <c r="F24" s="18"/>
      <c r="G24" s="18"/>
      <c r="H24" s="19"/>
      <c r="I24" s="20"/>
      <c r="J24" s="21" t="str">
        <f aca="false">IF(B24="","",IF(K24&lt;&gt;"",K24,IFERROR(INDEX(Settings!$C$14:$C$31,MATCH(D24,Settings!$B$14:$B$31,0)),"")))</f>
        <v/>
      </c>
      <c r="K24" s="22"/>
      <c r="L24" s="5"/>
      <c r="M24" s="5"/>
      <c r="N24" s="19"/>
      <c r="O24" s="18"/>
      <c r="P24" s="19"/>
      <c r="Q24" s="23" t="str">
        <f aca="false">IF(B24="","",IF(G24&lt;Settings!$C$6,H24,0))</f>
        <v/>
      </c>
      <c r="R24" s="23" t="str">
        <f aca="false">IF(B24="","",IF(AND(G24&gt;=Settings!$C$6,G24&lt;=Settings!$C$7),H24,0))</f>
        <v/>
      </c>
      <c r="S24" s="23" t="str">
        <f aca="false">IF(B24="","",Q24-N(N24))</f>
        <v/>
      </c>
      <c r="T24" s="21" t="str">
        <f aca="false">IF(B24="","",MAX(0,MIN(Settings!$C$7,IF(AND(O24&lt;&gt;"",O24&lt;=Settings!$C$7),O24-1,Settings!$C$7))-MAX(Settings!$C$6,G24)+1))</f>
        <v/>
      </c>
      <c r="U24" s="24" t="str">
        <f aca="false">IF(OR(B24="",J24=""),"",1-(IF(I24="",Settings!$C$8,I24))^(1/J24))</f>
        <v/>
      </c>
      <c r="V24" s="23" t="str">
        <f aca="false">IF(OR(B24="",J24=""),"",ROUND(MAX(0,MIN(IF(L24="WDV",(S24+R24)*U24,H24*(1-IF(I24="",Settings!$C$8,I24))/J24)*T24/Settings!$C$9,(S24+R24)-H24*IF(I24="",Settings!$C$8,I24))),0))</f>
        <v/>
      </c>
      <c r="W24" s="23" t="str">
        <f aca="false">IF(B24="","",IF(AND(O24&lt;&gt;"",O24&gt;=Settings!$C$6,O24&lt;=Settings!$C$7),H24,0))</f>
        <v/>
      </c>
      <c r="X24" s="23" t="str">
        <f aca="false">IF(B24="","",IF(W24&gt;0,N(N24)+V24,0))</f>
        <v/>
      </c>
      <c r="Y24" s="23" t="str">
        <f aca="false">IF(B24="","",Q24+R24-W24)</f>
        <v/>
      </c>
      <c r="Z24" s="23" t="str">
        <f aca="false">IF(B24="","",N(N24)+N(V24)-X24)</f>
        <v/>
      </c>
      <c r="AA24" s="25" t="str">
        <f aca="false">IF(B24="","",Y24-Z24)</f>
        <v/>
      </c>
      <c r="AB24" s="23" t="str">
        <f aca="false">IF(B24="","",IF(W24&gt;0,N(P24)-(W24-X24),0))</f>
        <v/>
      </c>
      <c r="AC24" s="7" t="str">
        <f aca="false">IF(B24="","",IF(AND(R24&gt;0,Settings!$C$7-G24+1&lt;180),"Yes","No"))</f>
        <v/>
      </c>
    </row>
    <row r="25" customFormat="false" ht="15" hidden="false" customHeight="false" outlineLevel="0" collapsed="false">
      <c r="B25" s="5"/>
      <c r="C25" s="5"/>
      <c r="D25" s="5"/>
      <c r="E25" s="5"/>
      <c r="F25" s="18"/>
      <c r="G25" s="18"/>
      <c r="H25" s="19"/>
      <c r="I25" s="20"/>
      <c r="J25" s="21" t="str">
        <f aca="false">IF(B25="","",IF(K25&lt;&gt;"",K25,IFERROR(INDEX(Settings!$C$14:$C$31,MATCH(D25,Settings!$B$14:$B$31,0)),"")))</f>
        <v/>
      </c>
      <c r="K25" s="22"/>
      <c r="L25" s="5"/>
      <c r="M25" s="5"/>
      <c r="N25" s="19"/>
      <c r="O25" s="18"/>
      <c r="P25" s="19"/>
      <c r="Q25" s="23" t="str">
        <f aca="false">IF(B25="","",IF(G25&lt;Settings!$C$6,H25,0))</f>
        <v/>
      </c>
      <c r="R25" s="23" t="str">
        <f aca="false">IF(B25="","",IF(AND(G25&gt;=Settings!$C$6,G25&lt;=Settings!$C$7),H25,0))</f>
        <v/>
      </c>
      <c r="S25" s="23" t="str">
        <f aca="false">IF(B25="","",Q25-N(N25))</f>
        <v/>
      </c>
      <c r="T25" s="21" t="str">
        <f aca="false">IF(B25="","",MAX(0,MIN(Settings!$C$7,IF(AND(O25&lt;&gt;"",O25&lt;=Settings!$C$7),O25-1,Settings!$C$7))-MAX(Settings!$C$6,G25)+1))</f>
        <v/>
      </c>
      <c r="U25" s="24" t="str">
        <f aca="false">IF(OR(B25="",J25=""),"",1-(IF(I25="",Settings!$C$8,I25))^(1/J25))</f>
        <v/>
      </c>
      <c r="V25" s="23" t="str">
        <f aca="false">IF(OR(B25="",J25=""),"",ROUND(MAX(0,MIN(IF(L25="WDV",(S25+R25)*U25,H25*(1-IF(I25="",Settings!$C$8,I25))/J25)*T25/Settings!$C$9,(S25+R25)-H25*IF(I25="",Settings!$C$8,I25))),0))</f>
        <v/>
      </c>
      <c r="W25" s="23" t="str">
        <f aca="false">IF(B25="","",IF(AND(O25&lt;&gt;"",O25&gt;=Settings!$C$6,O25&lt;=Settings!$C$7),H25,0))</f>
        <v/>
      </c>
      <c r="X25" s="23" t="str">
        <f aca="false">IF(B25="","",IF(W25&gt;0,N(N25)+V25,0))</f>
        <v/>
      </c>
      <c r="Y25" s="23" t="str">
        <f aca="false">IF(B25="","",Q25+R25-W25)</f>
        <v/>
      </c>
      <c r="Z25" s="23" t="str">
        <f aca="false">IF(B25="","",N(N25)+N(V25)-X25)</f>
        <v/>
      </c>
      <c r="AA25" s="25" t="str">
        <f aca="false">IF(B25="","",Y25-Z25)</f>
        <v/>
      </c>
      <c r="AB25" s="23" t="str">
        <f aca="false">IF(B25="","",IF(W25&gt;0,N(P25)-(W25-X25),0))</f>
        <v/>
      </c>
      <c r="AC25" s="7" t="str">
        <f aca="false">IF(B25="","",IF(AND(R25&gt;0,Settings!$C$7-G25+1&lt;180),"Yes","No"))</f>
        <v/>
      </c>
    </row>
    <row r="26" customFormat="false" ht="15" hidden="false" customHeight="false" outlineLevel="0" collapsed="false">
      <c r="B26" s="5"/>
      <c r="C26" s="5"/>
      <c r="D26" s="5"/>
      <c r="E26" s="5"/>
      <c r="F26" s="18"/>
      <c r="G26" s="18"/>
      <c r="H26" s="19"/>
      <c r="I26" s="20"/>
      <c r="J26" s="21" t="str">
        <f aca="false">IF(B26="","",IF(K26&lt;&gt;"",K26,IFERROR(INDEX(Settings!$C$14:$C$31,MATCH(D26,Settings!$B$14:$B$31,0)),"")))</f>
        <v/>
      </c>
      <c r="K26" s="22"/>
      <c r="L26" s="5"/>
      <c r="M26" s="5"/>
      <c r="N26" s="19"/>
      <c r="O26" s="18"/>
      <c r="P26" s="19"/>
      <c r="Q26" s="23" t="str">
        <f aca="false">IF(B26="","",IF(G26&lt;Settings!$C$6,H26,0))</f>
        <v/>
      </c>
      <c r="R26" s="23" t="str">
        <f aca="false">IF(B26="","",IF(AND(G26&gt;=Settings!$C$6,G26&lt;=Settings!$C$7),H26,0))</f>
        <v/>
      </c>
      <c r="S26" s="23" t="str">
        <f aca="false">IF(B26="","",Q26-N(N26))</f>
        <v/>
      </c>
      <c r="T26" s="21" t="str">
        <f aca="false">IF(B26="","",MAX(0,MIN(Settings!$C$7,IF(AND(O26&lt;&gt;"",O26&lt;=Settings!$C$7),O26-1,Settings!$C$7))-MAX(Settings!$C$6,G26)+1))</f>
        <v/>
      </c>
      <c r="U26" s="24" t="str">
        <f aca="false">IF(OR(B26="",J26=""),"",1-(IF(I26="",Settings!$C$8,I26))^(1/J26))</f>
        <v/>
      </c>
      <c r="V26" s="23" t="str">
        <f aca="false">IF(OR(B26="",J26=""),"",ROUND(MAX(0,MIN(IF(L26="WDV",(S26+R26)*U26,H26*(1-IF(I26="",Settings!$C$8,I26))/J26)*T26/Settings!$C$9,(S26+R26)-H26*IF(I26="",Settings!$C$8,I26))),0))</f>
        <v/>
      </c>
      <c r="W26" s="23" t="str">
        <f aca="false">IF(B26="","",IF(AND(O26&lt;&gt;"",O26&gt;=Settings!$C$6,O26&lt;=Settings!$C$7),H26,0))</f>
        <v/>
      </c>
      <c r="X26" s="23" t="str">
        <f aca="false">IF(B26="","",IF(W26&gt;0,N(N26)+V26,0))</f>
        <v/>
      </c>
      <c r="Y26" s="23" t="str">
        <f aca="false">IF(B26="","",Q26+R26-W26)</f>
        <v/>
      </c>
      <c r="Z26" s="23" t="str">
        <f aca="false">IF(B26="","",N(N26)+N(V26)-X26)</f>
        <v/>
      </c>
      <c r="AA26" s="25" t="str">
        <f aca="false">IF(B26="","",Y26-Z26)</f>
        <v/>
      </c>
      <c r="AB26" s="23" t="str">
        <f aca="false">IF(B26="","",IF(W26&gt;0,N(P26)-(W26-X26),0))</f>
        <v/>
      </c>
      <c r="AC26" s="7" t="str">
        <f aca="false">IF(B26="","",IF(AND(R26&gt;0,Settings!$C$7-G26+1&lt;180),"Yes","No"))</f>
        <v/>
      </c>
    </row>
    <row r="27" customFormat="false" ht="15" hidden="false" customHeight="false" outlineLevel="0" collapsed="false">
      <c r="B27" s="5"/>
      <c r="C27" s="5"/>
      <c r="D27" s="5"/>
      <c r="E27" s="5"/>
      <c r="F27" s="18"/>
      <c r="G27" s="18"/>
      <c r="H27" s="19"/>
      <c r="I27" s="20"/>
      <c r="J27" s="21" t="str">
        <f aca="false">IF(B27="","",IF(K27&lt;&gt;"",K27,IFERROR(INDEX(Settings!$C$14:$C$31,MATCH(D27,Settings!$B$14:$B$31,0)),"")))</f>
        <v/>
      </c>
      <c r="K27" s="22"/>
      <c r="L27" s="5"/>
      <c r="M27" s="5"/>
      <c r="N27" s="19"/>
      <c r="O27" s="18"/>
      <c r="P27" s="19"/>
      <c r="Q27" s="23" t="str">
        <f aca="false">IF(B27="","",IF(G27&lt;Settings!$C$6,H27,0))</f>
        <v/>
      </c>
      <c r="R27" s="23" t="str">
        <f aca="false">IF(B27="","",IF(AND(G27&gt;=Settings!$C$6,G27&lt;=Settings!$C$7),H27,0))</f>
        <v/>
      </c>
      <c r="S27" s="23" t="str">
        <f aca="false">IF(B27="","",Q27-N(N27))</f>
        <v/>
      </c>
      <c r="T27" s="21" t="str">
        <f aca="false">IF(B27="","",MAX(0,MIN(Settings!$C$7,IF(AND(O27&lt;&gt;"",O27&lt;=Settings!$C$7),O27-1,Settings!$C$7))-MAX(Settings!$C$6,G27)+1))</f>
        <v/>
      </c>
      <c r="U27" s="24" t="str">
        <f aca="false">IF(OR(B27="",J27=""),"",1-(IF(I27="",Settings!$C$8,I27))^(1/J27))</f>
        <v/>
      </c>
      <c r="V27" s="23" t="str">
        <f aca="false">IF(OR(B27="",J27=""),"",ROUND(MAX(0,MIN(IF(L27="WDV",(S27+R27)*U27,H27*(1-IF(I27="",Settings!$C$8,I27))/J27)*T27/Settings!$C$9,(S27+R27)-H27*IF(I27="",Settings!$C$8,I27))),0))</f>
        <v/>
      </c>
      <c r="W27" s="23" t="str">
        <f aca="false">IF(B27="","",IF(AND(O27&lt;&gt;"",O27&gt;=Settings!$C$6,O27&lt;=Settings!$C$7),H27,0))</f>
        <v/>
      </c>
      <c r="X27" s="23" t="str">
        <f aca="false">IF(B27="","",IF(W27&gt;0,N(N27)+V27,0))</f>
        <v/>
      </c>
      <c r="Y27" s="23" t="str">
        <f aca="false">IF(B27="","",Q27+R27-W27)</f>
        <v/>
      </c>
      <c r="Z27" s="23" t="str">
        <f aca="false">IF(B27="","",N(N27)+N(V27)-X27)</f>
        <v/>
      </c>
      <c r="AA27" s="25" t="str">
        <f aca="false">IF(B27="","",Y27-Z27)</f>
        <v/>
      </c>
      <c r="AB27" s="23" t="str">
        <f aca="false">IF(B27="","",IF(W27&gt;0,N(P27)-(W27-X27),0))</f>
        <v/>
      </c>
      <c r="AC27" s="7" t="str">
        <f aca="false">IF(B27="","",IF(AND(R27&gt;0,Settings!$C$7-G27+1&lt;180),"Yes","No"))</f>
        <v/>
      </c>
    </row>
    <row r="28" customFormat="false" ht="15" hidden="false" customHeight="false" outlineLevel="0" collapsed="false">
      <c r="B28" s="5"/>
      <c r="C28" s="5"/>
      <c r="D28" s="5"/>
      <c r="E28" s="5"/>
      <c r="F28" s="18"/>
      <c r="G28" s="18"/>
      <c r="H28" s="19"/>
      <c r="I28" s="20"/>
      <c r="J28" s="21" t="str">
        <f aca="false">IF(B28="","",IF(K28&lt;&gt;"",K28,IFERROR(INDEX(Settings!$C$14:$C$31,MATCH(D28,Settings!$B$14:$B$31,0)),"")))</f>
        <v/>
      </c>
      <c r="K28" s="22"/>
      <c r="L28" s="5"/>
      <c r="M28" s="5"/>
      <c r="N28" s="19"/>
      <c r="O28" s="18"/>
      <c r="P28" s="19"/>
      <c r="Q28" s="23" t="str">
        <f aca="false">IF(B28="","",IF(G28&lt;Settings!$C$6,H28,0))</f>
        <v/>
      </c>
      <c r="R28" s="23" t="str">
        <f aca="false">IF(B28="","",IF(AND(G28&gt;=Settings!$C$6,G28&lt;=Settings!$C$7),H28,0))</f>
        <v/>
      </c>
      <c r="S28" s="23" t="str">
        <f aca="false">IF(B28="","",Q28-N(N28))</f>
        <v/>
      </c>
      <c r="T28" s="21" t="str">
        <f aca="false">IF(B28="","",MAX(0,MIN(Settings!$C$7,IF(AND(O28&lt;&gt;"",O28&lt;=Settings!$C$7),O28-1,Settings!$C$7))-MAX(Settings!$C$6,G28)+1))</f>
        <v/>
      </c>
      <c r="U28" s="24" t="str">
        <f aca="false">IF(OR(B28="",J28=""),"",1-(IF(I28="",Settings!$C$8,I28))^(1/J28))</f>
        <v/>
      </c>
      <c r="V28" s="23" t="str">
        <f aca="false">IF(OR(B28="",J28=""),"",ROUND(MAX(0,MIN(IF(L28="WDV",(S28+R28)*U28,H28*(1-IF(I28="",Settings!$C$8,I28))/J28)*T28/Settings!$C$9,(S28+R28)-H28*IF(I28="",Settings!$C$8,I28))),0))</f>
        <v/>
      </c>
      <c r="W28" s="23" t="str">
        <f aca="false">IF(B28="","",IF(AND(O28&lt;&gt;"",O28&gt;=Settings!$C$6,O28&lt;=Settings!$C$7),H28,0))</f>
        <v/>
      </c>
      <c r="X28" s="23" t="str">
        <f aca="false">IF(B28="","",IF(W28&gt;0,N(N28)+V28,0))</f>
        <v/>
      </c>
      <c r="Y28" s="23" t="str">
        <f aca="false">IF(B28="","",Q28+R28-W28)</f>
        <v/>
      </c>
      <c r="Z28" s="23" t="str">
        <f aca="false">IF(B28="","",N(N28)+N(V28)-X28)</f>
        <v/>
      </c>
      <c r="AA28" s="25" t="str">
        <f aca="false">IF(B28="","",Y28-Z28)</f>
        <v/>
      </c>
      <c r="AB28" s="23" t="str">
        <f aca="false">IF(B28="","",IF(W28&gt;0,N(P28)-(W28-X28),0))</f>
        <v/>
      </c>
      <c r="AC28" s="7" t="str">
        <f aca="false">IF(B28="","",IF(AND(R28&gt;0,Settings!$C$7-G28+1&lt;180),"Yes","No"))</f>
        <v/>
      </c>
    </row>
    <row r="29" customFormat="false" ht="15" hidden="false" customHeight="false" outlineLevel="0" collapsed="false">
      <c r="B29" s="5"/>
      <c r="C29" s="5"/>
      <c r="D29" s="5"/>
      <c r="E29" s="5"/>
      <c r="F29" s="18"/>
      <c r="G29" s="18"/>
      <c r="H29" s="19"/>
      <c r="I29" s="20"/>
      <c r="J29" s="21" t="str">
        <f aca="false">IF(B29="","",IF(K29&lt;&gt;"",K29,IFERROR(INDEX(Settings!$C$14:$C$31,MATCH(D29,Settings!$B$14:$B$31,0)),"")))</f>
        <v/>
      </c>
      <c r="K29" s="22"/>
      <c r="L29" s="5"/>
      <c r="M29" s="5"/>
      <c r="N29" s="19"/>
      <c r="O29" s="18"/>
      <c r="P29" s="19"/>
      <c r="Q29" s="23" t="str">
        <f aca="false">IF(B29="","",IF(G29&lt;Settings!$C$6,H29,0))</f>
        <v/>
      </c>
      <c r="R29" s="23" t="str">
        <f aca="false">IF(B29="","",IF(AND(G29&gt;=Settings!$C$6,G29&lt;=Settings!$C$7),H29,0))</f>
        <v/>
      </c>
      <c r="S29" s="23" t="str">
        <f aca="false">IF(B29="","",Q29-N(N29))</f>
        <v/>
      </c>
      <c r="T29" s="21" t="str">
        <f aca="false">IF(B29="","",MAX(0,MIN(Settings!$C$7,IF(AND(O29&lt;&gt;"",O29&lt;=Settings!$C$7),O29-1,Settings!$C$7))-MAX(Settings!$C$6,G29)+1))</f>
        <v/>
      </c>
      <c r="U29" s="24" t="str">
        <f aca="false">IF(OR(B29="",J29=""),"",1-(IF(I29="",Settings!$C$8,I29))^(1/J29))</f>
        <v/>
      </c>
      <c r="V29" s="23" t="str">
        <f aca="false">IF(OR(B29="",J29=""),"",ROUND(MAX(0,MIN(IF(L29="WDV",(S29+R29)*U29,H29*(1-IF(I29="",Settings!$C$8,I29))/J29)*T29/Settings!$C$9,(S29+R29)-H29*IF(I29="",Settings!$C$8,I29))),0))</f>
        <v/>
      </c>
      <c r="W29" s="23" t="str">
        <f aca="false">IF(B29="","",IF(AND(O29&lt;&gt;"",O29&gt;=Settings!$C$6,O29&lt;=Settings!$C$7),H29,0))</f>
        <v/>
      </c>
      <c r="X29" s="23" t="str">
        <f aca="false">IF(B29="","",IF(W29&gt;0,N(N29)+V29,0))</f>
        <v/>
      </c>
      <c r="Y29" s="23" t="str">
        <f aca="false">IF(B29="","",Q29+R29-W29)</f>
        <v/>
      </c>
      <c r="Z29" s="23" t="str">
        <f aca="false">IF(B29="","",N(N29)+N(V29)-X29)</f>
        <v/>
      </c>
      <c r="AA29" s="25" t="str">
        <f aca="false">IF(B29="","",Y29-Z29)</f>
        <v/>
      </c>
      <c r="AB29" s="23" t="str">
        <f aca="false">IF(B29="","",IF(W29&gt;0,N(P29)-(W29-X29),0))</f>
        <v/>
      </c>
      <c r="AC29" s="7" t="str">
        <f aca="false">IF(B29="","",IF(AND(R29&gt;0,Settings!$C$7-G29+1&lt;180),"Yes","No"))</f>
        <v/>
      </c>
    </row>
    <row r="30" customFormat="false" ht="15" hidden="false" customHeight="false" outlineLevel="0" collapsed="false">
      <c r="B30" s="5"/>
      <c r="C30" s="5"/>
      <c r="D30" s="5"/>
      <c r="E30" s="5"/>
      <c r="F30" s="18"/>
      <c r="G30" s="18"/>
      <c r="H30" s="19"/>
      <c r="I30" s="20"/>
      <c r="J30" s="21" t="str">
        <f aca="false">IF(B30="","",IF(K30&lt;&gt;"",K30,IFERROR(INDEX(Settings!$C$14:$C$31,MATCH(D30,Settings!$B$14:$B$31,0)),"")))</f>
        <v/>
      </c>
      <c r="K30" s="22"/>
      <c r="L30" s="5"/>
      <c r="M30" s="5"/>
      <c r="N30" s="19"/>
      <c r="O30" s="18"/>
      <c r="P30" s="19"/>
      <c r="Q30" s="23" t="str">
        <f aca="false">IF(B30="","",IF(G30&lt;Settings!$C$6,H30,0))</f>
        <v/>
      </c>
      <c r="R30" s="23" t="str">
        <f aca="false">IF(B30="","",IF(AND(G30&gt;=Settings!$C$6,G30&lt;=Settings!$C$7),H30,0))</f>
        <v/>
      </c>
      <c r="S30" s="23" t="str">
        <f aca="false">IF(B30="","",Q30-N(N30))</f>
        <v/>
      </c>
      <c r="T30" s="21" t="str">
        <f aca="false">IF(B30="","",MAX(0,MIN(Settings!$C$7,IF(AND(O30&lt;&gt;"",O30&lt;=Settings!$C$7),O30-1,Settings!$C$7))-MAX(Settings!$C$6,G30)+1))</f>
        <v/>
      </c>
      <c r="U30" s="24" t="str">
        <f aca="false">IF(OR(B30="",J30=""),"",1-(IF(I30="",Settings!$C$8,I30))^(1/J30))</f>
        <v/>
      </c>
      <c r="V30" s="23" t="str">
        <f aca="false">IF(OR(B30="",J30=""),"",ROUND(MAX(0,MIN(IF(L30="WDV",(S30+R30)*U30,H30*(1-IF(I30="",Settings!$C$8,I30))/J30)*T30/Settings!$C$9,(S30+R30)-H30*IF(I30="",Settings!$C$8,I30))),0))</f>
        <v/>
      </c>
      <c r="W30" s="23" t="str">
        <f aca="false">IF(B30="","",IF(AND(O30&lt;&gt;"",O30&gt;=Settings!$C$6,O30&lt;=Settings!$C$7),H30,0))</f>
        <v/>
      </c>
      <c r="X30" s="23" t="str">
        <f aca="false">IF(B30="","",IF(W30&gt;0,N(N30)+V30,0))</f>
        <v/>
      </c>
      <c r="Y30" s="23" t="str">
        <f aca="false">IF(B30="","",Q30+R30-W30)</f>
        <v/>
      </c>
      <c r="Z30" s="23" t="str">
        <f aca="false">IF(B30="","",N(N30)+N(V30)-X30)</f>
        <v/>
      </c>
      <c r="AA30" s="25" t="str">
        <f aca="false">IF(B30="","",Y30-Z30)</f>
        <v/>
      </c>
      <c r="AB30" s="23" t="str">
        <f aca="false">IF(B30="","",IF(W30&gt;0,N(P30)-(W30-X30),0))</f>
        <v/>
      </c>
      <c r="AC30" s="7" t="str">
        <f aca="false">IF(B30="","",IF(AND(R30&gt;0,Settings!$C$7-G30+1&lt;180),"Yes","No"))</f>
        <v/>
      </c>
    </row>
    <row r="31" customFormat="false" ht="15" hidden="false" customHeight="false" outlineLevel="0" collapsed="false">
      <c r="B31" s="5"/>
      <c r="C31" s="5"/>
      <c r="D31" s="5"/>
      <c r="E31" s="5"/>
      <c r="F31" s="18"/>
      <c r="G31" s="18"/>
      <c r="H31" s="19"/>
      <c r="I31" s="20"/>
      <c r="J31" s="21" t="str">
        <f aca="false">IF(B31="","",IF(K31&lt;&gt;"",K31,IFERROR(INDEX(Settings!$C$14:$C$31,MATCH(D31,Settings!$B$14:$B$31,0)),"")))</f>
        <v/>
      </c>
      <c r="K31" s="22"/>
      <c r="L31" s="5"/>
      <c r="M31" s="5"/>
      <c r="N31" s="19"/>
      <c r="O31" s="18"/>
      <c r="P31" s="19"/>
      <c r="Q31" s="23" t="str">
        <f aca="false">IF(B31="","",IF(G31&lt;Settings!$C$6,H31,0))</f>
        <v/>
      </c>
      <c r="R31" s="23" t="str">
        <f aca="false">IF(B31="","",IF(AND(G31&gt;=Settings!$C$6,G31&lt;=Settings!$C$7),H31,0))</f>
        <v/>
      </c>
      <c r="S31" s="23" t="str">
        <f aca="false">IF(B31="","",Q31-N(N31))</f>
        <v/>
      </c>
      <c r="T31" s="21" t="str">
        <f aca="false">IF(B31="","",MAX(0,MIN(Settings!$C$7,IF(AND(O31&lt;&gt;"",O31&lt;=Settings!$C$7),O31-1,Settings!$C$7))-MAX(Settings!$C$6,G31)+1))</f>
        <v/>
      </c>
      <c r="U31" s="24" t="str">
        <f aca="false">IF(OR(B31="",J31=""),"",1-(IF(I31="",Settings!$C$8,I31))^(1/J31))</f>
        <v/>
      </c>
      <c r="V31" s="23" t="str">
        <f aca="false">IF(OR(B31="",J31=""),"",ROUND(MAX(0,MIN(IF(L31="WDV",(S31+R31)*U31,H31*(1-IF(I31="",Settings!$C$8,I31))/J31)*T31/Settings!$C$9,(S31+R31)-H31*IF(I31="",Settings!$C$8,I31))),0))</f>
        <v/>
      </c>
      <c r="W31" s="23" t="str">
        <f aca="false">IF(B31="","",IF(AND(O31&lt;&gt;"",O31&gt;=Settings!$C$6,O31&lt;=Settings!$C$7),H31,0))</f>
        <v/>
      </c>
      <c r="X31" s="23" t="str">
        <f aca="false">IF(B31="","",IF(W31&gt;0,N(N31)+V31,0))</f>
        <v/>
      </c>
      <c r="Y31" s="23" t="str">
        <f aca="false">IF(B31="","",Q31+R31-W31)</f>
        <v/>
      </c>
      <c r="Z31" s="23" t="str">
        <f aca="false">IF(B31="","",N(N31)+N(V31)-X31)</f>
        <v/>
      </c>
      <c r="AA31" s="25" t="str">
        <f aca="false">IF(B31="","",Y31-Z31)</f>
        <v/>
      </c>
      <c r="AB31" s="23" t="str">
        <f aca="false">IF(B31="","",IF(W31&gt;0,N(P31)-(W31-X31),0))</f>
        <v/>
      </c>
      <c r="AC31" s="7" t="str">
        <f aca="false">IF(B31="","",IF(AND(R31&gt;0,Settings!$C$7-G31+1&lt;180),"Yes","No"))</f>
        <v/>
      </c>
    </row>
    <row r="32" customFormat="false" ht="15" hidden="false" customHeight="false" outlineLevel="0" collapsed="false">
      <c r="B32" s="5"/>
      <c r="C32" s="5"/>
      <c r="D32" s="5"/>
      <c r="E32" s="5"/>
      <c r="F32" s="18"/>
      <c r="G32" s="18"/>
      <c r="H32" s="19"/>
      <c r="I32" s="20"/>
      <c r="J32" s="21" t="str">
        <f aca="false">IF(B32="","",IF(K32&lt;&gt;"",K32,IFERROR(INDEX(Settings!$C$14:$C$31,MATCH(D32,Settings!$B$14:$B$31,0)),"")))</f>
        <v/>
      </c>
      <c r="K32" s="22"/>
      <c r="L32" s="5"/>
      <c r="M32" s="5"/>
      <c r="N32" s="19"/>
      <c r="O32" s="18"/>
      <c r="P32" s="19"/>
      <c r="Q32" s="23" t="str">
        <f aca="false">IF(B32="","",IF(G32&lt;Settings!$C$6,H32,0))</f>
        <v/>
      </c>
      <c r="R32" s="23" t="str">
        <f aca="false">IF(B32="","",IF(AND(G32&gt;=Settings!$C$6,G32&lt;=Settings!$C$7),H32,0))</f>
        <v/>
      </c>
      <c r="S32" s="23" t="str">
        <f aca="false">IF(B32="","",Q32-N(N32))</f>
        <v/>
      </c>
      <c r="T32" s="21" t="str">
        <f aca="false">IF(B32="","",MAX(0,MIN(Settings!$C$7,IF(AND(O32&lt;&gt;"",O32&lt;=Settings!$C$7),O32-1,Settings!$C$7))-MAX(Settings!$C$6,G32)+1))</f>
        <v/>
      </c>
      <c r="U32" s="24" t="str">
        <f aca="false">IF(OR(B32="",J32=""),"",1-(IF(I32="",Settings!$C$8,I32))^(1/J32))</f>
        <v/>
      </c>
      <c r="V32" s="23" t="str">
        <f aca="false">IF(OR(B32="",J32=""),"",ROUND(MAX(0,MIN(IF(L32="WDV",(S32+R32)*U32,H32*(1-IF(I32="",Settings!$C$8,I32))/J32)*T32/Settings!$C$9,(S32+R32)-H32*IF(I32="",Settings!$C$8,I32))),0))</f>
        <v/>
      </c>
      <c r="W32" s="23" t="str">
        <f aca="false">IF(B32="","",IF(AND(O32&lt;&gt;"",O32&gt;=Settings!$C$6,O32&lt;=Settings!$C$7),H32,0))</f>
        <v/>
      </c>
      <c r="X32" s="23" t="str">
        <f aca="false">IF(B32="","",IF(W32&gt;0,N(N32)+V32,0))</f>
        <v/>
      </c>
      <c r="Y32" s="23" t="str">
        <f aca="false">IF(B32="","",Q32+R32-W32)</f>
        <v/>
      </c>
      <c r="Z32" s="23" t="str">
        <f aca="false">IF(B32="","",N(N32)+N(V32)-X32)</f>
        <v/>
      </c>
      <c r="AA32" s="25" t="str">
        <f aca="false">IF(B32="","",Y32-Z32)</f>
        <v/>
      </c>
      <c r="AB32" s="23" t="str">
        <f aca="false">IF(B32="","",IF(W32&gt;0,N(P32)-(W32-X32),0))</f>
        <v/>
      </c>
      <c r="AC32" s="7" t="str">
        <f aca="false">IF(B32="","",IF(AND(R32&gt;0,Settings!$C$7-G32+1&lt;180),"Yes","No"))</f>
        <v/>
      </c>
    </row>
    <row r="33" customFormat="false" ht="15" hidden="false" customHeight="false" outlineLevel="0" collapsed="false">
      <c r="B33" s="5"/>
      <c r="C33" s="5"/>
      <c r="D33" s="5"/>
      <c r="E33" s="5"/>
      <c r="F33" s="18"/>
      <c r="G33" s="18"/>
      <c r="H33" s="19"/>
      <c r="I33" s="20"/>
      <c r="J33" s="21" t="str">
        <f aca="false">IF(B33="","",IF(K33&lt;&gt;"",K33,IFERROR(INDEX(Settings!$C$14:$C$31,MATCH(D33,Settings!$B$14:$B$31,0)),"")))</f>
        <v/>
      </c>
      <c r="K33" s="22"/>
      <c r="L33" s="5"/>
      <c r="M33" s="5"/>
      <c r="N33" s="19"/>
      <c r="O33" s="18"/>
      <c r="P33" s="19"/>
      <c r="Q33" s="23" t="str">
        <f aca="false">IF(B33="","",IF(G33&lt;Settings!$C$6,H33,0))</f>
        <v/>
      </c>
      <c r="R33" s="23" t="str">
        <f aca="false">IF(B33="","",IF(AND(G33&gt;=Settings!$C$6,G33&lt;=Settings!$C$7),H33,0))</f>
        <v/>
      </c>
      <c r="S33" s="23" t="str">
        <f aca="false">IF(B33="","",Q33-N(N33))</f>
        <v/>
      </c>
      <c r="T33" s="21" t="str">
        <f aca="false">IF(B33="","",MAX(0,MIN(Settings!$C$7,IF(AND(O33&lt;&gt;"",O33&lt;=Settings!$C$7),O33-1,Settings!$C$7))-MAX(Settings!$C$6,G33)+1))</f>
        <v/>
      </c>
      <c r="U33" s="24" t="str">
        <f aca="false">IF(OR(B33="",J33=""),"",1-(IF(I33="",Settings!$C$8,I33))^(1/J33))</f>
        <v/>
      </c>
      <c r="V33" s="23" t="str">
        <f aca="false">IF(OR(B33="",J33=""),"",ROUND(MAX(0,MIN(IF(L33="WDV",(S33+R33)*U33,H33*(1-IF(I33="",Settings!$C$8,I33))/J33)*T33/Settings!$C$9,(S33+R33)-H33*IF(I33="",Settings!$C$8,I33))),0))</f>
        <v/>
      </c>
      <c r="W33" s="23" t="str">
        <f aca="false">IF(B33="","",IF(AND(O33&lt;&gt;"",O33&gt;=Settings!$C$6,O33&lt;=Settings!$C$7),H33,0))</f>
        <v/>
      </c>
      <c r="X33" s="23" t="str">
        <f aca="false">IF(B33="","",IF(W33&gt;0,N(N33)+V33,0))</f>
        <v/>
      </c>
      <c r="Y33" s="23" t="str">
        <f aca="false">IF(B33="","",Q33+R33-W33)</f>
        <v/>
      </c>
      <c r="Z33" s="23" t="str">
        <f aca="false">IF(B33="","",N(N33)+N(V33)-X33)</f>
        <v/>
      </c>
      <c r="AA33" s="25" t="str">
        <f aca="false">IF(B33="","",Y33-Z33)</f>
        <v/>
      </c>
      <c r="AB33" s="23" t="str">
        <f aca="false">IF(B33="","",IF(W33&gt;0,N(P33)-(W33-X33),0))</f>
        <v/>
      </c>
      <c r="AC33" s="7" t="str">
        <f aca="false">IF(B33="","",IF(AND(R33&gt;0,Settings!$C$7-G33+1&lt;180),"Yes","No"))</f>
        <v/>
      </c>
    </row>
    <row r="34" customFormat="false" ht="15" hidden="false" customHeight="false" outlineLevel="0" collapsed="false">
      <c r="B34" s="5"/>
      <c r="C34" s="5"/>
      <c r="D34" s="5"/>
      <c r="E34" s="5"/>
      <c r="F34" s="18"/>
      <c r="G34" s="18"/>
      <c r="H34" s="19"/>
      <c r="I34" s="20"/>
      <c r="J34" s="21" t="str">
        <f aca="false">IF(B34="","",IF(K34&lt;&gt;"",K34,IFERROR(INDEX(Settings!$C$14:$C$31,MATCH(D34,Settings!$B$14:$B$31,0)),"")))</f>
        <v/>
      </c>
      <c r="K34" s="22"/>
      <c r="L34" s="5"/>
      <c r="M34" s="5"/>
      <c r="N34" s="19"/>
      <c r="O34" s="18"/>
      <c r="P34" s="19"/>
      <c r="Q34" s="23" t="str">
        <f aca="false">IF(B34="","",IF(G34&lt;Settings!$C$6,H34,0))</f>
        <v/>
      </c>
      <c r="R34" s="23" t="str">
        <f aca="false">IF(B34="","",IF(AND(G34&gt;=Settings!$C$6,G34&lt;=Settings!$C$7),H34,0))</f>
        <v/>
      </c>
      <c r="S34" s="23" t="str">
        <f aca="false">IF(B34="","",Q34-N(N34))</f>
        <v/>
      </c>
      <c r="T34" s="21" t="str">
        <f aca="false">IF(B34="","",MAX(0,MIN(Settings!$C$7,IF(AND(O34&lt;&gt;"",O34&lt;=Settings!$C$7),O34-1,Settings!$C$7))-MAX(Settings!$C$6,G34)+1))</f>
        <v/>
      </c>
      <c r="U34" s="24" t="str">
        <f aca="false">IF(OR(B34="",J34=""),"",1-(IF(I34="",Settings!$C$8,I34))^(1/J34))</f>
        <v/>
      </c>
      <c r="V34" s="23" t="str">
        <f aca="false">IF(OR(B34="",J34=""),"",ROUND(MAX(0,MIN(IF(L34="WDV",(S34+R34)*U34,H34*(1-IF(I34="",Settings!$C$8,I34))/J34)*T34/Settings!$C$9,(S34+R34)-H34*IF(I34="",Settings!$C$8,I34))),0))</f>
        <v/>
      </c>
      <c r="W34" s="23" t="str">
        <f aca="false">IF(B34="","",IF(AND(O34&lt;&gt;"",O34&gt;=Settings!$C$6,O34&lt;=Settings!$C$7),H34,0))</f>
        <v/>
      </c>
      <c r="X34" s="23" t="str">
        <f aca="false">IF(B34="","",IF(W34&gt;0,N(N34)+V34,0))</f>
        <v/>
      </c>
      <c r="Y34" s="23" t="str">
        <f aca="false">IF(B34="","",Q34+R34-W34)</f>
        <v/>
      </c>
      <c r="Z34" s="23" t="str">
        <f aca="false">IF(B34="","",N(N34)+N(V34)-X34)</f>
        <v/>
      </c>
      <c r="AA34" s="25" t="str">
        <f aca="false">IF(B34="","",Y34-Z34)</f>
        <v/>
      </c>
      <c r="AB34" s="23" t="str">
        <f aca="false">IF(B34="","",IF(W34&gt;0,N(P34)-(W34-X34),0))</f>
        <v/>
      </c>
      <c r="AC34" s="7" t="str">
        <f aca="false">IF(B34="","",IF(AND(R34&gt;0,Settings!$C$7-G34+1&lt;180),"Yes","No"))</f>
        <v/>
      </c>
    </row>
    <row r="35" customFormat="false" ht="15" hidden="false" customHeight="false" outlineLevel="0" collapsed="false">
      <c r="B35" s="5"/>
      <c r="C35" s="5"/>
      <c r="D35" s="5"/>
      <c r="E35" s="5"/>
      <c r="F35" s="18"/>
      <c r="G35" s="18"/>
      <c r="H35" s="19"/>
      <c r="I35" s="20"/>
      <c r="J35" s="21" t="str">
        <f aca="false">IF(B35="","",IF(K35&lt;&gt;"",K35,IFERROR(INDEX(Settings!$C$14:$C$31,MATCH(D35,Settings!$B$14:$B$31,0)),"")))</f>
        <v/>
      </c>
      <c r="K35" s="22"/>
      <c r="L35" s="5"/>
      <c r="M35" s="5"/>
      <c r="N35" s="19"/>
      <c r="O35" s="18"/>
      <c r="P35" s="19"/>
      <c r="Q35" s="23" t="str">
        <f aca="false">IF(B35="","",IF(G35&lt;Settings!$C$6,H35,0))</f>
        <v/>
      </c>
      <c r="R35" s="23" t="str">
        <f aca="false">IF(B35="","",IF(AND(G35&gt;=Settings!$C$6,G35&lt;=Settings!$C$7),H35,0))</f>
        <v/>
      </c>
      <c r="S35" s="23" t="str">
        <f aca="false">IF(B35="","",Q35-N(N35))</f>
        <v/>
      </c>
      <c r="T35" s="21" t="str">
        <f aca="false">IF(B35="","",MAX(0,MIN(Settings!$C$7,IF(AND(O35&lt;&gt;"",O35&lt;=Settings!$C$7),O35-1,Settings!$C$7))-MAX(Settings!$C$6,G35)+1))</f>
        <v/>
      </c>
      <c r="U35" s="24" t="str">
        <f aca="false">IF(OR(B35="",J35=""),"",1-(IF(I35="",Settings!$C$8,I35))^(1/J35))</f>
        <v/>
      </c>
      <c r="V35" s="23" t="str">
        <f aca="false">IF(OR(B35="",J35=""),"",ROUND(MAX(0,MIN(IF(L35="WDV",(S35+R35)*U35,H35*(1-IF(I35="",Settings!$C$8,I35))/J35)*T35/Settings!$C$9,(S35+R35)-H35*IF(I35="",Settings!$C$8,I35))),0))</f>
        <v/>
      </c>
      <c r="W35" s="23" t="str">
        <f aca="false">IF(B35="","",IF(AND(O35&lt;&gt;"",O35&gt;=Settings!$C$6,O35&lt;=Settings!$C$7),H35,0))</f>
        <v/>
      </c>
      <c r="X35" s="23" t="str">
        <f aca="false">IF(B35="","",IF(W35&gt;0,N(N35)+V35,0))</f>
        <v/>
      </c>
      <c r="Y35" s="23" t="str">
        <f aca="false">IF(B35="","",Q35+R35-W35)</f>
        <v/>
      </c>
      <c r="Z35" s="23" t="str">
        <f aca="false">IF(B35="","",N(N35)+N(V35)-X35)</f>
        <v/>
      </c>
      <c r="AA35" s="25" t="str">
        <f aca="false">IF(B35="","",Y35-Z35)</f>
        <v/>
      </c>
      <c r="AB35" s="23" t="str">
        <f aca="false">IF(B35="","",IF(W35&gt;0,N(P35)-(W35-X35),0))</f>
        <v/>
      </c>
      <c r="AC35" s="7" t="str">
        <f aca="false">IF(B35="","",IF(AND(R35&gt;0,Settings!$C$7-G35+1&lt;180),"Yes","No"))</f>
        <v/>
      </c>
    </row>
    <row r="36" customFormat="false" ht="15" hidden="false" customHeight="false" outlineLevel="0" collapsed="false">
      <c r="B36" s="5"/>
      <c r="C36" s="5"/>
      <c r="D36" s="5"/>
      <c r="E36" s="5"/>
      <c r="F36" s="18"/>
      <c r="G36" s="18"/>
      <c r="H36" s="19"/>
      <c r="I36" s="20"/>
      <c r="J36" s="21" t="str">
        <f aca="false">IF(B36="","",IF(K36&lt;&gt;"",K36,IFERROR(INDEX(Settings!$C$14:$C$31,MATCH(D36,Settings!$B$14:$B$31,0)),"")))</f>
        <v/>
      </c>
      <c r="K36" s="22"/>
      <c r="L36" s="5"/>
      <c r="M36" s="5"/>
      <c r="N36" s="19"/>
      <c r="O36" s="18"/>
      <c r="P36" s="19"/>
      <c r="Q36" s="23" t="str">
        <f aca="false">IF(B36="","",IF(G36&lt;Settings!$C$6,H36,0))</f>
        <v/>
      </c>
      <c r="R36" s="23" t="str">
        <f aca="false">IF(B36="","",IF(AND(G36&gt;=Settings!$C$6,G36&lt;=Settings!$C$7),H36,0))</f>
        <v/>
      </c>
      <c r="S36" s="23" t="str">
        <f aca="false">IF(B36="","",Q36-N(N36))</f>
        <v/>
      </c>
      <c r="T36" s="21" t="str">
        <f aca="false">IF(B36="","",MAX(0,MIN(Settings!$C$7,IF(AND(O36&lt;&gt;"",O36&lt;=Settings!$C$7),O36-1,Settings!$C$7))-MAX(Settings!$C$6,G36)+1))</f>
        <v/>
      </c>
      <c r="U36" s="24" t="str">
        <f aca="false">IF(OR(B36="",J36=""),"",1-(IF(I36="",Settings!$C$8,I36))^(1/J36))</f>
        <v/>
      </c>
      <c r="V36" s="23" t="str">
        <f aca="false">IF(OR(B36="",J36=""),"",ROUND(MAX(0,MIN(IF(L36="WDV",(S36+R36)*U36,H36*(1-IF(I36="",Settings!$C$8,I36))/J36)*T36/Settings!$C$9,(S36+R36)-H36*IF(I36="",Settings!$C$8,I36))),0))</f>
        <v/>
      </c>
      <c r="W36" s="23" t="str">
        <f aca="false">IF(B36="","",IF(AND(O36&lt;&gt;"",O36&gt;=Settings!$C$6,O36&lt;=Settings!$C$7),H36,0))</f>
        <v/>
      </c>
      <c r="X36" s="23" t="str">
        <f aca="false">IF(B36="","",IF(W36&gt;0,N(N36)+V36,0))</f>
        <v/>
      </c>
      <c r="Y36" s="23" t="str">
        <f aca="false">IF(B36="","",Q36+R36-W36)</f>
        <v/>
      </c>
      <c r="Z36" s="23" t="str">
        <f aca="false">IF(B36="","",N(N36)+N(V36)-X36)</f>
        <v/>
      </c>
      <c r="AA36" s="25" t="str">
        <f aca="false">IF(B36="","",Y36-Z36)</f>
        <v/>
      </c>
      <c r="AB36" s="23" t="str">
        <f aca="false">IF(B36="","",IF(W36&gt;0,N(P36)-(W36-X36),0))</f>
        <v/>
      </c>
      <c r="AC36" s="7" t="str">
        <f aca="false">IF(B36="","",IF(AND(R36&gt;0,Settings!$C$7-G36+1&lt;180),"Yes","No"))</f>
        <v/>
      </c>
    </row>
    <row r="37" customFormat="false" ht="15" hidden="false" customHeight="false" outlineLevel="0" collapsed="false">
      <c r="B37" s="5"/>
      <c r="C37" s="5"/>
      <c r="D37" s="5"/>
      <c r="E37" s="5"/>
      <c r="F37" s="18"/>
      <c r="G37" s="18"/>
      <c r="H37" s="19"/>
      <c r="I37" s="20"/>
      <c r="J37" s="21" t="str">
        <f aca="false">IF(B37="","",IF(K37&lt;&gt;"",K37,IFERROR(INDEX(Settings!$C$14:$C$31,MATCH(D37,Settings!$B$14:$B$31,0)),"")))</f>
        <v/>
      </c>
      <c r="K37" s="22"/>
      <c r="L37" s="5"/>
      <c r="M37" s="5"/>
      <c r="N37" s="19"/>
      <c r="O37" s="18"/>
      <c r="P37" s="19"/>
      <c r="Q37" s="23" t="str">
        <f aca="false">IF(B37="","",IF(G37&lt;Settings!$C$6,H37,0))</f>
        <v/>
      </c>
      <c r="R37" s="23" t="str">
        <f aca="false">IF(B37="","",IF(AND(G37&gt;=Settings!$C$6,G37&lt;=Settings!$C$7),H37,0))</f>
        <v/>
      </c>
      <c r="S37" s="23" t="str">
        <f aca="false">IF(B37="","",Q37-N(N37))</f>
        <v/>
      </c>
      <c r="T37" s="21" t="str">
        <f aca="false">IF(B37="","",MAX(0,MIN(Settings!$C$7,IF(AND(O37&lt;&gt;"",O37&lt;=Settings!$C$7),O37-1,Settings!$C$7))-MAX(Settings!$C$6,G37)+1))</f>
        <v/>
      </c>
      <c r="U37" s="24" t="str">
        <f aca="false">IF(OR(B37="",J37=""),"",1-(IF(I37="",Settings!$C$8,I37))^(1/J37))</f>
        <v/>
      </c>
      <c r="V37" s="23" t="str">
        <f aca="false">IF(OR(B37="",J37=""),"",ROUND(MAX(0,MIN(IF(L37="WDV",(S37+R37)*U37,H37*(1-IF(I37="",Settings!$C$8,I37))/J37)*T37/Settings!$C$9,(S37+R37)-H37*IF(I37="",Settings!$C$8,I37))),0))</f>
        <v/>
      </c>
      <c r="W37" s="23" t="str">
        <f aca="false">IF(B37="","",IF(AND(O37&lt;&gt;"",O37&gt;=Settings!$C$6,O37&lt;=Settings!$C$7),H37,0))</f>
        <v/>
      </c>
      <c r="X37" s="23" t="str">
        <f aca="false">IF(B37="","",IF(W37&gt;0,N(N37)+V37,0))</f>
        <v/>
      </c>
      <c r="Y37" s="23" t="str">
        <f aca="false">IF(B37="","",Q37+R37-W37)</f>
        <v/>
      </c>
      <c r="Z37" s="23" t="str">
        <f aca="false">IF(B37="","",N(N37)+N(V37)-X37)</f>
        <v/>
      </c>
      <c r="AA37" s="25" t="str">
        <f aca="false">IF(B37="","",Y37-Z37)</f>
        <v/>
      </c>
      <c r="AB37" s="23" t="str">
        <f aca="false">IF(B37="","",IF(W37&gt;0,N(P37)-(W37-X37),0))</f>
        <v/>
      </c>
      <c r="AC37" s="7" t="str">
        <f aca="false">IF(B37="","",IF(AND(R37&gt;0,Settings!$C$7-G37+1&lt;180),"Yes","No"))</f>
        <v/>
      </c>
    </row>
    <row r="38" customFormat="false" ht="15" hidden="false" customHeight="false" outlineLevel="0" collapsed="false">
      <c r="B38" s="5"/>
      <c r="C38" s="5"/>
      <c r="D38" s="5"/>
      <c r="E38" s="5"/>
      <c r="F38" s="18"/>
      <c r="G38" s="18"/>
      <c r="H38" s="19"/>
      <c r="I38" s="20"/>
      <c r="J38" s="21" t="str">
        <f aca="false">IF(B38="","",IF(K38&lt;&gt;"",K38,IFERROR(INDEX(Settings!$C$14:$C$31,MATCH(D38,Settings!$B$14:$B$31,0)),"")))</f>
        <v/>
      </c>
      <c r="K38" s="22"/>
      <c r="L38" s="5"/>
      <c r="M38" s="5"/>
      <c r="N38" s="19"/>
      <c r="O38" s="18"/>
      <c r="P38" s="19"/>
      <c r="Q38" s="23" t="str">
        <f aca="false">IF(B38="","",IF(G38&lt;Settings!$C$6,H38,0))</f>
        <v/>
      </c>
      <c r="R38" s="23" t="str">
        <f aca="false">IF(B38="","",IF(AND(G38&gt;=Settings!$C$6,G38&lt;=Settings!$C$7),H38,0))</f>
        <v/>
      </c>
      <c r="S38" s="23" t="str">
        <f aca="false">IF(B38="","",Q38-N(N38))</f>
        <v/>
      </c>
      <c r="T38" s="21" t="str">
        <f aca="false">IF(B38="","",MAX(0,MIN(Settings!$C$7,IF(AND(O38&lt;&gt;"",O38&lt;=Settings!$C$7),O38-1,Settings!$C$7))-MAX(Settings!$C$6,G38)+1))</f>
        <v/>
      </c>
      <c r="U38" s="24" t="str">
        <f aca="false">IF(OR(B38="",J38=""),"",1-(IF(I38="",Settings!$C$8,I38))^(1/J38))</f>
        <v/>
      </c>
      <c r="V38" s="23" t="str">
        <f aca="false">IF(OR(B38="",J38=""),"",ROUND(MAX(0,MIN(IF(L38="WDV",(S38+R38)*U38,H38*(1-IF(I38="",Settings!$C$8,I38))/J38)*T38/Settings!$C$9,(S38+R38)-H38*IF(I38="",Settings!$C$8,I38))),0))</f>
        <v/>
      </c>
      <c r="W38" s="23" t="str">
        <f aca="false">IF(B38="","",IF(AND(O38&lt;&gt;"",O38&gt;=Settings!$C$6,O38&lt;=Settings!$C$7),H38,0))</f>
        <v/>
      </c>
      <c r="X38" s="23" t="str">
        <f aca="false">IF(B38="","",IF(W38&gt;0,N(N38)+V38,0))</f>
        <v/>
      </c>
      <c r="Y38" s="23" t="str">
        <f aca="false">IF(B38="","",Q38+R38-W38)</f>
        <v/>
      </c>
      <c r="Z38" s="23" t="str">
        <f aca="false">IF(B38="","",N(N38)+N(V38)-X38)</f>
        <v/>
      </c>
      <c r="AA38" s="25" t="str">
        <f aca="false">IF(B38="","",Y38-Z38)</f>
        <v/>
      </c>
      <c r="AB38" s="23" t="str">
        <f aca="false">IF(B38="","",IF(W38&gt;0,N(P38)-(W38-X38),0))</f>
        <v/>
      </c>
      <c r="AC38" s="7" t="str">
        <f aca="false">IF(B38="","",IF(AND(R38&gt;0,Settings!$C$7-G38+1&lt;180),"Yes","No"))</f>
        <v/>
      </c>
    </row>
    <row r="39" customFormat="false" ht="15" hidden="false" customHeight="false" outlineLevel="0" collapsed="false">
      <c r="B39" s="5"/>
      <c r="C39" s="5"/>
      <c r="D39" s="5"/>
      <c r="E39" s="5"/>
      <c r="F39" s="18"/>
      <c r="G39" s="18"/>
      <c r="H39" s="19"/>
      <c r="I39" s="20"/>
      <c r="J39" s="21" t="str">
        <f aca="false">IF(B39="","",IF(K39&lt;&gt;"",K39,IFERROR(INDEX(Settings!$C$14:$C$31,MATCH(D39,Settings!$B$14:$B$31,0)),"")))</f>
        <v/>
      </c>
      <c r="K39" s="22"/>
      <c r="L39" s="5"/>
      <c r="M39" s="5"/>
      <c r="N39" s="19"/>
      <c r="O39" s="18"/>
      <c r="P39" s="19"/>
      <c r="Q39" s="23" t="str">
        <f aca="false">IF(B39="","",IF(G39&lt;Settings!$C$6,H39,0))</f>
        <v/>
      </c>
      <c r="R39" s="23" t="str">
        <f aca="false">IF(B39="","",IF(AND(G39&gt;=Settings!$C$6,G39&lt;=Settings!$C$7),H39,0))</f>
        <v/>
      </c>
      <c r="S39" s="23" t="str">
        <f aca="false">IF(B39="","",Q39-N(N39))</f>
        <v/>
      </c>
      <c r="T39" s="21" t="str">
        <f aca="false">IF(B39="","",MAX(0,MIN(Settings!$C$7,IF(AND(O39&lt;&gt;"",O39&lt;=Settings!$C$7),O39-1,Settings!$C$7))-MAX(Settings!$C$6,G39)+1))</f>
        <v/>
      </c>
      <c r="U39" s="24" t="str">
        <f aca="false">IF(OR(B39="",J39=""),"",1-(IF(I39="",Settings!$C$8,I39))^(1/J39))</f>
        <v/>
      </c>
      <c r="V39" s="23" t="str">
        <f aca="false">IF(OR(B39="",J39=""),"",ROUND(MAX(0,MIN(IF(L39="WDV",(S39+R39)*U39,H39*(1-IF(I39="",Settings!$C$8,I39))/J39)*T39/Settings!$C$9,(S39+R39)-H39*IF(I39="",Settings!$C$8,I39))),0))</f>
        <v/>
      </c>
      <c r="W39" s="23" t="str">
        <f aca="false">IF(B39="","",IF(AND(O39&lt;&gt;"",O39&gt;=Settings!$C$6,O39&lt;=Settings!$C$7),H39,0))</f>
        <v/>
      </c>
      <c r="X39" s="23" t="str">
        <f aca="false">IF(B39="","",IF(W39&gt;0,N(N39)+V39,0))</f>
        <v/>
      </c>
      <c r="Y39" s="23" t="str">
        <f aca="false">IF(B39="","",Q39+R39-W39)</f>
        <v/>
      </c>
      <c r="Z39" s="23" t="str">
        <f aca="false">IF(B39="","",N(N39)+N(V39)-X39)</f>
        <v/>
      </c>
      <c r="AA39" s="25" t="str">
        <f aca="false">IF(B39="","",Y39-Z39)</f>
        <v/>
      </c>
      <c r="AB39" s="23" t="str">
        <f aca="false">IF(B39="","",IF(W39&gt;0,N(P39)-(W39-X39),0))</f>
        <v/>
      </c>
      <c r="AC39" s="7" t="str">
        <f aca="false">IF(B39="","",IF(AND(R39&gt;0,Settings!$C$7-G39+1&lt;180),"Yes","No"))</f>
        <v/>
      </c>
    </row>
    <row r="40" customFormat="false" ht="15" hidden="false" customHeight="false" outlineLevel="0" collapsed="false">
      <c r="B40" s="5"/>
      <c r="C40" s="5"/>
      <c r="D40" s="5"/>
      <c r="E40" s="5"/>
      <c r="F40" s="18"/>
      <c r="G40" s="18"/>
      <c r="H40" s="19"/>
      <c r="I40" s="20"/>
      <c r="J40" s="21" t="str">
        <f aca="false">IF(B40="","",IF(K40&lt;&gt;"",K40,IFERROR(INDEX(Settings!$C$14:$C$31,MATCH(D40,Settings!$B$14:$B$31,0)),"")))</f>
        <v/>
      </c>
      <c r="K40" s="22"/>
      <c r="L40" s="5"/>
      <c r="M40" s="5"/>
      <c r="N40" s="19"/>
      <c r="O40" s="18"/>
      <c r="P40" s="19"/>
      <c r="Q40" s="23" t="str">
        <f aca="false">IF(B40="","",IF(G40&lt;Settings!$C$6,H40,0))</f>
        <v/>
      </c>
      <c r="R40" s="23" t="str">
        <f aca="false">IF(B40="","",IF(AND(G40&gt;=Settings!$C$6,G40&lt;=Settings!$C$7),H40,0))</f>
        <v/>
      </c>
      <c r="S40" s="23" t="str">
        <f aca="false">IF(B40="","",Q40-N(N40))</f>
        <v/>
      </c>
      <c r="T40" s="21" t="str">
        <f aca="false">IF(B40="","",MAX(0,MIN(Settings!$C$7,IF(AND(O40&lt;&gt;"",O40&lt;=Settings!$C$7),O40-1,Settings!$C$7))-MAX(Settings!$C$6,G40)+1))</f>
        <v/>
      </c>
      <c r="U40" s="24" t="str">
        <f aca="false">IF(OR(B40="",J40=""),"",1-(IF(I40="",Settings!$C$8,I40))^(1/J40))</f>
        <v/>
      </c>
      <c r="V40" s="23" t="str">
        <f aca="false">IF(OR(B40="",J40=""),"",ROUND(MAX(0,MIN(IF(L40="WDV",(S40+R40)*U40,H40*(1-IF(I40="",Settings!$C$8,I40))/J40)*T40/Settings!$C$9,(S40+R40)-H40*IF(I40="",Settings!$C$8,I40))),0))</f>
        <v/>
      </c>
      <c r="W40" s="23" t="str">
        <f aca="false">IF(B40="","",IF(AND(O40&lt;&gt;"",O40&gt;=Settings!$C$6,O40&lt;=Settings!$C$7),H40,0))</f>
        <v/>
      </c>
      <c r="X40" s="23" t="str">
        <f aca="false">IF(B40="","",IF(W40&gt;0,N(N40)+V40,0))</f>
        <v/>
      </c>
      <c r="Y40" s="23" t="str">
        <f aca="false">IF(B40="","",Q40+R40-W40)</f>
        <v/>
      </c>
      <c r="Z40" s="23" t="str">
        <f aca="false">IF(B40="","",N(N40)+N(V40)-X40)</f>
        <v/>
      </c>
      <c r="AA40" s="25" t="str">
        <f aca="false">IF(B40="","",Y40-Z40)</f>
        <v/>
      </c>
      <c r="AB40" s="23" t="str">
        <f aca="false">IF(B40="","",IF(W40&gt;0,N(P40)-(W40-X40),0))</f>
        <v/>
      </c>
      <c r="AC40" s="7" t="str">
        <f aca="false">IF(B40="","",IF(AND(R40&gt;0,Settings!$C$7-G40+1&lt;180),"Yes","No"))</f>
        <v/>
      </c>
    </row>
    <row r="41" customFormat="false" ht="15" hidden="false" customHeight="false" outlineLevel="0" collapsed="false">
      <c r="B41" s="5"/>
      <c r="C41" s="5"/>
      <c r="D41" s="5"/>
      <c r="E41" s="5"/>
      <c r="F41" s="18"/>
      <c r="G41" s="18"/>
      <c r="H41" s="19"/>
      <c r="I41" s="20"/>
      <c r="J41" s="21" t="str">
        <f aca="false">IF(B41="","",IF(K41&lt;&gt;"",K41,IFERROR(INDEX(Settings!$C$14:$C$31,MATCH(D41,Settings!$B$14:$B$31,0)),"")))</f>
        <v/>
      </c>
      <c r="K41" s="22"/>
      <c r="L41" s="5"/>
      <c r="M41" s="5"/>
      <c r="N41" s="19"/>
      <c r="O41" s="18"/>
      <c r="P41" s="19"/>
      <c r="Q41" s="23" t="str">
        <f aca="false">IF(B41="","",IF(G41&lt;Settings!$C$6,H41,0))</f>
        <v/>
      </c>
      <c r="R41" s="23" t="str">
        <f aca="false">IF(B41="","",IF(AND(G41&gt;=Settings!$C$6,G41&lt;=Settings!$C$7),H41,0))</f>
        <v/>
      </c>
      <c r="S41" s="23" t="str">
        <f aca="false">IF(B41="","",Q41-N(N41))</f>
        <v/>
      </c>
      <c r="T41" s="21" t="str">
        <f aca="false">IF(B41="","",MAX(0,MIN(Settings!$C$7,IF(AND(O41&lt;&gt;"",O41&lt;=Settings!$C$7),O41-1,Settings!$C$7))-MAX(Settings!$C$6,G41)+1))</f>
        <v/>
      </c>
      <c r="U41" s="24" t="str">
        <f aca="false">IF(OR(B41="",J41=""),"",1-(IF(I41="",Settings!$C$8,I41))^(1/J41))</f>
        <v/>
      </c>
      <c r="V41" s="23" t="str">
        <f aca="false">IF(OR(B41="",J41=""),"",ROUND(MAX(0,MIN(IF(L41="WDV",(S41+R41)*U41,H41*(1-IF(I41="",Settings!$C$8,I41))/J41)*T41/Settings!$C$9,(S41+R41)-H41*IF(I41="",Settings!$C$8,I41))),0))</f>
        <v/>
      </c>
      <c r="W41" s="23" t="str">
        <f aca="false">IF(B41="","",IF(AND(O41&lt;&gt;"",O41&gt;=Settings!$C$6,O41&lt;=Settings!$C$7),H41,0))</f>
        <v/>
      </c>
      <c r="X41" s="23" t="str">
        <f aca="false">IF(B41="","",IF(W41&gt;0,N(N41)+V41,0))</f>
        <v/>
      </c>
      <c r="Y41" s="23" t="str">
        <f aca="false">IF(B41="","",Q41+R41-W41)</f>
        <v/>
      </c>
      <c r="Z41" s="23" t="str">
        <f aca="false">IF(B41="","",N(N41)+N(V41)-X41)</f>
        <v/>
      </c>
      <c r="AA41" s="25" t="str">
        <f aca="false">IF(B41="","",Y41-Z41)</f>
        <v/>
      </c>
      <c r="AB41" s="23" t="str">
        <f aca="false">IF(B41="","",IF(W41&gt;0,N(P41)-(W41-X41),0))</f>
        <v/>
      </c>
      <c r="AC41" s="7" t="str">
        <f aca="false">IF(B41="","",IF(AND(R41&gt;0,Settings!$C$7-G41+1&lt;180),"Yes","No"))</f>
        <v/>
      </c>
    </row>
    <row r="42" customFormat="false" ht="15" hidden="false" customHeight="false" outlineLevel="0" collapsed="false">
      <c r="B42" s="5"/>
      <c r="C42" s="5"/>
      <c r="D42" s="5"/>
      <c r="E42" s="5"/>
      <c r="F42" s="18"/>
      <c r="G42" s="18"/>
      <c r="H42" s="19"/>
      <c r="I42" s="20"/>
      <c r="J42" s="21" t="str">
        <f aca="false">IF(B42="","",IF(K42&lt;&gt;"",K42,IFERROR(INDEX(Settings!$C$14:$C$31,MATCH(D42,Settings!$B$14:$B$31,0)),"")))</f>
        <v/>
      </c>
      <c r="K42" s="22"/>
      <c r="L42" s="5"/>
      <c r="M42" s="5"/>
      <c r="N42" s="19"/>
      <c r="O42" s="18"/>
      <c r="P42" s="19"/>
      <c r="Q42" s="23" t="str">
        <f aca="false">IF(B42="","",IF(G42&lt;Settings!$C$6,H42,0))</f>
        <v/>
      </c>
      <c r="R42" s="23" t="str">
        <f aca="false">IF(B42="","",IF(AND(G42&gt;=Settings!$C$6,G42&lt;=Settings!$C$7),H42,0))</f>
        <v/>
      </c>
      <c r="S42" s="23" t="str">
        <f aca="false">IF(B42="","",Q42-N(N42))</f>
        <v/>
      </c>
      <c r="T42" s="21" t="str">
        <f aca="false">IF(B42="","",MAX(0,MIN(Settings!$C$7,IF(AND(O42&lt;&gt;"",O42&lt;=Settings!$C$7),O42-1,Settings!$C$7))-MAX(Settings!$C$6,G42)+1))</f>
        <v/>
      </c>
      <c r="U42" s="24" t="str">
        <f aca="false">IF(OR(B42="",J42=""),"",1-(IF(I42="",Settings!$C$8,I42))^(1/J42))</f>
        <v/>
      </c>
      <c r="V42" s="23" t="str">
        <f aca="false">IF(OR(B42="",J42=""),"",ROUND(MAX(0,MIN(IF(L42="WDV",(S42+R42)*U42,H42*(1-IF(I42="",Settings!$C$8,I42))/J42)*T42/Settings!$C$9,(S42+R42)-H42*IF(I42="",Settings!$C$8,I42))),0))</f>
        <v/>
      </c>
      <c r="W42" s="23" t="str">
        <f aca="false">IF(B42="","",IF(AND(O42&lt;&gt;"",O42&gt;=Settings!$C$6,O42&lt;=Settings!$C$7),H42,0))</f>
        <v/>
      </c>
      <c r="X42" s="23" t="str">
        <f aca="false">IF(B42="","",IF(W42&gt;0,N(N42)+V42,0))</f>
        <v/>
      </c>
      <c r="Y42" s="23" t="str">
        <f aca="false">IF(B42="","",Q42+R42-W42)</f>
        <v/>
      </c>
      <c r="Z42" s="23" t="str">
        <f aca="false">IF(B42="","",N(N42)+N(V42)-X42)</f>
        <v/>
      </c>
      <c r="AA42" s="25" t="str">
        <f aca="false">IF(B42="","",Y42-Z42)</f>
        <v/>
      </c>
      <c r="AB42" s="23" t="str">
        <f aca="false">IF(B42="","",IF(W42&gt;0,N(P42)-(W42-X42),0))</f>
        <v/>
      </c>
      <c r="AC42" s="7" t="str">
        <f aca="false">IF(B42="","",IF(AND(R42&gt;0,Settings!$C$7-G42+1&lt;180),"Yes","No"))</f>
        <v/>
      </c>
    </row>
    <row r="43" customFormat="false" ht="15" hidden="false" customHeight="false" outlineLevel="0" collapsed="false">
      <c r="B43" s="5"/>
      <c r="C43" s="5"/>
      <c r="D43" s="5"/>
      <c r="E43" s="5"/>
      <c r="F43" s="18"/>
      <c r="G43" s="18"/>
      <c r="H43" s="19"/>
      <c r="I43" s="20"/>
      <c r="J43" s="21" t="str">
        <f aca="false">IF(B43="","",IF(K43&lt;&gt;"",K43,IFERROR(INDEX(Settings!$C$14:$C$31,MATCH(D43,Settings!$B$14:$B$31,0)),"")))</f>
        <v/>
      </c>
      <c r="K43" s="22"/>
      <c r="L43" s="5"/>
      <c r="M43" s="5"/>
      <c r="N43" s="19"/>
      <c r="O43" s="18"/>
      <c r="P43" s="19"/>
      <c r="Q43" s="23" t="str">
        <f aca="false">IF(B43="","",IF(G43&lt;Settings!$C$6,H43,0))</f>
        <v/>
      </c>
      <c r="R43" s="23" t="str">
        <f aca="false">IF(B43="","",IF(AND(G43&gt;=Settings!$C$6,G43&lt;=Settings!$C$7),H43,0))</f>
        <v/>
      </c>
      <c r="S43" s="23" t="str">
        <f aca="false">IF(B43="","",Q43-N(N43))</f>
        <v/>
      </c>
      <c r="T43" s="21" t="str">
        <f aca="false">IF(B43="","",MAX(0,MIN(Settings!$C$7,IF(AND(O43&lt;&gt;"",O43&lt;=Settings!$C$7),O43-1,Settings!$C$7))-MAX(Settings!$C$6,G43)+1))</f>
        <v/>
      </c>
      <c r="U43" s="24" t="str">
        <f aca="false">IF(OR(B43="",J43=""),"",1-(IF(I43="",Settings!$C$8,I43))^(1/J43))</f>
        <v/>
      </c>
      <c r="V43" s="23" t="str">
        <f aca="false">IF(OR(B43="",J43=""),"",ROUND(MAX(0,MIN(IF(L43="WDV",(S43+R43)*U43,H43*(1-IF(I43="",Settings!$C$8,I43))/J43)*T43/Settings!$C$9,(S43+R43)-H43*IF(I43="",Settings!$C$8,I43))),0))</f>
        <v/>
      </c>
      <c r="W43" s="23" t="str">
        <f aca="false">IF(B43="","",IF(AND(O43&lt;&gt;"",O43&gt;=Settings!$C$6,O43&lt;=Settings!$C$7),H43,0))</f>
        <v/>
      </c>
      <c r="X43" s="23" t="str">
        <f aca="false">IF(B43="","",IF(W43&gt;0,N(N43)+V43,0))</f>
        <v/>
      </c>
      <c r="Y43" s="23" t="str">
        <f aca="false">IF(B43="","",Q43+R43-W43)</f>
        <v/>
      </c>
      <c r="Z43" s="23" t="str">
        <f aca="false">IF(B43="","",N(N43)+N(V43)-X43)</f>
        <v/>
      </c>
      <c r="AA43" s="25" t="str">
        <f aca="false">IF(B43="","",Y43-Z43)</f>
        <v/>
      </c>
      <c r="AB43" s="23" t="str">
        <f aca="false">IF(B43="","",IF(W43&gt;0,N(P43)-(W43-X43),0))</f>
        <v/>
      </c>
      <c r="AC43" s="7" t="str">
        <f aca="false">IF(B43="","",IF(AND(R43&gt;0,Settings!$C$7-G43+1&lt;180),"Yes","No"))</f>
        <v/>
      </c>
    </row>
    <row r="44" customFormat="false" ht="15" hidden="false" customHeight="false" outlineLevel="0" collapsed="false">
      <c r="B44" s="5"/>
      <c r="C44" s="5"/>
      <c r="D44" s="5"/>
      <c r="E44" s="5"/>
      <c r="F44" s="18"/>
      <c r="G44" s="18"/>
      <c r="H44" s="19"/>
      <c r="I44" s="20"/>
      <c r="J44" s="21" t="str">
        <f aca="false">IF(B44="","",IF(K44&lt;&gt;"",K44,IFERROR(INDEX(Settings!$C$14:$C$31,MATCH(D44,Settings!$B$14:$B$31,0)),"")))</f>
        <v/>
      </c>
      <c r="K44" s="22"/>
      <c r="L44" s="5"/>
      <c r="M44" s="5"/>
      <c r="N44" s="19"/>
      <c r="O44" s="18"/>
      <c r="P44" s="19"/>
      <c r="Q44" s="23" t="str">
        <f aca="false">IF(B44="","",IF(G44&lt;Settings!$C$6,H44,0))</f>
        <v/>
      </c>
      <c r="R44" s="23" t="str">
        <f aca="false">IF(B44="","",IF(AND(G44&gt;=Settings!$C$6,G44&lt;=Settings!$C$7),H44,0))</f>
        <v/>
      </c>
      <c r="S44" s="23" t="str">
        <f aca="false">IF(B44="","",Q44-N(N44))</f>
        <v/>
      </c>
      <c r="T44" s="21" t="str">
        <f aca="false">IF(B44="","",MAX(0,MIN(Settings!$C$7,IF(AND(O44&lt;&gt;"",O44&lt;=Settings!$C$7),O44-1,Settings!$C$7))-MAX(Settings!$C$6,G44)+1))</f>
        <v/>
      </c>
      <c r="U44" s="24" t="str">
        <f aca="false">IF(OR(B44="",J44=""),"",1-(IF(I44="",Settings!$C$8,I44))^(1/J44))</f>
        <v/>
      </c>
      <c r="V44" s="23" t="str">
        <f aca="false">IF(OR(B44="",J44=""),"",ROUND(MAX(0,MIN(IF(L44="WDV",(S44+R44)*U44,H44*(1-IF(I44="",Settings!$C$8,I44))/J44)*T44/Settings!$C$9,(S44+R44)-H44*IF(I44="",Settings!$C$8,I44))),0))</f>
        <v/>
      </c>
      <c r="W44" s="23" t="str">
        <f aca="false">IF(B44="","",IF(AND(O44&lt;&gt;"",O44&gt;=Settings!$C$6,O44&lt;=Settings!$C$7),H44,0))</f>
        <v/>
      </c>
      <c r="X44" s="23" t="str">
        <f aca="false">IF(B44="","",IF(W44&gt;0,N(N44)+V44,0))</f>
        <v/>
      </c>
      <c r="Y44" s="23" t="str">
        <f aca="false">IF(B44="","",Q44+R44-W44)</f>
        <v/>
      </c>
      <c r="Z44" s="23" t="str">
        <f aca="false">IF(B44="","",N(N44)+N(V44)-X44)</f>
        <v/>
      </c>
      <c r="AA44" s="25" t="str">
        <f aca="false">IF(B44="","",Y44-Z44)</f>
        <v/>
      </c>
      <c r="AB44" s="23" t="str">
        <f aca="false">IF(B44="","",IF(W44&gt;0,N(P44)-(W44-X44),0))</f>
        <v/>
      </c>
      <c r="AC44" s="7" t="str">
        <f aca="false">IF(B44="","",IF(AND(R44&gt;0,Settings!$C$7-G44+1&lt;180),"Yes","No"))</f>
        <v/>
      </c>
    </row>
    <row r="45" customFormat="false" ht="15" hidden="false" customHeight="false" outlineLevel="0" collapsed="false">
      <c r="B45" s="5"/>
      <c r="C45" s="5"/>
      <c r="D45" s="5"/>
      <c r="E45" s="5"/>
      <c r="F45" s="18"/>
      <c r="G45" s="18"/>
      <c r="H45" s="19"/>
      <c r="I45" s="20"/>
      <c r="J45" s="21" t="str">
        <f aca="false">IF(B45="","",IF(K45&lt;&gt;"",K45,IFERROR(INDEX(Settings!$C$14:$C$31,MATCH(D45,Settings!$B$14:$B$31,0)),"")))</f>
        <v/>
      </c>
      <c r="K45" s="22"/>
      <c r="L45" s="5"/>
      <c r="M45" s="5"/>
      <c r="N45" s="19"/>
      <c r="O45" s="18"/>
      <c r="P45" s="19"/>
      <c r="Q45" s="23" t="str">
        <f aca="false">IF(B45="","",IF(G45&lt;Settings!$C$6,H45,0))</f>
        <v/>
      </c>
      <c r="R45" s="23" t="str">
        <f aca="false">IF(B45="","",IF(AND(G45&gt;=Settings!$C$6,G45&lt;=Settings!$C$7),H45,0))</f>
        <v/>
      </c>
      <c r="S45" s="23" t="str">
        <f aca="false">IF(B45="","",Q45-N(N45))</f>
        <v/>
      </c>
      <c r="T45" s="21" t="str">
        <f aca="false">IF(B45="","",MAX(0,MIN(Settings!$C$7,IF(AND(O45&lt;&gt;"",O45&lt;=Settings!$C$7),O45-1,Settings!$C$7))-MAX(Settings!$C$6,G45)+1))</f>
        <v/>
      </c>
      <c r="U45" s="24" t="str">
        <f aca="false">IF(OR(B45="",J45=""),"",1-(IF(I45="",Settings!$C$8,I45))^(1/J45))</f>
        <v/>
      </c>
      <c r="V45" s="23" t="str">
        <f aca="false">IF(OR(B45="",J45=""),"",ROUND(MAX(0,MIN(IF(L45="WDV",(S45+R45)*U45,H45*(1-IF(I45="",Settings!$C$8,I45))/J45)*T45/Settings!$C$9,(S45+R45)-H45*IF(I45="",Settings!$C$8,I45))),0))</f>
        <v/>
      </c>
      <c r="W45" s="23" t="str">
        <f aca="false">IF(B45="","",IF(AND(O45&lt;&gt;"",O45&gt;=Settings!$C$6,O45&lt;=Settings!$C$7),H45,0))</f>
        <v/>
      </c>
      <c r="X45" s="23" t="str">
        <f aca="false">IF(B45="","",IF(W45&gt;0,N(N45)+V45,0))</f>
        <v/>
      </c>
      <c r="Y45" s="23" t="str">
        <f aca="false">IF(B45="","",Q45+R45-W45)</f>
        <v/>
      </c>
      <c r="Z45" s="23" t="str">
        <f aca="false">IF(B45="","",N(N45)+N(V45)-X45)</f>
        <v/>
      </c>
      <c r="AA45" s="25" t="str">
        <f aca="false">IF(B45="","",Y45-Z45)</f>
        <v/>
      </c>
      <c r="AB45" s="23" t="str">
        <f aca="false">IF(B45="","",IF(W45&gt;0,N(P45)-(W45-X45),0))</f>
        <v/>
      </c>
      <c r="AC45" s="7" t="str">
        <f aca="false">IF(B45="","",IF(AND(R45&gt;0,Settings!$C$7-G45+1&lt;180),"Yes","No"))</f>
        <v/>
      </c>
    </row>
    <row r="46" customFormat="false" ht="15" hidden="false" customHeight="false" outlineLevel="0" collapsed="false">
      <c r="B46" s="5"/>
      <c r="C46" s="5"/>
      <c r="D46" s="5"/>
      <c r="E46" s="5"/>
      <c r="F46" s="18"/>
      <c r="G46" s="18"/>
      <c r="H46" s="19"/>
      <c r="I46" s="20"/>
      <c r="J46" s="21" t="str">
        <f aca="false">IF(B46="","",IF(K46&lt;&gt;"",K46,IFERROR(INDEX(Settings!$C$14:$C$31,MATCH(D46,Settings!$B$14:$B$31,0)),"")))</f>
        <v/>
      </c>
      <c r="K46" s="22"/>
      <c r="L46" s="5"/>
      <c r="M46" s="5"/>
      <c r="N46" s="19"/>
      <c r="O46" s="18"/>
      <c r="P46" s="19"/>
      <c r="Q46" s="23" t="str">
        <f aca="false">IF(B46="","",IF(G46&lt;Settings!$C$6,H46,0))</f>
        <v/>
      </c>
      <c r="R46" s="23" t="str">
        <f aca="false">IF(B46="","",IF(AND(G46&gt;=Settings!$C$6,G46&lt;=Settings!$C$7),H46,0))</f>
        <v/>
      </c>
      <c r="S46" s="23" t="str">
        <f aca="false">IF(B46="","",Q46-N(N46))</f>
        <v/>
      </c>
      <c r="T46" s="21" t="str">
        <f aca="false">IF(B46="","",MAX(0,MIN(Settings!$C$7,IF(AND(O46&lt;&gt;"",O46&lt;=Settings!$C$7),O46-1,Settings!$C$7))-MAX(Settings!$C$6,G46)+1))</f>
        <v/>
      </c>
      <c r="U46" s="24" t="str">
        <f aca="false">IF(OR(B46="",J46=""),"",1-(IF(I46="",Settings!$C$8,I46))^(1/J46))</f>
        <v/>
      </c>
      <c r="V46" s="23" t="str">
        <f aca="false">IF(OR(B46="",J46=""),"",ROUND(MAX(0,MIN(IF(L46="WDV",(S46+R46)*U46,H46*(1-IF(I46="",Settings!$C$8,I46))/J46)*T46/Settings!$C$9,(S46+R46)-H46*IF(I46="",Settings!$C$8,I46))),0))</f>
        <v/>
      </c>
      <c r="W46" s="23" t="str">
        <f aca="false">IF(B46="","",IF(AND(O46&lt;&gt;"",O46&gt;=Settings!$C$6,O46&lt;=Settings!$C$7),H46,0))</f>
        <v/>
      </c>
      <c r="X46" s="23" t="str">
        <f aca="false">IF(B46="","",IF(W46&gt;0,N(N46)+V46,0))</f>
        <v/>
      </c>
      <c r="Y46" s="23" t="str">
        <f aca="false">IF(B46="","",Q46+R46-W46)</f>
        <v/>
      </c>
      <c r="Z46" s="23" t="str">
        <f aca="false">IF(B46="","",N(N46)+N(V46)-X46)</f>
        <v/>
      </c>
      <c r="AA46" s="25" t="str">
        <f aca="false">IF(B46="","",Y46-Z46)</f>
        <v/>
      </c>
      <c r="AB46" s="23" t="str">
        <f aca="false">IF(B46="","",IF(W46&gt;0,N(P46)-(W46-X46),0))</f>
        <v/>
      </c>
      <c r="AC46" s="7" t="str">
        <f aca="false">IF(B46="","",IF(AND(R46&gt;0,Settings!$C$7-G46+1&lt;180),"Yes","No"))</f>
        <v/>
      </c>
    </row>
    <row r="47" customFormat="false" ht="15" hidden="false" customHeight="false" outlineLevel="0" collapsed="false">
      <c r="B47" s="5"/>
      <c r="C47" s="5"/>
      <c r="D47" s="5"/>
      <c r="E47" s="5"/>
      <c r="F47" s="18"/>
      <c r="G47" s="18"/>
      <c r="H47" s="19"/>
      <c r="I47" s="20"/>
      <c r="J47" s="21" t="str">
        <f aca="false">IF(B47="","",IF(K47&lt;&gt;"",K47,IFERROR(INDEX(Settings!$C$14:$C$31,MATCH(D47,Settings!$B$14:$B$31,0)),"")))</f>
        <v/>
      </c>
      <c r="K47" s="22"/>
      <c r="L47" s="5"/>
      <c r="M47" s="5"/>
      <c r="N47" s="19"/>
      <c r="O47" s="18"/>
      <c r="P47" s="19"/>
      <c r="Q47" s="23" t="str">
        <f aca="false">IF(B47="","",IF(G47&lt;Settings!$C$6,H47,0))</f>
        <v/>
      </c>
      <c r="R47" s="23" t="str">
        <f aca="false">IF(B47="","",IF(AND(G47&gt;=Settings!$C$6,G47&lt;=Settings!$C$7),H47,0))</f>
        <v/>
      </c>
      <c r="S47" s="23" t="str">
        <f aca="false">IF(B47="","",Q47-N(N47))</f>
        <v/>
      </c>
      <c r="T47" s="21" t="str">
        <f aca="false">IF(B47="","",MAX(0,MIN(Settings!$C$7,IF(AND(O47&lt;&gt;"",O47&lt;=Settings!$C$7),O47-1,Settings!$C$7))-MAX(Settings!$C$6,G47)+1))</f>
        <v/>
      </c>
      <c r="U47" s="24" t="str">
        <f aca="false">IF(OR(B47="",J47=""),"",1-(IF(I47="",Settings!$C$8,I47))^(1/J47))</f>
        <v/>
      </c>
      <c r="V47" s="23" t="str">
        <f aca="false">IF(OR(B47="",J47=""),"",ROUND(MAX(0,MIN(IF(L47="WDV",(S47+R47)*U47,H47*(1-IF(I47="",Settings!$C$8,I47))/J47)*T47/Settings!$C$9,(S47+R47)-H47*IF(I47="",Settings!$C$8,I47))),0))</f>
        <v/>
      </c>
      <c r="W47" s="23" t="str">
        <f aca="false">IF(B47="","",IF(AND(O47&lt;&gt;"",O47&gt;=Settings!$C$6,O47&lt;=Settings!$C$7),H47,0))</f>
        <v/>
      </c>
      <c r="X47" s="23" t="str">
        <f aca="false">IF(B47="","",IF(W47&gt;0,N(N47)+V47,0))</f>
        <v/>
      </c>
      <c r="Y47" s="23" t="str">
        <f aca="false">IF(B47="","",Q47+R47-W47)</f>
        <v/>
      </c>
      <c r="Z47" s="23" t="str">
        <f aca="false">IF(B47="","",N(N47)+N(V47)-X47)</f>
        <v/>
      </c>
      <c r="AA47" s="25" t="str">
        <f aca="false">IF(B47="","",Y47-Z47)</f>
        <v/>
      </c>
      <c r="AB47" s="23" t="str">
        <f aca="false">IF(B47="","",IF(W47&gt;0,N(P47)-(W47-X47),0))</f>
        <v/>
      </c>
      <c r="AC47" s="7" t="str">
        <f aca="false">IF(B47="","",IF(AND(R47&gt;0,Settings!$C$7-G47+1&lt;180),"Yes","No"))</f>
        <v/>
      </c>
    </row>
    <row r="48" customFormat="false" ht="15" hidden="false" customHeight="false" outlineLevel="0" collapsed="false">
      <c r="B48" s="5"/>
      <c r="C48" s="5"/>
      <c r="D48" s="5"/>
      <c r="E48" s="5"/>
      <c r="F48" s="18"/>
      <c r="G48" s="18"/>
      <c r="H48" s="19"/>
      <c r="I48" s="20"/>
      <c r="J48" s="21" t="str">
        <f aca="false">IF(B48="","",IF(K48&lt;&gt;"",K48,IFERROR(INDEX(Settings!$C$14:$C$31,MATCH(D48,Settings!$B$14:$B$31,0)),"")))</f>
        <v/>
      </c>
      <c r="K48" s="22"/>
      <c r="L48" s="5"/>
      <c r="M48" s="5"/>
      <c r="N48" s="19"/>
      <c r="O48" s="18"/>
      <c r="P48" s="19"/>
      <c r="Q48" s="23" t="str">
        <f aca="false">IF(B48="","",IF(G48&lt;Settings!$C$6,H48,0))</f>
        <v/>
      </c>
      <c r="R48" s="23" t="str">
        <f aca="false">IF(B48="","",IF(AND(G48&gt;=Settings!$C$6,G48&lt;=Settings!$C$7),H48,0))</f>
        <v/>
      </c>
      <c r="S48" s="23" t="str">
        <f aca="false">IF(B48="","",Q48-N(N48))</f>
        <v/>
      </c>
      <c r="T48" s="21" t="str">
        <f aca="false">IF(B48="","",MAX(0,MIN(Settings!$C$7,IF(AND(O48&lt;&gt;"",O48&lt;=Settings!$C$7),O48-1,Settings!$C$7))-MAX(Settings!$C$6,G48)+1))</f>
        <v/>
      </c>
      <c r="U48" s="24" t="str">
        <f aca="false">IF(OR(B48="",J48=""),"",1-(IF(I48="",Settings!$C$8,I48))^(1/J48))</f>
        <v/>
      </c>
      <c r="V48" s="23" t="str">
        <f aca="false">IF(OR(B48="",J48=""),"",ROUND(MAX(0,MIN(IF(L48="WDV",(S48+R48)*U48,H48*(1-IF(I48="",Settings!$C$8,I48))/J48)*T48/Settings!$C$9,(S48+R48)-H48*IF(I48="",Settings!$C$8,I48))),0))</f>
        <v/>
      </c>
      <c r="W48" s="23" t="str">
        <f aca="false">IF(B48="","",IF(AND(O48&lt;&gt;"",O48&gt;=Settings!$C$6,O48&lt;=Settings!$C$7),H48,0))</f>
        <v/>
      </c>
      <c r="X48" s="23" t="str">
        <f aca="false">IF(B48="","",IF(W48&gt;0,N(N48)+V48,0))</f>
        <v/>
      </c>
      <c r="Y48" s="23" t="str">
        <f aca="false">IF(B48="","",Q48+R48-W48)</f>
        <v/>
      </c>
      <c r="Z48" s="23" t="str">
        <f aca="false">IF(B48="","",N(N48)+N(V48)-X48)</f>
        <v/>
      </c>
      <c r="AA48" s="25" t="str">
        <f aca="false">IF(B48="","",Y48-Z48)</f>
        <v/>
      </c>
      <c r="AB48" s="23" t="str">
        <f aca="false">IF(B48="","",IF(W48&gt;0,N(P48)-(W48-X48),0))</f>
        <v/>
      </c>
      <c r="AC48" s="7" t="str">
        <f aca="false">IF(B48="","",IF(AND(R48&gt;0,Settings!$C$7-G48+1&lt;180),"Yes","No"))</f>
        <v/>
      </c>
    </row>
    <row r="49" customFormat="false" ht="15" hidden="false" customHeight="false" outlineLevel="0" collapsed="false">
      <c r="B49" s="5"/>
      <c r="C49" s="5"/>
      <c r="D49" s="5"/>
      <c r="E49" s="5"/>
      <c r="F49" s="18"/>
      <c r="G49" s="18"/>
      <c r="H49" s="19"/>
      <c r="I49" s="20"/>
      <c r="J49" s="21" t="str">
        <f aca="false">IF(B49="","",IF(K49&lt;&gt;"",K49,IFERROR(INDEX(Settings!$C$14:$C$31,MATCH(D49,Settings!$B$14:$B$31,0)),"")))</f>
        <v/>
      </c>
      <c r="K49" s="22"/>
      <c r="L49" s="5"/>
      <c r="M49" s="5"/>
      <c r="N49" s="19"/>
      <c r="O49" s="18"/>
      <c r="P49" s="19"/>
      <c r="Q49" s="23" t="str">
        <f aca="false">IF(B49="","",IF(G49&lt;Settings!$C$6,H49,0))</f>
        <v/>
      </c>
      <c r="R49" s="23" t="str">
        <f aca="false">IF(B49="","",IF(AND(G49&gt;=Settings!$C$6,G49&lt;=Settings!$C$7),H49,0))</f>
        <v/>
      </c>
      <c r="S49" s="23" t="str">
        <f aca="false">IF(B49="","",Q49-N(N49))</f>
        <v/>
      </c>
      <c r="T49" s="21" t="str">
        <f aca="false">IF(B49="","",MAX(0,MIN(Settings!$C$7,IF(AND(O49&lt;&gt;"",O49&lt;=Settings!$C$7),O49-1,Settings!$C$7))-MAX(Settings!$C$6,G49)+1))</f>
        <v/>
      </c>
      <c r="U49" s="24" t="str">
        <f aca="false">IF(OR(B49="",J49=""),"",1-(IF(I49="",Settings!$C$8,I49))^(1/J49))</f>
        <v/>
      </c>
      <c r="V49" s="23" t="str">
        <f aca="false">IF(OR(B49="",J49=""),"",ROUND(MAX(0,MIN(IF(L49="WDV",(S49+R49)*U49,H49*(1-IF(I49="",Settings!$C$8,I49))/J49)*T49/Settings!$C$9,(S49+R49)-H49*IF(I49="",Settings!$C$8,I49))),0))</f>
        <v/>
      </c>
      <c r="W49" s="23" t="str">
        <f aca="false">IF(B49="","",IF(AND(O49&lt;&gt;"",O49&gt;=Settings!$C$6,O49&lt;=Settings!$C$7),H49,0))</f>
        <v/>
      </c>
      <c r="X49" s="23" t="str">
        <f aca="false">IF(B49="","",IF(W49&gt;0,N(N49)+V49,0))</f>
        <v/>
      </c>
      <c r="Y49" s="23" t="str">
        <f aca="false">IF(B49="","",Q49+R49-W49)</f>
        <v/>
      </c>
      <c r="Z49" s="23" t="str">
        <f aca="false">IF(B49="","",N(N49)+N(V49)-X49)</f>
        <v/>
      </c>
      <c r="AA49" s="25" t="str">
        <f aca="false">IF(B49="","",Y49-Z49)</f>
        <v/>
      </c>
      <c r="AB49" s="23" t="str">
        <f aca="false">IF(B49="","",IF(W49&gt;0,N(P49)-(W49-X49),0))</f>
        <v/>
      </c>
      <c r="AC49" s="7" t="str">
        <f aca="false">IF(B49="","",IF(AND(R49&gt;0,Settings!$C$7-G49+1&lt;180),"Yes","No"))</f>
        <v/>
      </c>
    </row>
    <row r="50" customFormat="false" ht="15" hidden="false" customHeight="false" outlineLevel="0" collapsed="false">
      <c r="B50" s="5"/>
      <c r="C50" s="5"/>
      <c r="D50" s="5"/>
      <c r="E50" s="5"/>
      <c r="F50" s="18"/>
      <c r="G50" s="18"/>
      <c r="H50" s="19"/>
      <c r="I50" s="20"/>
      <c r="J50" s="21" t="str">
        <f aca="false">IF(B50="","",IF(K50&lt;&gt;"",K50,IFERROR(INDEX(Settings!$C$14:$C$31,MATCH(D50,Settings!$B$14:$B$31,0)),"")))</f>
        <v/>
      </c>
      <c r="K50" s="22"/>
      <c r="L50" s="5"/>
      <c r="M50" s="5"/>
      <c r="N50" s="19"/>
      <c r="O50" s="18"/>
      <c r="P50" s="19"/>
      <c r="Q50" s="23" t="str">
        <f aca="false">IF(B50="","",IF(G50&lt;Settings!$C$6,H50,0))</f>
        <v/>
      </c>
      <c r="R50" s="23" t="str">
        <f aca="false">IF(B50="","",IF(AND(G50&gt;=Settings!$C$6,G50&lt;=Settings!$C$7),H50,0))</f>
        <v/>
      </c>
      <c r="S50" s="23" t="str">
        <f aca="false">IF(B50="","",Q50-N(N50))</f>
        <v/>
      </c>
      <c r="T50" s="21" t="str">
        <f aca="false">IF(B50="","",MAX(0,MIN(Settings!$C$7,IF(AND(O50&lt;&gt;"",O50&lt;=Settings!$C$7),O50-1,Settings!$C$7))-MAX(Settings!$C$6,G50)+1))</f>
        <v/>
      </c>
      <c r="U50" s="24" t="str">
        <f aca="false">IF(OR(B50="",J50=""),"",1-(IF(I50="",Settings!$C$8,I50))^(1/J50))</f>
        <v/>
      </c>
      <c r="V50" s="23" t="str">
        <f aca="false">IF(OR(B50="",J50=""),"",ROUND(MAX(0,MIN(IF(L50="WDV",(S50+R50)*U50,H50*(1-IF(I50="",Settings!$C$8,I50))/J50)*T50/Settings!$C$9,(S50+R50)-H50*IF(I50="",Settings!$C$8,I50))),0))</f>
        <v/>
      </c>
      <c r="W50" s="23" t="str">
        <f aca="false">IF(B50="","",IF(AND(O50&lt;&gt;"",O50&gt;=Settings!$C$6,O50&lt;=Settings!$C$7),H50,0))</f>
        <v/>
      </c>
      <c r="X50" s="23" t="str">
        <f aca="false">IF(B50="","",IF(W50&gt;0,N(N50)+V50,0))</f>
        <v/>
      </c>
      <c r="Y50" s="23" t="str">
        <f aca="false">IF(B50="","",Q50+R50-W50)</f>
        <v/>
      </c>
      <c r="Z50" s="23" t="str">
        <f aca="false">IF(B50="","",N(N50)+N(V50)-X50)</f>
        <v/>
      </c>
      <c r="AA50" s="25" t="str">
        <f aca="false">IF(B50="","",Y50-Z50)</f>
        <v/>
      </c>
      <c r="AB50" s="23" t="str">
        <f aca="false">IF(B50="","",IF(W50&gt;0,N(P50)-(W50-X50),0))</f>
        <v/>
      </c>
      <c r="AC50" s="7" t="str">
        <f aca="false">IF(B50="","",IF(AND(R50&gt;0,Settings!$C$7-G50+1&lt;180),"Yes","No"))</f>
        <v/>
      </c>
    </row>
    <row r="51" customFormat="false" ht="15" hidden="false" customHeight="false" outlineLevel="0" collapsed="false">
      <c r="B51" s="5"/>
      <c r="C51" s="5"/>
      <c r="D51" s="5"/>
      <c r="E51" s="5"/>
      <c r="F51" s="18"/>
      <c r="G51" s="18"/>
      <c r="H51" s="19"/>
      <c r="I51" s="20"/>
      <c r="J51" s="21" t="str">
        <f aca="false">IF(B51="","",IF(K51&lt;&gt;"",K51,IFERROR(INDEX(Settings!$C$14:$C$31,MATCH(D51,Settings!$B$14:$B$31,0)),"")))</f>
        <v/>
      </c>
      <c r="K51" s="22"/>
      <c r="L51" s="5"/>
      <c r="M51" s="5"/>
      <c r="N51" s="19"/>
      <c r="O51" s="18"/>
      <c r="P51" s="19"/>
      <c r="Q51" s="23" t="str">
        <f aca="false">IF(B51="","",IF(G51&lt;Settings!$C$6,H51,0))</f>
        <v/>
      </c>
      <c r="R51" s="23" t="str">
        <f aca="false">IF(B51="","",IF(AND(G51&gt;=Settings!$C$6,G51&lt;=Settings!$C$7),H51,0))</f>
        <v/>
      </c>
      <c r="S51" s="23" t="str">
        <f aca="false">IF(B51="","",Q51-N(N51))</f>
        <v/>
      </c>
      <c r="T51" s="21" t="str">
        <f aca="false">IF(B51="","",MAX(0,MIN(Settings!$C$7,IF(AND(O51&lt;&gt;"",O51&lt;=Settings!$C$7),O51-1,Settings!$C$7))-MAX(Settings!$C$6,G51)+1))</f>
        <v/>
      </c>
      <c r="U51" s="24" t="str">
        <f aca="false">IF(OR(B51="",J51=""),"",1-(IF(I51="",Settings!$C$8,I51))^(1/J51))</f>
        <v/>
      </c>
      <c r="V51" s="23" t="str">
        <f aca="false">IF(OR(B51="",J51=""),"",ROUND(MAX(0,MIN(IF(L51="WDV",(S51+R51)*U51,H51*(1-IF(I51="",Settings!$C$8,I51))/J51)*T51/Settings!$C$9,(S51+R51)-H51*IF(I51="",Settings!$C$8,I51))),0))</f>
        <v/>
      </c>
      <c r="W51" s="23" t="str">
        <f aca="false">IF(B51="","",IF(AND(O51&lt;&gt;"",O51&gt;=Settings!$C$6,O51&lt;=Settings!$C$7),H51,0))</f>
        <v/>
      </c>
      <c r="X51" s="23" t="str">
        <f aca="false">IF(B51="","",IF(W51&gt;0,N(N51)+V51,0))</f>
        <v/>
      </c>
      <c r="Y51" s="23" t="str">
        <f aca="false">IF(B51="","",Q51+R51-W51)</f>
        <v/>
      </c>
      <c r="Z51" s="23" t="str">
        <f aca="false">IF(B51="","",N(N51)+N(V51)-X51)</f>
        <v/>
      </c>
      <c r="AA51" s="25" t="str">
        <f aca="false">IF(B51="","",Y51-Z51)</f>
        <v/>
      </c>
      <c r="AB51" s="23" t="str">
        <f aca="false">IF(B51="","",IF(W51&gt;0,N(P51)-(W51-X51),0))</f>
        <v/>
      </c>
      <c r="AC51" s="7" t="str">
        <f aca="false">IF(B51="","",IF(AND(R51&gt;0,Settings!$C$7-G51+1&lt;180),"Yes","No"))</f>
        <v/>
      </c>
    </row>
    <row r="52" customFormat="false" ht="15" hidden="false" customHeight="false" outlineLevel="0" collapsed="false">
      <c r="B52" s="5"/>
      <c r="C52" s="5"/>
      <c r="D52" s="5"/>
      <c r="E52" s="5"/>
      <c r="F52" s="18"/>
      <c r="G52" s="18"/>
      <c r="H52" s="19"/>
      <c r="I52" s="20"/>
      <c r="J52" s="21" t="str">
        <f aca="false">IF(B52="","",IF(K52&lt;&gt;"",K52,IFERROR(INDEX(Settings!$C$14:$C$31,MATCH(D52,Settings!$B$14:$B$31,0)),"")))</f>
        <v/>
      </c>
      <c r="K52" s="22"/>
      <c r="L52" s="5"/>
      <c r="M52" s="5"/>
      <c r="N52" s="19"/>
      <c r="O52" s="18"/>
      <c r="P52" s="19"/>
      <c r="Q52" s="23" t="str">
        <f aca="false">IF(B52="","",IF(G52&lt;Settings!$C$6,H52,0))</f>
        <v/>
      </c>
      <c r="R52" s="23" t="str">
        <f aca="false">IF(B52="","",IF(AND(G52&gt;=Settings!$C$6,G52&lt;=Settings!$C$7),H52,0))</f>
        <v/>
      </c>
      <c r="S52" s="23" t="str">
        <f aca="false">IF(B52="","",Q52-N(N52))</f>
        <v/>
      </c>
      <c r="T52" s="21" t="str">
        <f aca="false">IF(B52="","",MAX(0,MIN(Settings!$C$7,IF(AND(O52&lt;&gt;"",O52&lt;=Settings!$C$7),O52-1,Settings!$C$7))-MAX(Settings!$C$6,G52)+1))</f>
        <v/>
      </c>
      <c r="U52" s="24" t="str">
        <f aca="false">IF(OR(B52="",J52=""),"",1-(IF(I52="",Settings!$C$8,I52))^(1/J52))</f>
        <v/>
      </c>
      <c r="V52" s="23" t="str">
        <f aca="false">IF(OR(B52="",J52=""),"",ROUND(MAX(0,MIN(IF(L52="WDV",(S52+R52)*U52,H52*(1-IF(I52="",Settings!$C$8,I52))/J52)*T52/Settings!$C$9,(S52+R52)-H52*IF(I52="",Settings!$C$8,I52))),0))</f>
        <v/>
      </c>
      <c r="W52" s="23" t="str">
        <f aca="false">IF(B52="","",IF(AND(O52&lt;&gt;"",O52&gt;=Settings!$C$6,O52&lt;=Settings!$C$7),H52,0))</f>
        <v/>
      </c>
      <c r="X52" s="23" t="str">
        <f aca="false">IF(B52="","",IF(W52&gt;0,N(N52)+V52,0))</f>
        <v/>
      </c>
      <c r="Y52" s="23" t="str">
        <f aca="false">IF(B52="","",Q52+R52-W52)</f>
        <v/>
      </c>
      <c r="Z52" s="23" t="str">
        <f aca="false">IF(B52="","",N(N52)+N(V52)-X52)</f>
        <v/>
      </c>
      <c r="AA52" s="25" t="str">
        <f aca="false">IF(B52="","",Y52-Z52)</f>
        <v/>
      </c>
      <c r="AB52" s="23" t="str">
        <f aca="false">IF(B52="","",IF(W52&gt;0,N(P52)-(W52-X52),0))</f>
        <v/>
      </c>
      <c r="AC52" s="7" t="str">
        <f aca="false">IF(B52="","",IF(AND(R52&gt;0,Settings!$C$7-G52+1&lt;180),"Yes","No"))</f>
        <v/>
      </c>
    </row>
    <row r="53" customFormat="false" ht="15" hidden="false" customHeight="false" outlineLevel="0" collapsed="false">
      <c r="B53" s="5"/>
      <c r="C53" s="5"/>
      <c r="D53" s="5"/>
      <c r="E53" s="5"/>
      <c r="F53" s="18"/>
      <c r="G53" s="18"/>
      <c r="H53" s="19"/>
      <c r="I53" s="20"/>
      <c r="J53" s="21" t="str">
        <f aca="false">IF(B53="","",IF(K53&lt;&gt;"",K53,IFERROR(INDEX(Settings!$C$14:$C$31,MATCH(D53,Settings!$B$14:$B$31,0)),"")))</f>
        <v/>
      </c>
      <c r="K53" s="22"/>
      <c r="L53" s="5"/>
      <c r="M53" s="5"/>
      <c r="N53" s="19"/>
      <c r="O53" s="18"/>
      <c r="P53" s="19"/>
      <c r="Q53" s="23" t="str">
        <f aca="false">IF(B53="","",IF(G53&lt;Settings!$C$6,H53,0))</f>
        <v/>
      </c>
      <c r="R53" s="23" t="str">
        <f aca="false">IF(B53="","",IF(AND(G53&gt;=Settings!$C$6,G53&lt;=Settings!$C$7),H53,0))</f>
        <v/>
      </c>
      <c r="S53" s="23" t="str">
        <f aca="false">IF(B53="","",Q53-N(N53))</f>
        <v/>
      </c>
      <c r="T53" s="21" t="str">
        <f aca="false">IF(B53="","",MAX(0,MIN(Settings!$C$7,IF(AND(O53&lt;&gt;"",O53&lt;=Settings!$C$7),O53-1,Settings!$C$7))-MAX(Settings!$C$6,G53)+1))</f>
        <v/>
      </c>
      <c r="U53" s="24" t="str">
        <f aca="false">IF(OR(B53="",J53=""),"",1-(IF(I53="",Settings!$C$8,I53))^(1/J53))</f>
        <v/>
      </c>
      <c r="V53" s="23" t="str">
        <f aca="false">IF(OR(B53="",J53=""),"",ROUND(MAX(0,MIN(IF(L53="WDV",(S53+R53)*U53,H53*(1-IF(I53="",Settings!$C$8,I53))/J53)*T53/Settings!$C$9,(S53+R53)-H53*IF(I53="",Settings!$C$8,I53))),0))</f>
        <v/>
      </c>
      <c r="W53" s="23" t="str">
        <f aca="false">IF(B53="","",IF(AND(O53&lt;&gt;"",O53&gt;=Settings!$C$6,O53&lt;=Settings!$C$7),H53,0))</f>
        <v/>
      </c>
      <c r="X53" s="23" t="str">
        <f aca="false">IF(B53="","",IF(W53&gt;0,N(N53)+V53,0))</f>
        <v/>
      </c>
      <c r="Y53" s="23" t="str">
        <f aca="false">IF(B53="","",Q53+R53-W53)</f>
        <v/>
      </c>
      <c r="Z53" s="23" t="str">
        <f aca="false">IF(B53="","",N(N53)+N(V53)-X53)</f>
        <v/>
      </c>
      <c r="AA53" s="25" t="str">
        <f aca="false">IF(B53="","",Y53-Z53)</f>
        <v/>
      </c>
      <c r="AB53" s="23" t="str">
        <f aca="false">IF(B53="","",IF(W53&gt;0,N(P53)-(W53-X53),0))</f>
        <v/>
      </c>
      <c r="AC53" s="7" t="str">
        <f aca="false">IF(B53="","",IF(AND(R53&gt;0,Settings!$C$7-G53+1&lt;180),"Yes","No"))</f>
        <v/>
      </c>
    </row>
    <row r="54" customFormat="false" ht="15" hidden="false" customHeight="false" outlineLevel="0" collapsed="false">
      <c r="B54" s="5"/>
      <c r="C54" s="5"/>
      <c r="D54" s="5"/>
      <c r="E54" s="5"/>
      <c r="F54" s="18"/>
      <c r="G54" s="18"/>
      <c r="H54" s="19"/>
      <c r="I54" s="20"/>
      <c r="J54" s="21" t="str">
        <f aca="false">IF(B54="","",IF(K54&lt;&gt;"",K54,IFERROR(INDEX(Settings!$C$14:$C$31,MATCH(D54,Settings!$B$14:$B$31,0)),"")))</f>
        <v/>
      </c>
      <c r="K54" s="22"/>
      <c r="L54" s="5"/>
      <c r="M54" s="5"/>
      <c r="N54" s="19"/>
      <c r="O54" s="18"/>
      <c r="P54" s="19"/>
      <c r="Q54" s="23" t="str">
        <f aca="false">IF(B54="","",IF(G54&lt;Settings!$C$6,H54,0))</f>
        <v/>
      </c>
      <c r="R54" s="23" t="str">
        <f aca="false">IF(B54="","",IF(AND(G54&gt;=Settings!$C$6,G54&lt;=Settings!$C$7),H54,0))</f>
        <v/>
      </c>
      <c r="S54" s="23" t="str">
        <f aca="false">IF(B54="","",Q54-N(N54))</f>
        <v/>
      </c>
      <c r="T54" s="21" t="str">
        <f aca="false">IF(B54="","",MAX(0,MIN(Settings!$C$7,IF(AND(O54&lt;&gt;"",O54&lt;=Settings!$C$7),O54-1,Settings!$C$7))-MAX(Settings!$C$6,G54)+1))</f>
        <v/>
      </c>
      <c r="U54" s="24" t="str">
        <f aca="false">IF(OR(B54="",J54=""),"",1-(IF(I54="",Settings!$C$8,I54))^(1/J54))</f>
        <v/>
      </c>
      <c r="V54" s="23" t="str">
        <f aca="false">IF(OR(B54="",J54=""),"",ROUND(MAX(0,MIN(IF(L54="WDV",(S54+R54)*U54,H54*(1-IF(I54="",Settings!$C$8,I54))/J54)*T54/Settings!$C$9,(S54+R54)-H54*IF(I54="",Settings!$C$8,I54))),0))</f>
        <v/>
      </c>
      <c r="W54" s="23" t="str">
        <f aca="false">IF(B54="","",IF(AND(O54&lt;&gt;"",O54&gt;=Settings!$C$6,O54&lt;=Settings!$C$7),H54,0))</f>
        <v/>
      </c>
      <c r="X54" s="23" t="str">
        <f aca="false">IF(B54="","",IF(W54&gt;0,N(N54)+V54,0))</f>
        <v/>
      </c>
      <c r="Y54" s="23" t="str">
        <f aca="false">IF(B54="","",Q54+R54-W54)</f>
        <v/>
      </c>
      <c r="Z54" s="23" t="str">
        <f aca="false">IF(B54="","",N(N54)+N(V54)-X54)</f>
        <v/>
      </c>
      <c r="AA54" s="25" t="str">
        <f aca="false">IF(B54="","",Y54-Z54)</f>
        <v/>
      </c>
      <c r="AB54" s="23" t="str">
        <f aca="false">IF(B54="","",IF(W54&gt;0,N(P54)-(W54-X54),0))</f>
        <v/>
      </c>
      <c r="AC54" s="7" t="str">
        <f aca="false">IF(B54="","",IF(AND(R54&gt;0,Settings!$C$7-G54+1&lt;180),"Yes","No"))</f>
        <v/>
      </c>
    </row>
    <row r="55" customFormat="false" ht="15" hidden="false" customHeight="false" outlineLevel="0" collapsed="false">
      <c r="B55" s="5"/>
      <c r="C55" s="5"/>
      <c r="D55" s="5"/>
      <c r="E55" s="5"/>
      <c r="F55" s="18"/>
      <c r="G55" s="18"/>
      <c r="H55" s="19"/>
      <c r="I55" s="20"/>
      <c r="J55" s="21" t="str">
        <f aca="false">IF(B55="","",IF(K55&lt;&gt;"",K55,IFERROR(INDEX(Settings!$C$14:$C$31,MATCH(D55,Settings!$B$14:$B$31,0)),"")))</f>
        <v/>
      </c>
      <c r="K55" s="22"/>
      <c r="L55" s="5"/>
      <c r="M55" s="5"/>
      <c r="N55" s="19"/>
      <c r="O55" s="18"/>
      <c r="P55" s="19"/>
      <c r="Q55" s="23" t="str">
        <f aca="false">IF(B55="","",IF(G55&lt;Settings!$C$6,H55,0))</f>
        <v/>
      </c>
      <c r="R55" s="23" t="str">
        <f aca="false">IF(B55="","",IF(AND(G55&gt;=Settings!$C$6,G55&lt;=Settings!$C$7),H55,0))</f>
        <v/>
      </c>
      <c r="S55" s="23" t="str">
        <f aca="false">IF(B55="","",Q55-N(N55))</f>
        <v/>
      </c>
      <c r="T55" s="21" t="str">
        <f aca="false">IF(B55="","",MAX(0,MIN(Settings!$C$7,IF(AND(O55&lt;&gt;"",O55&lt;=Settings!$C$7),O55-1,Settings!$C$7))-MAX(Settings!$C$6,G55)+1))</f>
        <v/>
      </c>
      <c r="U55" s="24" t="str">
        <f aca="false">IF(OR(B55="",J55=""),"",1-(IF(I55="",Settings!$C$8,I55))^(1/J55))</f>
        <v/>
      </c>
      <c r="V55" s="23" t="str">
        <f aca="false">IF(OR(B55="",J55=""),"",ROUND(MAX(0,MIN(IF(L55="WDV",(S55+R55)*U55,H55*(1-IF(I55="",Settings!$C$8,I55))/J55)*T55/Settings!$C$9,(S55+R55)-H55*IF(I55="",Settings!$C$8,I55))),0))</f>
        <v/>
      </c>
      <c r="W55" s="23" t="str">
        <f aca="false">IF(B55="","",IF(AND(O55&lt;&gt;"",O55&gt;=Settings!$C$6,O55&lt;=Settings!$C$7),H55,0))</f>
        <v/>
      </c>
      <c r="X55" s="23" t="str">
        <f aca="false">IF(B55="","",IF(W55&gt;0,N(N55)+V55,0))</f>
        <v/>
      </c>
      <c r="Y55" s="23" t="str">
        <f aca="false">IF(B55="","",Q55+R55-W55)</f>
        <v/>
      </c>
      <c r="Z55" s="23" t="str">
        <f aca="false">IF(B55="","",N(N55)+N(V55)-X55)</f>
        <v/>
      </c>
      <c r="AA55" s="25" t="str">
        <f aca="false">IF(B55="","",Y55-Z55)</f>
        <v/>
      </c>
      <c r="AB55" s="23" t="str">
        <f aca="false">IF(B55="","",IF(W55&gt;0,N(P55)-(W55-X55),0))</f>
        <v/>
      </c>
      <c r="AC55" s="7" t="str">
        <f aca="false">IF(B55="","",IF(AND(R55&gt;0,Settings!$C$7-G55+1&lt;180),"Yes","No"))</f>
        <v/>
      </c>
    </row>
    <row r="56" customFormat="false" ht="15" hidden="false" customHeight="false" outlineLevel="0" collapsed="false">
      <c r="B56" s="5"/>
      <c r="C56" s="5"/>
      <c r="D56" s="5"/>
      <c r="E56" s="5"/>
      <c r="F56" s="18"/>
      <c r="G56" s="18"/>
      <c r="H56" s="19"/>
      <c r="I56" s="20"/>
      <c r="J56" s="21" t="str">
        <f aca="false">IF(B56="","",IF(K56&lt;&gt;"",K56,IFERROR(INDEX(Settings!$C$14:$C$31,MATCH(D56,Settings!$B$14:$B$31,0)),"")))</f>
        <v/>
      </c>
      <c r="K56" s="22"/>
      <c r="L56" s="5"/>
      <c r="M56" s="5"/>
      <c r="N56" s="19"/>
      <c r="O56" s="18"/>
      <c r="P56" s="19"/>
      <c r="Q56" s="23" t="str">
        <f aca="false">IF(B56="","",IF(G56&lt;Settings!$C$6,H56,0))</f>
        <v/>
      </c>
      <c r="R56" s="23" t="str">
        <f aca="false">IF(B56="","",IF(AND(G56&gt;=Settings!$C$6,G56&lt;=Settings!$C$7),H56,0))</f>
        <v/>
      </c>
      <c r="S56" s="23" t="str">
        <f aca="false">IF(B56="","",Q56-N(N56))</f>
        <v/>
      </c>
      <c r="T56" s="21" t="str">
        <f aca="false">IF(B56="","",MAX(0,MIN(Settings!$C$7,IF(AND(O56&lt;&gt;"",O56&lt;=Settings!$C$7),O56-1,Settings!$C$7))-MAX(Settings!$C$6,G56)+1))</f>
        <v/>
      </c>
      <c r="U56" s="24" t="str">
        <f aca="false">IF(OR(B56="",J56=""),"",1-(IF(I56="",Settings!$C$8,I56))^(1/J56))</f>
        <v/>
      </c>
      <c r="V56" s="23" t="str">
        <f aca="false">IF(OR(B56="",J56=""),"",ROUND(MAX(0,MIN(IF(L56="WDV",(S56+R56)*U56,H56*(1-IF(I56="",Settings!$C$8,I56))/J56)*T56/Settings!$C$9,(S56+R56)-H56*IF(I56="",Settings!$C$8,I56))),0))</f>
        <v/>
      </c>
      <c r="W56" s="23" t="str">
        <f aca="false">IF(B56="","",IF(AND(O56&lt;&gt;"",O56&gt;=Settings!$C$6,O56&lt;=Settings!$C$7),H56,0))</f>
        <v/>
      </c>
      <c r="X56" s="23" t="str">
        <f aca="false">IF(B56="","",IF(W56&gt;0,N(N56)+V56,0))</f>
        <v/>
      </c>
      <c r="Y56" s="23" t="str">
        <f aca="false">IF(B56="","",Q56+R56-W56)</f>
        <v/>
      </c>
      <c r="Z56" s="23" t="str">
        <f aca="false">IF(B56="","",N(N56)+N(V56)-X56)</f>
        <v/>
      </c>
      <c r="AA56" s="25" t="str">
        <f aca="false">IF(B56="","",Y56-Z56)</f>
        <v/>
      </c>
      <c r="AB56" s="23" t="str">
        <f aca="false">IF(B56="","",IF(W56&gt;0,N(P56)-(W56-X56),0))</f>
        <v/>
      </c>
      <c r="AC56" s="7" t="str">
        <f aca="false">IF(B56="","",IF(AND(R56&gt;0,Settings!$C$7-G56+1&lt;180),"Yes","No"))</f>
        <v/>
      </c>
    </row>
    <row r="57" customFormat="false" ht="15" hidden="false" customHeight="false" outlineLevel="0" collapsed="false">
      <c r="B57" s="5"/>
      <c r="C57" s="5"/>
      <c r="D57" s="5"/>
      <c r="E57" s="5"/>
      <c r="F57" s="18"/>
      <c r="G57" s="18"/>
      <c r="H57" s="19"/>
      <c r="I57" s="20"/>
      <c r="J57" s="21" t="str">
        <f aca="false">IF(B57="","",IF(K57&lt;&gt;"",K57,IFERROR(INDEX(Settings!$C$14:$C$31,MATCH(D57,Settings!$B$14:$B$31,0)),"")))</f>
        <v/>
      </c>
      <c r="K57" s="22"/>
      <c r="L57" s="5"/>
      <c r="M57" s="5"/>
      <c r="N57" s="19"/>
      <c r="O57" s="18"/>
      <c r="P57" s="19"/>
      <c r="Q57" s="23" t="str">
        <f aca="false">IF(B57="","",IF(G57&lt;Settings!$C$6,H57,0))</f>
        <v/>
      </c>
      <c r="R57" s="23" t="str">
        <f aca="false">IF(B57="","",IF(AND(G57&gt;=Settings!$C$6,G57&lt;=Settings!$C$7),H57,0))</f>
        <v/>
      </c>
      <c r="S57" s="23" t="str">
        <f aca="false">IF(B57="","",Q57-N(N57))</f>
        <v/>
      </c>
      <c r="T57" s="21" t="str">
        <f aca="false">IF(B57="","",MAX(0,MIN(Settings!$C$7,IF(AND(O57&lt;&gt;"",O57&lt;=Settings!$C$7),O57-1,Settings!$C$7))-MAX(Settings!$C$6,G57)+1))</f>
        <v/>
      </c>
      <c r="U57" s="24" t="str">
        <f aca="false">IF(OR(B57="",J57=""),"",1-(IF(I57="",Settings!$C$8,I57))^(1/J57))</f>
        <v/>
      </c>
      <c r="V57" s="23" t="str">
        <f aca="false">IF(OR(B57="",J57=""),"",ROUND(MAX(0,MIN(IF(L57="WDV",(S57+R57)*U57,H57*(1-IF(I57="",Settings!$C$8,I57))/J57)*T57/Settings!$C$9,(S57+R57)-H57*IF(I57="",Settings!$C$8,I57))),0))</f>
        <v/>
      </c>
      <c r="W57" s="23" t="str">
        <f aca="false">IF(B57="","",IF(AND(O57&lt;&gt;"",O57&gt;=Settings!$C$6,O57&lt;=Settings!$C$7),H57,0))</f>
        <v/>
      </c>
      <c r="X57" s="23" t="str">
        <f aca="false">IF(B57="","",IF(W57&gt;0,N(N57)+V57,0))</f>
        <v/>
      </c>
      <c r="Y57" s="23" t="str">
        <f aca="false">IF(B57="","",Q57+R57-W57)</f>
        <v/>
      </c>
      <c r="Z57" s="23" t="str">
        <f aca="false">IF(B57="","",N(N57)+N(V57)-X57)</f>
        <v/>
      </c>
      <c r="AA57" s="25" t="str">
        <f aca="false">IF(B57="","",Y57-Z57)</f>
        <v/>
      </c>
      <c r="AB57" s="23" t="str">
        <f aca="false">IF(B57="","",IF(W57&gt;0,N(P57)-(W57-X57),0))</f>
        <v/>
      </c>
      <c r="AC57" s="7" t="str">
        <f aca="false">IF(B57="","",IF(AND(R57&gt;0,Settings!$C$7-G57+1&lt;180),"Yes","No"))</f>
        <v/>
      </c>
    </row>
    <row r="58" customFormat="false" ht="15" hidden="false" customHeight="false" outlineLevel="0" collapsed="false">
      <c r="B58" s="5"/>
      <c r="C58" s="5"/>
      <c r="D58" s="5"/>
      <c r="E58" s="5"/>
      <c r="F58" s="18"/>
      <c r="G58" s="18"/>
      <c r="H58" s="19"/>
      <c r="I58" s="20"/>
      <c r="J58" s="21" t="str">
        <f aca="false">IF(B58="","",IF(K58&lt;&gt;"",K58,IFERROR(INDEX(Settings!$C$14:$C$31,MATCH(D58,Settings!$B$14:$B$31,0)),"")))</f>
        <v/>
      </c>
      <c r="K58" s="22"/>
      <c r="L58" s="5"/>
      <c r="M58" s="5"/>
      <c r="N58" s="19"/>
      <c r="O58" s="18"/>
      <c r="P58" s="19"/>
      <c r="Q58" s="23" t="str">
        <f aca="false">IF(B58="","",IF(G58&lt;Settings!$C$6,H58,0))</f>
        <v/>
      </c>
      <c r="R58" s="23" t="str">
        <f aca="false">IF(B58="","",IF(AND(G58&gt;=Settings!$C$6,G58&lt;=Settings!$C$7),H58,0))</f>
        <v/>
      </c>
      <c r="S58" s="23" t="str">
        <f aca="false">IF(B58="","",Q58-N(N58))</f>
        <v/>
      </c>
      <c r="T58" s="21" t="str">
        <f aca="false">IF(B58="","",MAX(0,MIN(Settings!$C$7,IF(AND(O58&lt;&gt;"",O58&lt;=Settings!$C$7),O58-1,Settings!$C$7))-MAX(Settings!$C$6,G58)+1))</f>
        <v/>
      </c>
      <c r="U58" s="24" t="str">
        <f aca="false">IF(OR(B58="",J58=""),"",1-(IF(I58="",Settings!$C$8,I58))^(1/J58))</f>
        <v/>
      </c>
      <c r="V58" s="23" t="str">
        <f aca="false">IF(OR(B58="",J58=""),"",ROUND(MAX(0,MIN(IF(L58="WDV",(S58+R58)*U58,H58*(1-IF(I58="",Settings!$C$8,I58))/J58)*T58/Settings!$C$9,(S58+R58)-H58*IF(I58="",Settings!$C$8,I58))),0))</f>
        <v/>
      </c>
      <c r="W58" s="23" t="str">
        <f aca="false">IF(B58="","",IF(AND(O58&lt;&gt;"",O58&gt;=Settings!$C$6,O58&lt;=Settings!$C$7),H58,0))</f>
        <v/>
      </c>
      <c r="X58" s="23" t="str">
        <f aca="false">IF(B58="","",IF(W58&gt;0,N(N58)+V58,0))</f>
        <v/>
      </c>
      <c r="Y58" s="23" t="str">
        <f aca="false">IF(B58="","",Q58+R58-W58)</f>
        <v/>
      </c>
      <c r="Z58" s="23" t="str">
        <f aca="false">IF(B58="","",N(N58)+N(V58)-X58)</f>
        <v/>
      </c>
      <c r="AA58" s="25" t="str">
        <f aca="false">IF(B58="","",Y58-Z58)</f>
        <v/>
      </c>
      <c r="AB58" s="23" t="str">
        <f aca="false">IF(B58="","",IF(W58&gt;0,N(P58)-(W58-X58),0))</f>
        <v/>
      </c>
      <c r="AC58" s="7" t="str">
        <f aca="false">IF(B58="","",IF(AND(R58&gt;0,Settings!$C$7-G58+1&lt;180),"Yes","No"))</f>
        <v/>
      </c>
    </row>
    <row r="59" customFormat="false" ht="15" hidden="false" customHeight="false" outlineLevel="0" collapsed="false">
      <c r="B59" s="5"/>
      <c r="C59" s="5"/>
      <c r="D59" s="5"/>
      <c r="E59" s="5"/>
      <c r="F59" s="18"/>
      <c r="G59" s="18"/>
      <c r="H59" s="19"/>
      <c r="I59" s="20"/>
      <c r="J59" s="21" t="str">
        <f aca="false">IF(B59="","",IF(K59&lt;&gt;"",K59,IFERROR(INDEX(Settings!$C$14:$C$31,MATCH(D59,Settings!$B$14:$B$31,0)),"")))</f>
        <v/>
      </c>
      <c r="K59" s="22"/>
      <c r="L59" s="5"/>
      <c r="M59" s="5"/>
      <c r="N59" s="19"/>
      <c r="O59" s="18"/>
      <c r="P59" s="19"/>
      <c r="Q59" s="23" t="str">
        <f aca="false">IF(B59="","",IF(G59&lt;Settings!$C$6,H59,0))</f>
        <v/>
      </c>
      <c r="R59" s="23" t="str">
        <f aca="false">IF(B59="","",IF(AND(G59&gt;=Settings!$C$6,G59&lt;=Settings!$C$7),H59,0))</f>
        <v/>
      </c>
      <c r="S59" s="23" t="str">
        <f aca="false">IF(B59="","",Q59-N(N59))</f>
        <v/>
      </c>
      <c r="T59" s="21" t="str">
        <f aca="false">IF(B59="","",MAX(0,MIN(Settings!$C$7,IF(AND(O59&lt;&gt;"",O59&lt;=Settings!$C$7),O59-1,Settings!$C$7))-MAX(Settings!$C$6,G59)+1))</f>
        <v/>
      </c>
      <c r="U59" s="24" t="str">
        <f aca="false">IF(OR(B59="",J59=""),"",1-(IF(I59="",Settings!$C$8,I59))^(1/J59))</f>
        <v/>
      </c>
      <c r="V59" s="23" t="str">
        <f aca="false">IF(OR(B59="",J59=""),"",ROUND(MAX(0,MIN(IF(L59="WDV",(S59+R59)*U59,H59*(1-IF(I59="",Settings!$C$8,I59))/J59)*T59/Settings!$C$9,(S59+R59)-H59*IF(I59="",Settings!$C$8,I59))),0))</f>
        <v/>
      </c>
      <c r="W59" s="23" t="str">
        <f aca="false">IF(B59="","",IF(AND(O59&lt;&gt;"",O59&gt;=Settings!$C$6,O59&lt;=Settings!$C$7),H59,0))</f>
        <v/>
      </c>
      <c r="X59" s="23" t="str">
        <f aca="false">IF(B59="","",IF(W59&gt;0,N(N59)+V59,0))</f>
        <v/>
      </c>
      <c r="Y59" s="23" t="str">
        <f aca="false">IF(B59="","",Q59+R59-W59)</f>
        <v/>
      </c>
      <c r="Z59" s="23" t="str">
        <f aca="false">IF(B59="","",N(N59)+N(V59)-X59)</f>
        <v/>
      </c>
      <c r="AA59" s="25" t="str">
        <f aca="false">IF(B59="","",Y59-Z59)</f>
        <v/>
      </c>
      <c r="AB59" s="23" t="str">
        <f aca="false">IF(B59="","",IF(W59&gt;0,N(P59)-(W59-X59),0))</f>
        <v/>
      </c>
      <c r="AC59" s="7" t="str">
        <f aca="false">IF(B59="","",IF(AND(R59&gt;0,Settings!$C$7-G59+1&lt;180),"Yes","No"))</f>
        <v/>
      </c>
    </row>
    <row r="60" customFormat="false" ht="15" hidden="false" customHeight="false" outlineLevel="0" collapsed="false">
      <c r="B60" s="5"/>
      <c r="C60" s="5"/>
      <c r="D60" s="5"/>
      <c r="E60" s="5"/>
      <c r="F60" s="18"/>
      <c r="G60" s="18"/>
      <c r="H60" s="19"/>
      <c r="I60" s="20"/>
      <c r="J60" s="21" t="str">
        <f aca="false">IF(B60="","",IF(K60&lt;&gt;"",K60,IFERROR(INDEX(Settings!$C$14:$C$31,MATCH(D60,Settings!$B$14:$B$31,0)),"")))</f>
        <v/>
      </c>
      <c r="K60" s="22"/>
      <c r="L60" s="5"/>
      <c r="M60" s="5"/>
      <c r="N60" s="19"/>
      <c r="O60" s="18"/>
      <c r="P60" s="19"/>
      <c r="Q60" s="23" t="str">
        <f aca="false">IF(B60="","",IF(G60&lt;Settings!$C$6,H60,0))</f>
        <v/>
      </c>
      <c r="R60" s="23" t="str">
        <f aca="false">IF(B60="","",IF(AND(G60&gt;=Settings!$C$6,G60&lt;=Settings!$C$7),H60,0))</f>
        <v/>
      </c>
      <c r="S60" s="23" t="str">
        <f aca="false">IF(B60="","",Q60-N(N60))</f>
        <v/>
      </c>
      <c r="T60" s="21" t="str">
        <f aca="false">IF(B60="","",MAX(0,MIN(Settings!$C$7,IF(AND(O60&lt;&gt;"",O60&lt;=Settings!$C$7),O60-1,Settings!$C$7))-MAX(Settings!$C$6,G60)+1))</f>
        <v/>
      </c>
      <c r="U60" s="24" t="str">
        <f aca="false">IF(OR(B60="",J60=""),"",1-(IF(I60="",Settings!$C$8,I60))^(1/J60))</f>
        <v/>
      </c>
      <c r="V60" s="23" t="str">
        <f aca="false">IF(OR(B60="",J60=""),"",ROUND(MAX(0,MIN(IF(L60="WDV",(S60+R60)*U60,H60*(1-IF(I60="",Settings!$C$8,I60))/J60)*T60/Settings!$C$9,(S60+R60)-H60*IF(I60="",Settings!$C$8,I60))),0))</f>
        <v/>
      </c>
      <c r="W60" s="23" t="str">
        <f aca="false">IF(B60="","",IF(AND(O60&lt;&gt;"",O60&gt;=Settings!$C$6,O60&lt;=Settings!$C$7),H60,0))</f>
        <v/>
      </c>
      <c r="X60" s="23" t="str">
        <f aca="false">IF(B60="","",IF(W60&gt;0,N(N60)+V60,0))</f>
        <v/>
      </c>
      <c r="Y60" s="23" t="str">
        <f aca="false">IF(B60="","",Q60+R60-W60)</f>
        <v/>
      </c>
      <c r="Z60" s="23" t="str">
        <f aca="false">IF(B60="","",N(N60)+N(V60)-X60)</f>
        <v/>
      </c>
      <c r="AA60" s="25" t="str">
        <f aca="false">IF(B60="","",Y60-Z60)</f>
        <v/>
      </c>
      <c r="AB60" s="23" t="str">
        <f aca="false">IF(B60="","",IF(W60&gt;0,N(P60)-(W60-X60),0))</f>
        <v/>
      </c>
      <c r="AC60" s="7" t="str">
        <f aca="false">IF(B60="","",IF(AND(R60&gt;0,Settings!$C$7-G60+1&lt;180),"Yes","No"))</f>
        <v/>
      </c>
    </row>
    <row r="61" customFormat="false" ht="15" hidden="false" customHeight="false" outlineLevel="0" collapsed="false">
      <c r="B61" s="5"/>
      <c r="C61" s="5"/>
      <c r="D61" s="5"/>
      <c r="E61" s="5"/>
      <c r="F61" s="18"/>
      <c r="G61" s="18"/>
      <c r="H61" s="19"/>
      <c r="I61" s="20"/>
      <c r="J61" s="21" t="str">
        <f aca="false">IF(B61="","",IF(K61&lt;&gt;"",K61,IFERROR(INDEX(Settings!$C$14:$C$31,MATCH(D61,Settings!$B$14:$B$31,0)),"")))</f>
        <v/>
      </c>
      <c r="K61" s="22"/>
      <c r="L61" s="5"/>
      <c r="M61" s="5"/>
      <c r="N61" s="19"/>
      <c r="O61" s="18"/>
      <c r="P61" s="19"/>
      <c r="Q61" s="23" t="str">
        <f aca="false">IF(B61="","",IF(G61&lt;Settings!$C$6,H61,0))</f>
        <v/>
      </c>
      <c r="R61" s="23" t="str">
        <f aca="false">IF(B61="","",IF(AND(G61&gt;=Settings!$C$6,G61&lt;=Settings!$C$7),H61,0))</f>
        <v/>
      </c>
      <c r="S61" s="23" t="str">
        <f aca="false">IF(B61="","",Q61-N(N61))</f>
        <v/>
      </c>
      <c r="T61" s="21" t="str">
        <f aca="false">IF(B61="","",MAX(0,MIN(Settings!$C$7,IF(AND(O61&lt;&gt;"",O61&lt;=Settings!$C$7),O61-1,Settings!$C$7))-MAX(Settings!$C$6,G61)+1))</f>
        <v/>
      </c>
      <c r="U61" s="24" t="str">
        <f aca="false">IF(OR(B61="",J61=""),"",1-(IF(I61="",Settings!$C$8,I61))^(1/J61))</f>
        <v/>
      </c>
      <c r="V61" s="23" t="str">
        <f aca="false">IF(OR(B61="",J61=""),"",ROUND(MAX(0,MIN(IF(L61="WDV",(S61+R61)*U61,H61*(1-IF(I61="",Settings!$C$8,I61))/J61)*T61/Settings!$C$9,(S61+R61)-H61*IF(I61="",Settings!$C$8,I61))),0))</f>
        <v/>
      </c>
      <c r="W61" s="23" t="str">
        <f aca="false">IF(B61="","",IF(AND(O61&lt;&gt;"",O61&gt;=Settings!$C$6,O61&lt;=Settings!$C$7),H61,0))</f>
        <v/>
      </c>
      <c r="X61" s="23" t="str">
        <f aca="false">IF(B61="","",IF(W61&gt;0,N(N61)+V61,0))</f>
        <v/>
      </c>
      <c r="Y61" s="23" t="str">
        <f aca="false">IF(B61="","",Q61+R61-W61)</f>
        <v/>
      </c>
      <c r="Z61" s="23" t="str">
        <f aca="false">IF(B61="","",N(N61)+N(V61)-X61)</f>
        <v/>
      </c>
      <c r="AA61" s="25" t="str">
        <f aca="false">IF(B61="","",Y61-Z61)</f>
        <v/>
      </c>
      <c r="AB61" s="23" t="str">
        <f aca="false">IF(B61="","",IF(W61&gt;0,N(P61)-(W61-X61),0))</f>
        <v/>
      </c>
      <c r="AC61" s="7" t="str">
        <f aca="false">IF(B61="","",IF(AND(R61&gt;0,Settings!$C$7-G61+1&lt;180),"Yes","No"))</f>
        <v/>
      </c>
    </row>
    <row r="62" customFormat="false" ht="15" hidden="false" customHeight="false" outlineLevel="0" collapsed="false">
      <c r="B62" s="5"/>
      <c r="C62" s="5"/>
      <c r="D62" s="5"/>
      <c r="E62" s="5"/>
      <c r="F62" s="18"/>
      <c r="G62" s="18"/>
      <c r="H62" s="19"/>
      <c r="I62" s="20"/>
      <c r="J62" s="21" t="str">
        <f aca="false">IF(B62="","",IF(K62&lt;&gt;"",K62,IFERROR(INDEX(Settings!$C$14:$C$31,MATCH(D62,Settings!$B$14:$B$31,0)),"")))</f>
        <v/>
      </c>
      <c r="K62" s="22"/>
      <c r="L62" s="5"/>
      <c r="M62" s="5"/>
      <c r="N62" s="19"/>
      <c r="O62" s="18"/>
      <c r="P62" s="19"/>
      <c r="Q62" s="23" t="str">
        <f aca="false">IF(B62="","",IF(G62&lt;Settings!$C$6,H62,0))</f>
        <v/>
      </c>
      <c r="R62" s="23" t="str">
        <f aca="false">IF(B62="","",IF(AND(G62&gt;=Settings!$C$6,G62&lt;=Settings!$C$7),H62,0))</f>
        <v/>
      </c>
      <c r="S62" s="23" t="str">
        <f aca="false">IF(B62="","",Q62-N(N62))</f>
        <v/>
      </c>
      <c r="T62" s="21" t="str">
        <f aca="false">IF(B62="","",MAX(0,MIN(Settings!$C$7,IF(AND(O62&lt;&gt;"",O62&lt;=Settings!$C$7),O62-1,Settings!$C$7))-MAX(Settings!$C$6,G62)+1))</f>
        <v/>
      </c>
      <c r="U62" s="24" t="str">
        <f aca="false">IF(OR(B62="",J62=""),"",1-(IF(I62="",Settings!$C$8,I62))^(1/J62))</f>
        <v/>
      </c>
      <c r="V62" s="23" t="str">
        <f aca="false">IF(OR(B62="",J62=""),"",ROUND(MAX(0,MIN(IF(L62="WDV",(S62+R62)*U62,H62*(1-IF(I62="",Settings!$C$8,I62))/J62)*T62/Settings!$C$9,(S62+R62)-H62*IF(I62="",Settings!$C$8,I62))),0))</f>
        <v/>
      </c>
      <c r="W62" s="23" t="str">
        <f aca="false">IF(B62="","",IF(AND(O62&lt;&gt;"",O62&gt;=Settings!$C$6,O62&lt;=Settings!$C$7),H62,0))</f>
        <v/>
      </c>
      <c r="X62" s="23" t="str">
        <f aca="false">IF(B62="","",IF(W62&gt;0,N(N62)+V62,0))</f>
        <v/>
      </c>
      <c r="Y62" s="23" t="str">
        <f aca="false">IF(B62="","",Q62+R62-W62)</f>
        <v/>
      </c>
      <c r="Z62" s="23" t="str">
        <f aca="false">IF(B62="","",N(N62)+N(V62)-X62)</f>
        <v/>
      </c>
      <c r="AA62" s="25" t="str">
        <f aca="false">IF(B62="","",Y62-Z62)</f>
        <v/>
      </c>
      <c r="AB62" s="23" t="str">
        <f aca="false">IF(B62="","",IF(W62&gt;0,N(P62)-(W62-X62),0))</f>
        <v/>
      </c>
      <c r="AC62" s="7" t="str">
        <f aca="false">IF(B62="","",IF(AND(R62&gt;0,Settings!$C$7-G62+1&lt;180),"Yes","No"))</f>
        <v/>
      </c>
    </row>
    <row r="63" customFormat="false" ht="15" hidden="false" customHeight="false" outlineLevel="0" collapsed="false">
      <c r="B63" s="5"/>
      <c r="C63" s="5"/>
      <c r="D63" s="5"/>
      <c r="E63" s="5"/>
      <c r="F63" s="18"/>
      <c r="G63" s="18"/>
      <c r="H63" s="19"/>
      <c r="I63" s="20"/>
      <c r="J63" s="21" t="str">
        <f aca="false">IF(B63="","",IF(K63&lt;&gt;"",K63,IFERROR(INDEX(Settings!$C$14:$C$31,MATCH(D63,Settings!$B$14:$B$31,0)),"")))</f>
        <v/>
      </c>
      <c r="K63" s="22"/>
      <c r="L63" s="5"/>
      <c r="M63" s="5"/>
      <c r="N63" s="19"/>
      <c r="O63" s="18"/>
      <c r="P63" s="19"/>
      <c r="Q63" s="23" t="str">
        <f aca="false">IF(B63="","",IF(G63&lt;Settings!$C$6,H63,0))</f>
        <v/>
      </c>
      <c r="R63" s="23" t="str">
        <f aca="false">IF(B63="","",IF(AND(G63&gt;=Settings!$C$6,G63&lt;=Settings!$C$7),H63,0))</f>
        <v/>
      </c>
      <c r="S63" s="23" t="str">
        <f aca="false">IF(B63="","",Q63-N(N63))</f>
        <v/>
      </c>
      <c r="T63" s="21" t="str">
        <f aca="false">IF(B63="","",MAX(0,MIN(Settings!$C$7,IF(AND(O63&lt;&gt;"",O63&lt;=Settings!$C$7),O63-1,Settings!$C$7))-MAX(Settings!$C$6,G63)+1))</f>
        <v/>
      </c>
      <c r="U63" s="24" t="str">
        <f aca="false">IF(OR(B63="",J63=""),"",1-(IF(I63="",Settings!$C$8,I63))^(1/J63))</f>
        <v/>
      </c>
      <c r="V63" s="23" t="str">
        <f aca="false">IF(OR(B63="",J63=""),"",ROUND(MAX(0,MIN(IF(L63="WDV",(S63+R63)*U63,H63*(1-IF(I63="",Settings!$C$8,I63))/J63)*T63/Settings!$C$9,(S63+R63)-H63*IF(I63="",Settings!$C$8,I63))),0))</f>
        <v/>
      </c>
      <c r="W63" s="23" t="str">
        <f aca="false">IF(B63="","",IF(AND(O63&lt;&gt;"",O63&gt;=Settings!$C$6,O63&lt;=Settings!$C$7),H63,0))</f>
        <v/>
      </c>
      <c r="X63" s="23" t="str">
        <f aca="false">IF(B63="","",IF(W63&gt;0,N(N63)+V63,0))</f>
        <v/>
      </c>
      <c r="Y63" s="23" t="str">
        <f aca="false">IF(B63="","",Q63+R63-W63)</f>
        <v/>
      </c>
      <c r="Z63" s="23" t="str">
        <f aca="false">IF(B63="","",N(N63)+N(V63)-X63)</f>
        <v/>
      </c>
      <c r="AA63" s="25" t="str">
        <f aca="false">IF(B63="","",Y63-Z63)</f>
        <v/>
      </c>
      <c r="AB63" s="23" t="str">
        <f aca="false">IF(B63="","",IF(W63&gt;0,N(P63)-(W63-X63),0))</f>
        <v/>
      </c>
      <c r="AC63" s="7" t="str">
        <f aca="false">IF(B63="","",IF(AND(R63&gt;0,Settings!$C$7-G63+1&lt;180),"Yes","No"))</f>
        <v/>
      </c>
    </row>
    <row r="64" customFormat="false" ht="15" hidden="false" customHeight="false" outlineLevel="0" collapsed="false">
      <c r="B64" s="5"/>
      <c r="C64" s="5"/>
      <c r="D64" s="5"/>
      <c r="E64" s="5"/>
      <c r="F64" s="18"/>
      <c r="G64" s="18"/>
      <c r="H64" s="19"/>
      <c r="I64" s="20"/>
      <c r="J64" s="21" t="str">
        <f aca="false">IF(B64="","",IF(K64&lt;&gt;"",K64,IFERROR(INDEX(Settings!$C$14:$C$31,MATCH(D64,Settings!$B$14:$B$31,0)),"")))</f>
        <v/>
      </c>
      <c r="K64" s="22"/>
      <c r="L64" s="5"/>
      <c r="M64" s="5"/>
      <c r="N64" s="19"/>
      <c r="O64" s="18"/>
      <c r="P64" s="19"/>
      <c r="Q64" s="23" t="str">
        <f aca="false">IF(B64="","",IF(G64&lt;Settings!$C$6,H64,0))</f>
        <v/>
      </c>
      <c r="R64" s="23" t="str">
        <f aca="false">IF(B64="","",IF(AND(G64&gt;=Settings!$C$6,G64&lt;=Settings!$C$7),H64,0))</f>
        <v/>
      </c>
      <c r="S64" s="23" t="str">
        <f aca="false">IF(B64="","",Q64-N(N64))</f>
        <v/>
      </c>
      <c r="T64" s="21" t="str">
        <f aca="false">IF(B64="","",MAX(0,MIN(Settings!$C$7,IF(AND(O64&lt;&gt;"",O64&lt;=Settings!$C$7),O64-1,Settings!$C$7))-MAX(Settings!$C$6,G64)+1))</f>
        <v/>
      </c>
      <c r="U64" s="24" t="str">
        <f aca="false">IF(OR(B64="",J64=""),"",1-(IF(I64="",Settings!$C$8,I64))^(1/J64))</f>
        <v/>
      </c>
      <c r="V64" s="23" t="str">
        <f aca="false">IF(OR(B64="",J64=""),"",ROUND(MAX(0,MIN(IF(L64="WDV",(S64+R64)*U64,H64*(1-IF(I64="",Settings!$C$8,I64))/J64)*T64/Settings!$C$9,(S64+R64)-H64*IF(I64="",Settings!$C$8,I64))),0))</f>
        <v/>
      </c>
      <c r="W64" s="23" t="str">
        <f aca="false">IF(B64="","",IF(AND(O64&lt;&gt;"",O64&gt;=Settings!$C$6,O64&lt;=Settings!$C$7),H64,0))</f>
        <v/>
      </c>
      <c r="X64" s="23" t="str">
        <f aca="false">IF(B64="","",IF(W64&gt;0,N(N64)+V64,0))</f>
        <v/>
      </c>
      <c r="Y64" s="23" t="str">
        <f aca="false">IF(B64="","",Q64+R64-W64)</f>
        <v/>
      </c>
      <c r="Z64" s="23" t="str">
        <f aca="false">IF(B64="","",N(N64)+N(V64)-X64)</f>
        <v/>
      </c>
      <c r="AA64" s="25" t="str">
        <f aca="false">IF(B64="","",Y64-Z64)</f>
        <v/>
      </c>
      <c r="AB64" s="23" t="str">
        <f aca="false">IF(B64="","",IF(W64&gt;0,N(P64)-(W64-X64),0))</f>
        <v/>
      </c>
      <c r="AC64" s="7" t="str">
        <f aca="false">IF(B64="","",IF(AND(R64&gt;0,Settings!$C$7-G64+1&lt;180),"Yes","No"))</f>
        <v/>
      </c>
    </row>
    <row r="65" customFormat="false" ht="15" hidden="false" customHeight="false" outlineLevel="0" collapsed="false">
      <c r="B65" s="5"/>
      <c r="C65" s="5"/>
      <c r="D65" s="5"/>
      <c r="E65" s="5"/>
      <c r="F65" s="18"/>
      <c r="G65" s="18"/>
      <c r="H65" s="19"/>
      <c r="I65" s="20"/>
      <c r="J65" s="21" t="str">
        <f aca="false">IF(B65="","",IF(K65&lt;&gt;"",K65,IFERROR(INDEX(Settings!$C$14:$C$31,MATCH(D65,Settings!$B$14:$B$31,0)),"")))</f>
        <v/>
      </c>
      <c r="K65" s="22"/>
      <c r="L65" s="5"/>
      <c r="M65" s="5"/>
      <c r="N65" s="19"/>
      <c r="O65" s="18"/>
      <c r="P65" s="19"/>
      <c r="Q65" s="23" t="str">
        <f aca="false">IF(B65="","",IF(G65&lt;Settings!$C$6,H65,0))</f>
        <v/>
      </c>
      <c r="R65" s="23" t="str">
        <f aca="false">IF(B65="","",IF(AND(G65&gt;=Settings!$C$6,G65&lt;=Settings!$C$7),H65,0))</f>
        <v/>
      </c>
      <c r="S65" s="23" t="str">
        <f aca="false">IF(B65="","",Q65-N(N65))</f>
        <v/>
      </c>
      <c r="T65" s="21" t="str">
        <f aca="false">IF(B65="","",MAX(0,MIN(Settings!$C$7,IF(AND(O65&lt;&gt;"",O65&lt;=Settings!$C$7),O65-1,Settings!$C$7))-MAX(Settings!$C$6,G65)+1))</f>
        <v/>
      </c>
      <c r="U65" s="24" t="str">
        <f aca="false">IF(OR(B65="",J65=""),"",1-(IF(I65="",Settings!$C$8,I65))^(1/J65))</f>
        <v/>
      </c>
      <c r="V65" s="23" t="str">
        <f aca="false">IF(OR(B65="",J65=""),"",ROUND(MAX(0,MIN(IF(L65="WDV",(S65+R65)*U65,H65*(1-IF(I65="",Settings!$C$8,I65))/J65)*T65/Settings!$C$9,(S65+R65)-H65*IF(I65="",Settings!$C$8,I65))),0))</f>
        <v/>
      </c>
      <c r="W65" s="23" t="str">
        <f aca="false">IF(B65="","",IF(AND(O65&lt;&gt;"",O65&gt;=Settings!$C$6,O65&lt;=Settings!$C$7),H65,0))</f>
        <v/>
      </c>
      <c r="X65" s="23" t="str">
        <f aca="false">IF(B65="","",IF(W65&gt;0,N(N65)+V65,0))</f>
        <v/>
      </c>
      <c r="Y65" s="23" t="str">
        <f aca="false">IF(B65="","",Q65+R65-W65)</f>
        <v/>
      </c>
      <c r="Z65" s="23" t="str">
        <f aca="false">IF(B65="","",N(N65)+N(V65)-X65)</f>
        <v/>
      </c>
      <c r="AA65" s="25" t="str">
        <f aca="false">IF(B65="","",Y65-Z65)</f>
        <v/>
      </c>
      <c r="AB65" s="23" t="str">
        <f aca="false">IF(B65="","",IF(W65&gt;0,N(P65)-(W65-X65),0))</f>
        <v/>
      </c>
      <c r="AC65" s="7" t="str">
        <f aca="false">IF(B65="","",IF(AND(R65&gt;0,Settings!$C$7-G65+1&lt;180),"Yes","No"))</f>
        <v/>
      </c>
    </row>
    <row r="66" customFormat="false" ht="15" hidden="false" customHeight="false" outlineLevel="0" collapsed="false">
      <c r="B66" s="5"/>
      <c r="C66" s="5"/>
      <c r="D66" s="5"/>
      <c r="E66" s="5"/>
      <c r="F66" s="18"/>
      <c r="G66" s="18"/>
      <c r="H66" s="19"/>
      <c r="I66" s="20"/>
      <c r="J66" s="21" t="str">
        <f aca="false">IF(B66="","",IF(K66&lt;&gt;"",K66,IFERROR(INDEX(Settings!$C$14:$C$31,MATCH(D66,Settings!$B$14:$B$31,0)),"")))</f>
        <v/>
      </c>
      <c r="K66" s="22"/>
      <c r="L66" s="5"/>
      <c r="M66" s="5"/>
      <c r="N66" s="19"/>
      <c r="O66" s="18"/>
      <c r="P66" s="19"/>
      <c r="Q66" s="23" t="str">
        <f aca="false">IF(B66="","",IF(G66&lt;Settings!$C$6,H66,0))</f>
        <v/>
      </c>
      <c r="R66" s="23" t="str">
        <f aca="false">IF(B66="","",IF(AND(G66&gt;=Settings!$C$6,G66&lt;=Settings!$C$7),H66,0))</f>
        <v/>
      </c>
      <c r="S66" s="23" t="str">
        <f aca="false">IF(B66="","",Q66-N(N66))</f>
        <v/>
      </c>
      <c r="T66" s="21" t="str">
        <f aca="false">IF(B66="","",MAX(0,MIN(Settings!$C$7,IF(AND(O66&lt;&gt;"",O66&lt;=Settings!$C$7),O66-1,Settings!$C$7))-MAX(Settings!$C$6,G66)+1))</f>
        <v/>
      </c>
      <c r="U66" s="24" t="str">
        <f aca="false">IF(OR(B66="",J66=""),"",1-(IF(I66="",Settings!$C$8,I66))^(1/J66))</f>
        <v/>
      </c>
      <c r="V66" s="23" t="str">
        <f aca="false">IF(OR(B66="",J66=""),"",ROUND(MAX(0,MIN(IF(L66="WDV",(S66+R66)*U66,H66*(1-IF(I66="",Settings!$C$8,I66))/J66)*T66/Settings!$C$9,(S66+R66)-H66*IF(I66="",Settings!$C$8,I66))),0))</f>
        <v/>
      </c>
      <c r="W66" s="23" t="str">
        <f aca="false">IF(B66="","",IF(AND(O66&lt;&gt;"",O66&gt;=Settings!$C$6,O66&lt;=Settings!$C$7),H66,0))</f>
        <v/>
      </c>
      <c r="X66" s="23" t="str">
        <f aca="false">IF(B66="","",IF(W66&gt;0,N(N66)+V66,0))</f>
        <v/>
      </c>
      <c r="Y66" s="23" t="str">
        <f aca="false">IF(B66="","",Q66+R66-W66)</f>
        <v/>
      </c>
      <c r="Z66" s="23" t="str">
        <f aca="false">IF(B66="","",N(N66)+N(V66)-X66)</f>
        <v/>
      </c>
      <c r="AA66" s="25" t="str">
        <f aca="false">IF(B66="","",Y66-Z66)</f>
        <v/>
      </c>
      <c r="AB66" s="23" t="str">
        <f aca="false">IF(B66="","",IF(W66&gt;0,N(P66)-(W66-X66),0))</f>
        <v/>
      </c>
      <c r="AC66" s="7" t="str">
        <f aca="false">IF(B66="","",IF(AND(R66&gt;0,Settings!$C$7-G66+1&lt;180),"Yes","No"))</f>
        <v/>
      </c>
    </row>
    <row r="67" customFormat="false" ht="15" hidden="false" customHeight="false" outlineLevel="0" collapsed="false">
      <c r="B67" s="5"/>
      <c r="C67" s="5"/>
      <c r="D67" s="5"/>
      <c r="E67" s="5"/>
      <c r="F67" s="18"/>
      <c r="G67" s="18"/>
      <c r="H67" s="19"/>
      <c r="I67" s="20"/>
      <c r="J67" s="21" t="str">
        <f aca="false">IF(B67="","",IF(K67&lt;&gt;"",K67,IFERROR(INDEX(Settings!$C$14:$C$31,MATCH(D67,Settings!$B$14:$B$31,0)),"")))</f>
        <v/>
      </c>
      <c r="K67" s="22"/>
      <c r="L67" s="5"/>
      <c r="M67" s="5"/>
      <c r="N67" s="19"/>
      <c r="O67" s="18"/>
      <c r="P67" s="19"/>
      <c r="Q67" s="23" t="str">
        <f aca="false">IF(B67="","",IF(G67&lt;Settings!$C$6,H67,0))</f>
        <v/>
      </c>
      <c r="R67" s="23" t="str">
        <f aca="false">IF(B67="","",IF(AND(G67&gt;=Settings!$C$6,G67&lt;=Settings!$C$7),H67,0))</f>
        <v/>
      </c>
      <c r="S67" s="23" t="str">
        <f aca="false">IF(B67="","",Q67-N(N67))</f>
        <v/>
      </c>
      <c r="T67" s="21" t="str">
        <f aca="false">IF(B67="","",MAX(0,MIN(Settings!$C$7,IF(AND(O67&lt;&gt;"",O67&lt;=Settings!$C$7),O67-1,Settings!$C$7))-MAX(Settings!$C$6,G67)+1))</f>
        <v/>
      </c>
      <c r="U67" s="24" t="str">
        <f aca="false">IF(OR(B67="",J67=""),"",1-(IF(I67="",Settings!$C$8,I67))^(1/J67))</f>
        <v/>
      </c>
      <c r="V67" s="23" t="str">
        <f aca="false">IF(OR(B67="",J67=""),"",ROUND(MAX(0,MIN(IF(L67="WDV",(S67+R67)*U67,H67*(1-IF(I67="",Settings!$C$8,I67))/J67)*T67/Settings!$C$9,(S67+R67)-H67*IF(I67="",Settings!$C$8,I67))),0))</f>
        <v/>
      </c>
      <c r="W67" s="23" t="str">
        <f aca="false">IF(B67="","",IF(AND(O67&lt;&gt;"",O67&gt;=Settings!$C$6,O67&lt;=Settings!$C$7),H67,0))</f>
        <v/>
      </c>
      <c r="X67" s="23" t="str">
        <f aca="false">IF(B67="","",IF(W67&gt;0,N(N67)+V67,0))</f>
        <v/>
      </c>
      <c r="Y67" s="23" t="str">
        <f aca="false">IF(B67="","",Q67+R67-W67)</f>
        <v/>
      </c>
      <c r="Z67" s="23" t="str">
        <f aca="false">IF(B67="","",N(N67)+N(V67)-X67)</f>
        <v/>
      </c>
      <c r="AA67" s="25" t="str">
        <f aca="false">IF(B67="","",Y67-Z67)</f>
        <v/>
      </c>
      <c r="AB67" s="23" t="str">
        <f aca="false">IF(B67="","",IF(W67&gt;0,N(P67)-(W67-X67),0))</f>
        <v/>
      </c>
      <c r="AC67" s="7" t="str">
        <f aca="false">IF(B67="","",IF(AND(R67&gt;0,Settings!$C$7-G67+1&lt;180),"Yes","No"))</f>
        <v/>
      </c>
    </row>
    <row r="68" customFormat="false" ht="15" hidden="false" customHeight="false" outlineLevel="0" collapsed="false">
      <c r="B68" s="5"/>
      <c r="C68" s="5"/>
      <c r="D68" s="5"/>
      <c r="E68" s="5"/>
      <c r="F68" s="18"/>
      <c r="G68" s="18"/>
      <c r="H68" s="19"/>
      <c r="I68" s="20"/>
      <c r="J68" s="21" t="str">
        <f aca="false">IF(B68="","",IF(K68&lt;&gt;"",K68,IFERROR(INDEX(Settings!$C$14:$C$31,MATCH(D68,Settings!$B$14:$B$31,0)),"")))</f>
        <v/>
      </c>
      <c r="K68" s="22"/>
      <c r="L68" s="5"/>
      <c r="M68" s="5"/>
      <c r="N68" s="19"/>
      <c r="O68" s="18"/>
      <c r="P68" s="19"/>
      <c r="Q68" s="23" t="str">
        <f aca="false">IF(B68="","",IF(G68&lt;Settings!$C$6,H68,0))</f>
        <v/>
      </c>
      <c r="R68" s="23" t="str">
        <f aca="false">IF(B68="","",IF(AND(G68&gt;=Settings!$C$6,G68&lt;=Settings!$C$7),H68,0))</f>
        <v/>
      </c>
      <c r="S68" s="23" t="str">
        <f aca="false">IF(B68="","",Q68-N(N68))</f>
        <v/>
      </c>
      <c r="T68" s="21" t="str">
        <f aca="false">IF(B68="","",MAX(0,MIN(Settings!$C$7,IF(AND(O68&lt;&gt;"",O68&lt;=Settings!$C$7),O68-1,Settings!$C$7))-MAX(Settings!$C$6,G68)+1))</f>
        <v/>
      </c>
      <c r="U68" s="24" t="str">
        <f aca="false">IF(OR(B68="",J68=""),"",1-(IF(I68="",Settings!$C$8,I68))^(1/J68))</f>
        <v/>
      </c>
      <c r="V68" s="23" t="str">
        <f aca="false">IF(OR(B68="",J68=""),"",ROUND(MAX(0,MIN(IF(L68="WDV",(S68+R68)*U68,H68*(1-IF(I68="",Settings!$C$8,I68))/J68)*T68/Settings!$C$9,(S68+R68)-H68*IF(I68="",Settings!$C$8,I68))),0))</f>
        <v/>
      </c>
      <c r="W68" s="23" t="str">
        <f aca="false">IF(B68="","",IF(AND(O68&lt;&gt;"",O68&gt;=Settings!$C$6,O68&lt;=Settings!$C$7),H68,0))</f>
        <v/>
      </c>
      <c r="X68" s="23" t="str">
        <f aca="false">IF(B68="","",IF(W68&gt;0,N(N68)+V68,0))</f>
        <v/>
      </c>
      <c r="Y68" s="23" t="str">
        <f aca="false">IF(B68="","",Q68+R68-W68)</f>
        <v/>
      </c>
      <c r="Z68" s="23" t="str">
        <f aca="false">IF(B68="","",N(N68)+N(V68)-X68)</f>
        <v/>
      </c>
      <c r="AA68" s="25" t="str">
        <f aca="false">IF(B68="","",Y68-Z68)</f>
        <v/>
      </c>
      <c r="AB68" s="23" t="str">
        <f aca="false">IF(B68="","",IF(W68&gt;0,N(P68)-(W68-X68),0))</f>
        <v/>
      </c>
      <c r="AC68" s="7" t="str">
        <f aca="false">IF(B68="","",IF(AND(R68&gt;0,Settings!$C$7-G68+1&lt;180),"Yes","No"))</f>
        <v/>
      </c>
    </row>
    <row r="69" customFormat="false" ht="15" hidden="false" customHeight="false" outlineLevel="0" collapsed="false">
      <c r="B69" s="5"/>
      <c r="C69" s="5"/>
      <c r="D69" s="5"/>
      <c r="E69" s="5"/>
      <c r="F69" s="18"/>
      <c r="G69" s="18"/>
      <c r="H69" s="19"/>
      <c r="I69" s="20"/>
      <c r="J69" s="21" t="str">
        <f aca="false">IF(B69="","",IF(K69&lt;&gt;"",K69,IFERROR(INDEX(Settings!$C$14:$C$31,MATCH(D69,Settings!$B$14:$B$31,0)),"")))</f>
        <v/>
      </c>
      <c r="K69" s="22"/>
      <c r="L69" s="5"/>
      <c r="M69" s="5"/>
      <c r="N69" s="19"/>
      <c r="O69" s="18"/>
      <c r="P69" s="19"/>
      <c r="Q69" s="23" t="str">
        <f aca="false">IF(B69="","",IF(G69&lt;Settings!$C$6,H69,0))</f>
        <v/>
      </c>
      <c r="R69" s="23" t="str">
        <f aca="false">IF(B69="","",IF(AND(G69&gt;=Settings!$C$6,G69&lt;=Settings!$C$7),H69,0))</f>
        <v/>
      </c>
      <c r="S69" s="23" t="str">
        <f aca="false">IF(B69="","",Q69-N(N69))</f>
        <v/>
      </c>
      <c r="T69" s="21" t="str">
        <f aca="false">IF(B69="","",MAX(0,MIN(Settings!$C$7,IF(AND(O69&lt;&gt;"",O69&lt;=Settings!$C$7),O69-1,Settings!$C$7))-MAX(Settings!$C$6,G69)+1))</f>
        <v/>
      </c>
      <c r="U69" s="24" t="str">
        <f aca="false">IF(OR(B69="",J69=""),"",1-(IF(I69="",Settings!$C$8,I69))^(1/J69))</f>
        <v/>
      </c>
      <c r="V69" s="23" t="str">
        <f aca="false">IF(OR(B69="",J69=""),"",ROUND(MAX(0,MIN(IF(L69="WDV",(S69+R69)*U69,H69*(1-IF(I69="",Settings!$C$8,I69))/J69)*T69/Settings!$C$9,(S69+R69)-H69*IF(I69="",Settings!$C$8,I69))),0))</f>
        <v/>
      </c>
      <c r="W69" s="23" t="str">
        <f aca="false">IF(B69="","",IF(AND(O69&lt;&gt;"",O69&gt;=Settings!$C$6,O69&lt;=Settings!$C$7),H69,0))</f>
        <v/>
      </c>
      <c r="X69" s="23" t="str">
        <f aca="false">IF(B69="","",IF(W69&gt;0,N(N69)+V69,0))</f>
        <v/>
      </c>
      <c r="Y69" s="23" t="str">
        <f aca="false">IF(B69="","",Q69+R69-W69)</f>
        <v/>
      </c>
      <c r="Z69" s="23" t="str">
        <f aca="false">IF(B69="","",N(N69)+N(V69)-X69)</f>
        <v/>
      </c>
      <c r="AA69" s="25" t="str">
        <f aca="false">IF(B69="","",Y69-Z69)</f>
        <v/>
      </c>
      <c r="AB69" s="23" t="str">
        <f aca="false">IF(B69="","",IF(W69&gt;0,N(P69)-(W69-X69),0))</f>
        <v/>
      </c>
      <c r="AC69" s="7" t="str">
        <f aca="false">IF(B69="","",IF(AND(R69&gt;0,Settings!$C$7-G69+1&lt;180),"Yes","No"))</f>
        <v/>
      </c>
    </row>
    <row r="70" customFormat="false" ht="15" hidden="false" customHeight="false" outlineLevel="0" collapsed="false">
      <c r="B70" s="5"/>
      <c r="C70" s="5"/>
      <c r="D70" s="5"/>
      <c r="E70" s="5"/>
      <c r="F70" s="18"/>
      <c r="G70" s="18"/>
      <c r="H70" s="19"/>
      <c r="I70" s="20"/>
      <c r="J70" s="21" t="str">
        <f aca="false">IF(B70="","",IF(K70&lt;&gt;"",K70,IFERROR(INDEX(Settings!$C$14:$C$31,MATCH(D70,Settings!$B$14:$B$31,0)),"")))</f>
        <v/>
      </c>
      <c r="K70" s="22"/>
      <c r="L70" s="5"/>
      <c r="M70" s="5"/>
      <c r="N70" s="19"/>
      <c r="O70" s="18"/>
      <c r="P70" s="19"/>
      <c r="Q70" s="23" t="str">
        <f aca="false">IF(B70="","",IF(G70&lt;Settings!$C$6,H70,0))</f>
        <v/>
      </c>
      <c r="R70" s="23" t="str">
        <f aca="false">IF(B70="","",IF(AND(G70&gt;=Settings!$C$6,G70&lt;=Settings!$C$7),H70,0))</f>
        <v/>
      </c>
      <c r="S70" s="23" t="str">
        <f aca="false">IF(B70="","",Q70-N(N70))</f>
        <v/>
      </c>
      <c r="T70" s="21" t="str">
        <f aca="false">IF(B70="","",MAX(0,MIN(Settings!$C$7,IF(AND(O70&lt;&gt;"",O70&lt;=Settings!$C$7),O70-1,Settings!$C$7))-MAX(Settings!$C$6,G70)+1))</f>
        <v/>
      </c>
      <c r="U70" s="24" t="str">
        <f aca="false">IF(OR(B70="",J70=""),"",1-(IF(I70="",Settings!$C$8,I70))^(1/J70))</f>
        <v/>
      </c>
      <c r="V70" s="23" t="str">
        <f aca="false">IF(OR(B70="",J70=""),"",ROUND(MAX(0,MIN(IF(L70="WDV",(S70+R70)*U70,H70*(1-IF(I70="",Settings!$C$8,I70))/J70)*T70/Settings!$C$9,(S70+R70)-H70*IF(I70="",Settings!$C$8,I70))),0))</f>
        <v/>
      </c>
      <c r="W70" s="23" t="str">
        <f aca="false">IF(B70="","",IF(AND(O70&lt;&gt;"",O70&gt;=Settings!$C$6,O70&lt;=Settings!$C$7),H70,0))</f>
        <v/>
      </c>
      <c r="X70" s="23" t="str">
        <f aca="false">IF(B70="","",IF(W70&gt;0,N(N70)+V70,0))</f>
        <v/>
      </c>
      <c r="Y70" s="23" t="str">
        <f aca="false">IF(B70="","",Q70+R70-W70)</f>
        <v/>
      </c>
      <c r="Z70" s="23" t="str">
        <f aca="false">IF(B70="","",N(N70)+N(V70)-X70)</f>
        <v/>
      </c>
      <c r="AA70" s="25" t="str">
        <f aca="false">IF(B70="","",Y70-Z70)</f>
        <v/>
      </c>
      <c r="AB70" s="23" t="str">
        <f aca="false">IF(B70="","",IF(W70&gt;0,N(P70)-(W70-X70),0))</f>
        <v/>
      </c>
      <c r="AC70" s="7" t="str">
        <f aca="false">IF(B70="","",IF(AND(R70&gt;0,Settings!$C$7-G70+1&lt;180),"Yes","No"))</f>
        <v/>
      </c>
    </row>
    <row r="71" customFormat="false" ht="15" hidden="false" customHeight="false" outlineLevel="0" collapsed="false">
      <c r="B71" s="5"/>
      <c r="C71" s="5"/>
      <c r="D71" s="5"/>
      <c r="E71" s="5"/>
      <c r="F71" s="18"/>
      <c r="G71" s="18"/>
      <c r="H71" s="19"/>
      <c r="I71" s="20"/>
      <c r="J71" s="21" t="str">
        <f aca="false">IF(B71="","",IF(K71&lt;&gt;"",K71,IFERROR(INDEX(Settings!$C$14:$C$31,MATCH(D71,Settings!$B$14:$B$31,0)),"")))</f>
        <v/>
      </c>
      <c r="K71" s="22"/>
      <c r="L71" s="5"/>
      <c r="M71" s="5"/>
      <c r="N71" s="19"/>
      <c r="O71" s="18"/>
      <c r="P71" s="19"/>
      <c r="Q71" s="23" t="str">
        <f aca="false">IF(B71="","",IF(G71&lt;Settings!$C$6,H71,0))</f>
        <v/>
      </c>
      <c r="R71" s="23" t="str">
        <f aca="false">IF(B71="","",IF(AND(G71&gt;=Settings!$C$6,G71&lt;=Settings!$C$7),H71,0))</f>
        <v/>
      </c>
      <c r="S71" s="23" t="str">
        <f aca="false">IF(B71="","",Q71-N(N71))</f>
        <v/>
      </c>
      <c r="T71" s="21" t="str">
        <f aca="false">IF(B71="","",MAX(0,MIN(Settings!$C$7,IF(AND(O71&lt;&gt;"",O71&lt;=Settings!$C$7),O71-1,Settings!$C$7))-MAX(Settings!$C$6,G71)+1))</f>
        <v/>
      </c>
      <c r="U71" s="24" t="str">
        <f aca="false">IF(OR(B71="",J71=""),"",1-(IF(I71="",Settings!$C$8,I71))^(1/J71))</f>
        <v/>
      </c>
      <c r="V71" s="23" t="str">
        <f aca="false">IF(OR(B71="",J71=""),"",ROUND(MAX(0,MIN(IF(L71="WDV",(S71+R71)*U71,H71*(1-IF(I71="",Settings!$C$8,I71))/J71)*T71/Settings!$C$9,(S71+R71)-H71*IF(I71="",Settings!$C$8,I71))),0))</f>
        <v/>
      </c>
      <c r="W71" s="23" t="str">
        <f aca="false">IF(B71="","",IF(AND(O71&lt;&gt;"",O71&gt;=Settings!$C$6,O71&lt;=Settings!$C$7),H71,0))</f>
        <v/>
      </c>
      <c r="X71" s="23" t="str">
        <f aca="false">IF(B71="","",IF(W71&gt;0,N(N71)+V71,0))</f>
        <v/>
      </c>
      <c r="Y71" s="23" t="str">
        <f aca="false">IF(B71="","",Q71+R71-W71)</f>
        <v/>
      </c>
      <c r="Z71" s="23" t="str">
        <f aca="false">IF(B71="","",N(N71)+N(V71)-X71)</f>
        <v/>
      </c>
      <c r="AA71" s="25" t="str">
        <f aca="false">IF(B71="","",Y71-Z71)</f>
        <v/>
      </c>
      <c r="AB71" s="23" t="str">
        <f aca="false">IF(B71="","",IF(W71&gt;0,N(P71)-(W71-X71),0))</f>
        <v/>
      </c>
      <c r="AC71" s="7" t="str">
        <f aca="false">IF(B71="","",IF(AND(R71&gt;0,Settings!$C$7-G71+1&lt;180),"Yes","No"))</f>
        <v/>
      </c>
    </row>
    <row r="72" customFormat="false" ht="15" hidden="false" customHeight="false" outlineLevel="0" collapsed="false">
      <c r="B72" s="5"/>
      <c r="C72" s="5"/>
      <c r="D72" s="5"/>
      <c r="E72" s="5"/>
      <c r="F72" s="18"/>
      <c r="G72" s="18"/>
      <c r="H72" s="19"/>
      <c r="I72" s="20"/>
      <c r="J72" s="21" t="str">
        <f aca="false">IF(B72="","",IF(K72&lt;&gt;"",K72,IFERROR(INDEX(Settings!$C$14:$C$31,MATCH(D72,Settings!$B$14:$B$31,0)),"")))</f>
        <v/>
      </c>
      <c r="K72" s="22"/>
      <c r="L72" s="5"/>
      <c r="M72" s="5"/>
      <c r="N72" s="19"/>
      <c r="O72" s="18"/>
      <c r="P72" s="19"/>
      <c r="Q72" s="23" t="str">
        <f aca="false">IF(B72="","",IF(G72&lt;Settings!$C$6,H72,0))</f>
        <v/>
      </c>
      <c r="R72" s="23" t="str">
        <f aca="false">IF(B72="","",IF(AND(G72&gt;=Settings!$C$6,G72&lt;=Settings!$C$7),H72,0))</f>
        <v/>
      </c>
      <c r="S72" s="23" t="str">
        <f aca="false">IF(B72="","",Q72-N(N72))</f>
        <v/>
      </c>
      <c r="T72" s="21" t="str">
        <f aca="false">IF(B72="","",MAX(0,MIN(Settings!$C$7,IF(AND(O72&lt;&gt;"",O72&lt;=Settings!$C$7),O72-1,Settings!$C$7))-MAX(Settings!$C$6,G72)+1))</f>
        <v/>
      </c>
      <c r="U72" s="24" t="str">
        <f aca="false">IF(OR(B72="",J72=""),"",1-(IF(I72="",Settings!$C$8,I72))^(1/J72))</f>
        <v/>
      </c>
      <c r="V72" s="23" t="str">
        <f aca="false">IF(OR(B72="",J72=""),"",ROUND(MAX(0,MIN(IF(L72="WDV",(S72+R72)*U72,H72*(1-IF(I72="",Settings!$C$8,I72))/J72)*T72/Settings!$C$9,(S72+R72)-H72*IF(I72="",Settings!$C$8,I72))),0))</f>
        <v/>
      </c>
      <c r="W72" s="23" t="str">
        <f aca="false">IF(B72="","",IF(AND(O72&lt;&gt;"",O72&gt;=Settings!$C$6,O72&lt;=Settings!$C$7),H72,0))</f>
        <v/>
      </c>
      <c r="X72" s="23" t="str">
        <f aca="false">IF(B72="","",IF(W72&gt;0,N(N72)+V72,0))</f>
        <v/>
      </c>
      <c r="Y72" s="23" t="str">
        <f aca="false">IF(B72="","",Q72+R72-W72)</f>
        <v/>
      </c>
      <c r="Z72" s="23" t="str">
        <f aca="false">IF(B72="","",N(N72)+N(V72)-X72)</f>
        <v/>
      </c>
      <c r="AA72" s="25" t="str">
        <f aca="false">IF(B72="","",Y72-Z72)</f>
        <v/>
      </c>
      <c r="AB72" s="23" t="str">
        <f aca="false">IF(B72="","",IF(W72&gt;0,N(P72)-(W72-X72),0))</f>
        <v/>
      </c>
      <c r="AC72" s="7" t="str">
        <f aca="false">IF(B72="","",IF(AND(R72&gt;0,Settings!$C$7-G72+1&lt;180),"Yes","No"))</f>
        <v/>
      </c>
    </row>
    <row r="73" customFormat="false" ht="15" hidden="false" customHeight="false" outlineLevel="0" collapsed="false">
      <c r="B73" s="5"/>
      <c r="C73" s="5"/>
      <c r="D73" s="5"/>
      <c r="E73" s="5"/>
      <c r="F73" s="18"/>
      <c r="G73" s="18"/>
      <c r="H73" s="19"/>
      <c r="I73" s="20"/>
      <c r="J73" s="21" t="str">
        <f aca="false">IF(B73="","",IF(K73&lt;&gt;"",K73,IFERROR(INDEX(Settings!$C$14:$C$31,MATCH(D73,Settings!$B$14:$B$31,0)),"")))</f>
        <v/>
      </c>
      <c r="K73" s="22"/>
      <c r="L73" s="5"/>
      <c r="M73" s="5"/>
      <c r="N73" s="19"/>
      <c r="O73" s="18"/>
      <c r="P73" s="19"/>
      <c r="Q73" s="23" t="str">
        <f aca="false">IF(B73="","",IF(G73&lt;Settings!$C$6,H73,0))</f>
        <v/>
      </c>
      <c r="R73" s="23" t="str">
        <f aca="false">IF(B73="","",IF(AND(G73&gt;=Settings!$C$6,G73&lt;=Settings!$C$7),H73,0))</f>
        <v/>
      </c>
      <c r="S73" s="23" t="str">
        <f aca="false">IF(B73="","",Q73-N(N73))</f>
        <v/>
      </c>
      <c r="T73" s="21" t="str">
        <f aca="false">IF(B73="","",MAX(0,MIN(Settings!$C$7,IF(AND(O73&lt;&gt;"",O73&lt;=Settings!$C$7),O73-1,Settings!$C$7))-MAX(Settings!$C$6,G73)+1))</f>
        <v/>
      </c>
      <c r="U73" s="24" t="str">
        <f aca="false">IF(OR(B73="",J73=""),"",1-(IF(I73="",Settings!$C$8,I73))^(1/J73))</f>
        <v/>
      </c>
      <c r="V73" s="23" t="str">
        <f aca="false">IF(OR(B73="",J73=""),"",ROUND(MAX(0,MIN(IF(L73="WDV",(S73+R73)*U73,H73*(1-IF(I73="",Settings!$C$8,I73))/J73)*T73/Settings!$C$9,(S73+R73)-H73*IF(I73="",Settings!$C$8,I73))),0))</f>
        <v/>
      </c>
      <c r="W73" s="23" t="str">
        <f aca="false">IF(B73="","",IF(AND(O73&lt;&gt;"",O73&gt;=Settings!$C$6,O73&lt;=Settings!$C$7),H73,0))</f>
        <v/>
      </c>
      <c r="X73" s="23" t="str">
        <f aca="false">IF(B73="","",IF(W73&gt;0,N(N73)+V73,0))</f>
        <v/>
      </c>
      <c r="Y73" s="23" t="str">
        <f aca="false">IF(B73="","",Q73+R73-W73)</f>
        <v/>
      </c>
      <c r="Z73" s="23" t="str">
        <f aca="false">IF(B73="","",N(N73)+N(V73)-X73)</f>
        <v/>
      </c>
      <c r="AA73" s="25" t="str">
        <f aca="false">IF(B73="","",Y73-Z73)</f>
        <v/>
      </c>
      <c r="AB73" s="23" t="str">
        <f aca="false">IF(B73="","",IF(W73&gt;0,N(P73)-(W73-X73),0))</f>
        <v/>
      </c>
      <c r="AC73" s="7" t="str">
        <f aca="false">IF(B73="","",IF(AND(R73&gt;0,Settings!$C$7-G73+1&lt;180),"Yes","No"))</f>
        <v/>
      </c>
    </row>
    <row r="74" customFormat="false" ht="15" hidden="false" customHeight="false" outlineLevel="0" collapsed="false">
      <c r="B74" s="5"/>
      <c r="C74" s="5"/>
      <c r="D74" s="5"/>
      <c r="E74" s="5"/>
      <c r="F74" s="18"/>
      <c r="G74" s="18"/>
      <c r="H74" s="19"/>
      <c r="I74" s="20"/>
      <c r="J74" s="21" t="str">
        <f aca="false">IF(B74="","",IF(K74&lt;&gt;"",K74,IFERROR(INDEX(Settings!$C$14:$C$31,MATCH(D74,Settings!$B$14:$B$31,0)),"")))</f>
        <v/>
      </c>
      <c r="K74" s="22"/>
      <c r="L74" s="5"/>
      <c r="M74" s="5"/>
      <c r="N74" s="19"/>
      <c r="O74" s="18"/>
      <c r="P74" s="19"/>
      <c r="Q74" s="23" t="str">
        <f aca="false">IF(B74="","",IF(G74&lt;Settings!$C$6,H74,0))</f>
        <v/>
      </c>
      <c r="R74" s="23" t="str">
        <f aca="false">IF(B74="","",IF(AND(G74&gt;=Settings!$C$6,G74&lt;=Settings!$C$7),H74,0))</f>
        <v/>
      </c>
      <c r="S74" s="23" t="str">
        <f aca="false">IF(B74="","",Q74-N(N74))</f>
        <v/>
      </c>
      <c r="T74" s="21" t="str">
        <f aca="false">IF(B74="","",MAX(0,MIN(Settings!$C$7,IF(AND(O74&lt;&gt;"",O74&lt;=Settings!$C$7),O74-1,Settings!$C$7))-MAX(Settings!$C$6,G74)+1))</f>
        <v/>
      </c>
      <c r="U74" s="24" t="str">
        <f aca="false">IF(OR(B74="",J74=""),"",1-(IF(I74="",Settings!$C$8,I74))^(1/J74))</f>
        <v/>
      </c>
      <c r="V74" s="23" t="str">
        <f aca="false">IF(OR(B74="",J74=""),"",ROUND(MAX(0,MIN(IF(L74="WDV",(S74+R74)*U74,H74*(1-IF(I74="",Settings!$C$8,I74))/J74)*T74/Settings!$C$9,(S74+R74)-H74*IF(I74="",Settings!$C$8,I74))),0))</f>
        <v/>
      </c>
      <c r="W74" s="23" t="str">
        <f aca="false">IF(B74="","",IF(AND(O74&lt;&gt;"",O74&gt;=Settings!$C$6,O74&lt;=Settings!$C$7),H74,0))</f>
        <v/>
      </c>
      <c r="X74" s="23" t="str">
        <f aca="false">IF(B74="","",IF(W74&gt;0,N(N74)+V74,0))</f>
        <v/>
      </c>
      <c r="Y74" s="23" t="str">
        <f aca="false">IF(B74="","",Q74+R74-W74)</f>
        <v/>
      </c>
      <c r="Z74" s="23" t="str">
        <f aca="false">IF(B74="","",N(N74)+N(V74)-X74)</f>
        <v/>
      </c>
      <c r="AA74" s="25" t="str">
        <f aca="false">IF(B74="","",Y74-Z74)</f>
        <v/>
      </c>
      <c r="AB74" s="23" t="str">
        <f aca="false">IF(B74="","",IF(W74&gt;0,N(P74)-(W74-X74),0))</f>
        <v/>
      </c>
      <c r="AC74" s="7" t="str">
        <f aca="false">IF(B74="","",IF(AND(R74&gt;0,Settings!$C$7-G74+1&lt;180),"Yes","No"))</f>
        <v/>
      </c>
    </row>
    <row r="75" customFormat="false" ht="15" hidden="false" customHeight="false" outlineLevel="0" collapsed="false">
      <c r="B75" s="5"/>
      <c r="C75" s="5"/>
      <c r="D75" s="5"/>
      <c r="E75" s="5"/>
      <c r="F75" s="18"/>
      <c r="G75" s="18"/>
      <c r="H75" s="19"/>
      <c r="I75" s="20"/>
      <c r="J75" s="21" t="str">
        <f aca="false">IF(B75="","",IF(K75&lt;&gt;"",K75,IFERROR(INDEX(Settings!$C$14:$C$31,MATCH(D75,Settings!$B$14:$B$31,0)),"")))</f>
        <v/>
      </c>
      <c r="K75" s="22"/>
      <c r="L75" s="5"/>
      <c r="M75" s="5"/>
      <c r="N75" s="19"/>
      <c r="O75" s="18"/>
      <c r="P75" s="19"/>
      <c r="Q75" s="23" t="str">
        <f aca="false">IF(B75="","",IF(G75&lt;Settings!$C$6,H75,0))</f>
        <v/>
      </c>
      <c r="R75" s="23" t="str">
        <f aca="false">IF(B75="","",IF(AND(G75&gt;=Settings!$C$6,G75&lt;=Settings!$C$7),H75,0))</f>
        <v/>
      </c>
      <c r="S75" s="23" t="str">
        <f aca="false">IF(B75="","",Q75-N(N75))</f>
        <v/>
      </c>
      <c r="T75" s="21" t="str">
        <f aca="false">IF(B75="","",MAX(0,MIN(Settings!$C$7,IF(AND(O75&lt;&gt;"",O75&lt;=Settings!$C$7),O75-1,Settings!$C$7))-MAX(Settings!$C$6,G75)+1))</f>
        <v/>
      </c>
      <c r="U75" s="24" t="str">
        <f aca="false">IF(OR(B75="",J75=""),"",1-(IF(I75="",Settings!$C$8,I75))^(1/J75))</f>
        <v/>
      </c>
      <c r="V75" s="23" t="str">
        <f aca="false">IF(OR(B75="",J75=""),"",ROUND(MAX(0,MIN(IF(L75="WDV",(S75+R75)*U75,H75*(1-IF(I75="",Settings!$C$8,I75))/J75)*T75/Settings!$C$9,(S75+R75)-H75*IF(I75="",Settings!$C$8,I75))),0))</f>
        <v/>
      </c>
      <c r="W75" s="23" t="str">
        <f aca="false">IF(B75="","",IF(AND(O75&lt;&gt;"",O75&gt;=Settings!$C$6,O75&lt;=Settings!$C$7),H75,0))</f>
        <v/>
      </c>
      <c r="X75" s="23" t="str">
        <f aca="false">IF(B75="","",IF(W75&gt;0,N(N75)+V75,0))</f>
        <v/>
      </c>
      <c r="Y75" s="23" t="str">
        <f aca="false">IF(B75="","",Q75+R75-W75)</f>
        <v/>
      </c>
      <c r="Z75" s="23" t="str">
        <f aca="false">IF(B75="","",N(N75)+N(V75)-X75)</f>
        <v/>
      </c>
      <c r="AA75" s="25" t="str">
        <f aca="false">IF(B75="","",Y75-Z75)</f>
        <v/>
      </c>
      <c r="AB75" s="23" t="str">
        <f aca="false">IF(B75="","",IF(W75&gt;0,N(P75)-(W75-X75),0))</f>
        <v/>
      </c>
      <c r="AC75" s="7" t="str">
        <f aca="false">IF(B75="","",IF(AND(R75&gt;0,Settings!$C$7-G75+1&lt;180),"Yes","No"))</f>
        <v/>
      </c>
    </row>
    <row r="76" customFormat="false" ht="15" hidden="false" customHeight="false" outlineLevel="0" collapsed="false">
      <c r="B76" s="5"/>
      <c r="C76" s="5"/>
      <c r="D76" s="5"/>
      <c r="E76" s="5"/>
      <c r="F76" s="18"/>
      <c r="G76" s="18"/>
      <c r="H76" s="19"/>
      <c r="I76" s="20"/>
      <c r="J76" s="21" t="str">
        <f aca="false">IF(B76="","",IF(K76&lt;&gt;"",K76,IFERROR(INDEX(Settings!$C$14:$C$31,MATCH(D76,Settings!$B$14:$B$31,0)),"")))</f>
        <v/>
      </c>
      <c r="K76" s="22"/>
      <c r="L76" s="5"/>
      <c r="M76" s="5"/>
      <c r="N76" s="19"/>
      <c r="O76" s="18"/>
      <c r="P76" s="19"/>
      <c r="Q76" s="23" t="str">
        <f aca="false">IF(B76="","",IF(G76&lt;Settings!$C$6,H76,0))</f>
        <v/>
      </c>
      <c r="R76" s="23" t="str">
        <f aca="false">IF(B76="","",IF(AND(G76&gt;=Settings!$C$6,G76&lt;=Settings!$C$7),H76,0))</f>
        <v/>
      </c>
      <c r="S76" s="23" t="str">
        <f aca="false">IF(B76="","",Q76-N(N76))</f>
        <v/>
      </c>
      <c r="T76" s="21" t="str">
        <f aca="false">IF(B76="","",MAX(0,MIN(Settings!$C$7,IF(AND(O76&lt;&gt;"",O76&lt;=Settings!$C$7),O76-1,Settings!$C$7))-MAX(Settings!$C$6,G76)+1))</f>
        <v/>
      </c>
      <c r="U76" s="24" t="str">
        <f aca="false">IF(OR(B76="",J76=""),"",1-(IF(I76="",Settings!$C$8,I76))^(1/J76))</f>
        <v/>
      </c>
      <c r="V76" s="23" t="str">
        <f aca="false">IF(OR(B76="",J76=""),"",ROUND(MAX(0,MIN(IF(L76="WDV",(S76+R76)*U76,H76*(1-IF(I76="",Settings!$C$8,I76))/J76)*T76/Settings!$C$9,(S76+R76)-H76*IF(I76="",Settings!$C$8,I76))),0))</f>
        <v/>
      </c>
      <c r="W76" s="23" t="str">
        <f aca="false">IF(B76="","",IF(AND(O76&lt;&gt;"",O76&gt;=Settings!$C$6,O76&lt;=Settings!$C$7),H76,0))</f>
        <v/>
      </c>
      <c r="X76" s="23" t="str">
        <f aca="false">IF(B76="","",IF(W76&gt;0,N(N76)+V76,0))</f>
        <v/>
      </c>
      <c r="Y76" s="23" t="str">
        <f aca="false">IF(B76="","",Q76+R76-W76)</f>
        <v/>
      </c>
      <c r="Z76" s="23" t="str">
        <f aca="false">IF(B76="","",N(N76)+N(V76)-X76)</f>
        <v/>
      </c>
      <c r="AA76" s="25" t="str">
        <f aca="false">IF(B76="","",Y76-Z76)</f>
        <v/>
      </c>
      <c r="AB76" s="23" t="str">
        <f aca="false">IF(B76="","",IF(W76&gt;0,N(P76)-(W76-X76),0))</f>
        <v/>
      </c>
      <c r="AC76" s="7" t="str">
        <f aca="false">IF(B76="","",IF(AND(R76&gt;0,Settings!$C$7-G76+1&lt;180),"Yes","No"))</f>
        <v/>
      </c>
    </row>
    <row r="77" customFormat="false" ht="15" hidden="false" customHeight="false" outlineLevel="0" collapsed="false">
      <c r="B77" s="5"/>
      <c r="C77" s="5"/>
      <c r="D77" s="5"/>
      <c r="E77" s="5"/>
      <c r="F77" s="18"/>
      <c r="G77" s="18"/>
      <c r="H77" s="19"/>
      <c r="I77" s="20"/>
      <c r="J77" s="21" t="str">
        <f aca="false">IF(B77="","",IF(K77&lt;&gt;"",K77,IFERROR(INDEX(Settings!$C$14:$C$31,MATCH(D77,Settings!$B$14:$B$31,0)),"")))</f>
        <v/>
      </c>
      <c r="K77" s="22"/>
      <c r="L77" s="5"/>
      <c r="M77" s="5"/>
      <c r="N77" s="19"/>
      <c r="O77" s="18"/>
      <c r="P77" s="19"/>
      <c r="Q77" s="23" t="str">
        <f aca="false">IF(B77="","",IF(G77&lt;Settings!$C$6,H77,0))</f>
        <v/>
      </c>
      <c r="R77" s="23" t="str">
        <f aca="false">IF(B77="","",IF(AND(G77&gt;=Settings!$C$6,G77&lt;=Settings!$C$7),H77,0))</f>
        <v/>
      </c>
      <c r="S77" s="23" t="str">
        <f aca="false">IF(B77="","",Q77-N(N77))</f>
        <v/>
      </c>
      <c r="T77" s="21" t="str">
        <f aca="false">IF(B77="","",MAX(0,MIN(Settings!$C$7,IF(AND(O77&lt;&gt;"",O77&lt;=Settings!$C$7),O77-1,Settings!$C$7))-MAX(Settings!$C$6,G77)+1))</f>
        <v/>
      </c>
      <c r="U77" s="24" t="str">
        <f aca="false">IF(OR(B77="",J77=""),"",1-(IF(I77="",Settings!$C$8,I77))^(1/J77))</f>
        <v/>
      </c>
      <c r="V77" s="23" t="str">
        <f aca="false">IF(OR(B77="",J77=""),"",ROUND(MAX(0,MIN(IF(L77="WDV",(S77+R77)*U77,H77*(1-IF(I77="",Settings!$C$8,I77))/J77)*T77/Settings!$C$9,(S77+R77)-H77*IF(I77="",Settings!$C$8,I77))),0))</f>
        <v/>
      </c>
      <c r="W77" s="23" t="str">
        <f aca="false">IF(B77="","",IF(AND(O77&lt;&gt;"",O77&gt;=Settings!$C$6,O77&lt;=Settings!$C$7),H77,0))</f>
        <v/>
      </c>
      <c r="X77" s="23" t="str">
        <f aca="false">IF(B77="","",IF(W77&gt;0,N(N77)+V77,0))</f>
        <v/>
      </c>
      <c r="Y77" s="23" t="str">
        <f aca="false">IF(B77="","",Q77+R77-W77)</f>
        <v/>
      </c>
      <c r="Z77" s="23" t="str">
        <f aca="false">IF(B77="","",N(N77)+N(V77)-X77)</f>
        <v/>
      </c>
      <c r="AA77" s="25" t="str">
        <f aca="false">IF(B77="","",Y77-Z77)</f>
        <v/>
      </c>
      <c r="AB77" s="23" t="str">
        <f aca="false">IF(B77="","",IF(W77&gt;0,N(P77)-(W77-X77),0))</f>
        <v/>
      </c>
      <c r="AC77" s="7" t="str">
        <f aca="false">IF(B77="","",IF(AND(R77&gt;0,Settings!$C$7-G77+1&lt;180),"Yes","No"))</f>
        <v/>
      </c>
    </row>
    <row r="78" customFormat="false" ht="15" hidden="false" customHeight="false" outlineLevel="0" collapsed="false">
      <c r="B78" s="5"/>
      <c r="C78" s="5"/>
      <c r="D78" s="5"/>
      <c r="E78" s="5"/>
      <c r="F78" s="18"/>
      <c r="G78" s="18"/>
      <c r="H78" s="19"/>
      <c r="I78" s="20"/>
      <c r="J78" s="21" t="str">
        <f aca="false">IF(B78="","",IF(K78&lt;&gt;"",K78,IFERROR(INDEX(Settings!$C$14:$C$31,MATCH(D78,Settings!$B$14:$B$31,0)),"")))</f>
        <v/>
      </c>
      <c r="K78" s="22"/>
      <c r="L78" s="5"/>
      <c r="M78" s="5"/>
      <c r="N78" s="19"/>
      <c r="O78" s="18"/>
      <c r="P78" s="19"/>
      <c r="Q78" s="23" t="str">
        <f aca="false">IF(B78="","",IF(G78&lt;Settings!$C$6,H78,0))</f>
        <v/>
      </c>
      <c r="R78" s="23" t="str">
        <f aca="false">IF(B78="","",IF(AND(G78&gt;=Settings!$C$6,G78&lt;=Settings!$C$7),H78,0))</f>
        <v/>
      </c>
      <c r="S78" s="23" t="str">
        <f aca="false">IF(B78="","",Q78-N(N78))</f>
        <v/>
      </c>
      <c r="T78" s="21" t="str">
        <f aca="false">IF(B78="","",MAX(0,MIN(Settings!$C$7,IF(AND(O78&lt;&gt;"",O78&lt;=Settings!$C$7),O78-1,Settings!$C$7))-MAX(Settings!$C$6,G78)+1))</f>
        <v/>
      </c>
      <c r="U78" s="24" t="str">
        <f aca="false">IF(OR(B78="",J78=""),"",1-(IF(I78="",Settings!$C$8,I78))^(1/J78))</f>
        <v/>
      </c>
      <c r="V78" s="23" t="str">
        <f aca="false">IF(OR(B78="",J78=""),"",ROUND(MAX(0,MIN(IF(L78="WDV",(S78+R78)*U78,H78*(1-IF(I78="",Settings!$C$8,I78))/J78)*T78/Settings!$C$9,(S78+R78)-H78*IF(I78="",Settings!$C$8,I78))),0))</f>
        <v/>
      </c>
      <c r="W78" s="23" t="str">
        <f aca="false">IF(B78="","",IF(AND(O78&lt;&gt;"",O78&gt;=Settings!$C$6,O78&lt;=Settings!$C$7),H78,0))</f>
        <v/>
      </c>
      <c r="X78" s="23" t="str">
        <f aca="false">IF(B78="","",IF(W78&gt;0,N(N78)+V78,0))</f>
        <v/>
      </c>
      <c r="Y78" s="23" t="str">
        <f aca="false">IF(B78="","",Q78+R78-W78)</f>
        <v/>
      </c>
      <c r="Z78" s="23" t="str">
        <f aca="false">IF(B78="","",N(N78)+N(V78)-X78)</f>
        <v/>
      </c>
      <c r="AA78" s="25" t="str">
        <f aca="false">IF(B78="","",Y78-Z78)</f>
        <v/>
      </c>
      <c r="AB78" s="23" t="str">
        <f aca="false">IF(B78="","",IF(W78&gt;0,N(P78)-(W78-X78),0))</f>
        <v/>
      </c>
      <c r="AC78" s="7" t="str">
        <f aca="false">IF(B78="","",IF(AND(R78&gt;0,Settings!$C$7-G78+1&lt;180),"Yes","No"))</f>
        <v/>
      </c>
    </row>
    <row r="79" customFormat="false" ht="15" hidden="false" customHeight="false" outlineLevel="0" collapsed="false">
      <c r="B79" s="5"/>
      <c r="C79" s="5"/>
      <c r="D79" s="5"/>
      <c r="E79" s="5"/>
      <c r="F79" s="18"/>
      <c r="G79" s="18"/>
      <c r="H79" s="19"/>
      <c r="I79" s="20"/>
      <c r="J79" s="21" t="str">
        <f aca="false">IF(B79="","",IF(K79&lt;&gt;"",K79,IFERROR(INDEX(Settings!$C$14:$C$31,MATCH(D79,Settings!$B$14:$B$31,0)),"")))</f>
        <v/>
      </c>
      <c r="K79" s="22"/>
      <c r="L79" s="5"/>
      <c r="M79" s="5"/>
      <c r="N79" s="19"/>
      <c r="O79" s="18"/>
      <c r="P79" s="19"/>
      <c r="Q79" s="23" t="str">
        <f aca="false">IF(B79="","",IF(G79&lt;Settings!$C$6,H79,0))</f>
        <v/>
      </c>
      <c r="R79" s="23" t="str">
        <f aca="false">IF(B79="","",IF(AND(G79&gt;=Settings!$C$6,G79&lt;=Settings!$C$7),H79,0))</f>
        <v/>
      </c>
      <c r="S79" s="23" t="str">
        <f aca="false">IF(B79="","",Q79-N(N79))</f>
        <v/>
      </c>
      <c r="T79" s="21" t="str">
        <f aca="false">IF(B79="","",MAX(0,MIN(Settings!$C$7,IF(AND(O79&lt;&gt;"",O79&lt;=Settings!$C$7),O79-1,Settings!$C$7))-MAX(Settings!$C$6,G79)+1))</f>
        <v/>
      </c>
      <c r="U79" s="24" t="str">
        <f aca="false">IF(OR(B79="",J79=""),"",1-(IF(I79="",Settings!$C$8,I79))^(1/J79))</f>
        <v/>
      </c>
      <c r="V79" s="23" t="str">
        <f aca="false">IF(OR(B79="",J79=""),"",ROUND(MAX(0,MIN(IF(L79="WDV",(S79+R79)*U79,H79*(1-IF(I79="",Settings!$C$8,I79))/J79)*T79/Settings!$C$9,(S79+R79)-H79*IF(I79="",Settings!$C$8,I79))),0))</f>
        <v/>
      </c>
      <c r="W79" s="23" t="str">
        <f aca="false">IF(B79="","",IF(AND(O79&lt;&gt;"",O79&gt;=Settings!$C$6,O79&lt;=Settings!$C$7),H79,0))</f>
        <v/>
      </c>
      <c r="X79" s="23" t="str">
        <f aca="false">IF(B79="","",IF(W79&gt;0,N(N79)+V79,0))</f>
        <v/>
      </c>
      <c r="Y79" s="23" t="str">
        <f aca="false">IF(B79="","",Q79+R79-W79)</f>
        <v/>
      </c>
      <c r="Z79" s="23" t="str">
        <f aca="false">IF(B79="","",N(N79)+N(V79)-X79)</f>
        <v/>
      </c>
      <c r="AA79" s="25" t="str">
        <f aca="false">IF(B79="","",Y79-Z79)</f>
        <v/>
      </c>
      <c r="AB79" s="23" t="str">
        <f aca="false">IF(B79="","",IF(W79&gt;0,N(P79)-(W79-X79),0))</f>
        <v/>
      </c>
      <c r="AC79" s="7" t="str">
        <f aca="false">IF(B79="","",IF(AND(R79&gt;0,Settings!$C$7-G79+1&lt;180),"Yes","No"))</f>
        <v/>
      </c>
    </row>
    <row r="80" customFormat="false" ht="15" hidden="false" customHeight="false" outlineLevel="0" collapsed="false">
      <c r="B80" s="5"/>
      <c r="C80" s="5"/>
      <c r="D80" s="5"/>
      <c r="E80" s="5"/>
      <c r="F80" s="18"/>
      <c r="G80" s="18"/>
      <c r="H80" s="19"/>
      <c r="I80" s="20"/>
      <c r="J80" s="21" t="str">
        <f aca="false">IF(B80="","",IF(K80&lt;&gt;"",K80,IFERROR(INDEX(Settings!$C$14:$C$31,MATCH(D80,Settings!$B$14:$B$31,0)),"")))</f>
        <v/>
      </c>
      <c r="K80" s="22"/>
      <c r="L80" s="5"/>
      <c r="M80" s="5"/>
      <c r="N80" s="19"/>
      <c r="O80" s="18"/>
      <c r="P80" s="19"/>
      <c r="Q80" s="23" t="str">
        <f aca="false">IF(B80="","",IF(G80&lt;Settings!$C$6,H80,0))</f>
        <v/>
      </c>
      <c r="R80" s="23" t="str">
        <f aca="false">IF(B80="","",IF(AND(G80&gt;=Settings!$C$6,G80&lt;=Settings!$C$7),H80,0))</f>
        <v/>
      </c>
      <c r="S80" s="23" t="str">
        <f aca="false">IF(B80="","",Q80-N(N80))</f>
        <v/>
      </c>
      <c r="T80" s="21" t="str">
        <f aca="false">IF(B80="","",MAX(0,MIN(Settings!$C$7,IF(AND(O80&lt;&gt;"",O80&lt;=Settings!$C$7),O80-1,Settings!$C$7))-MAX(Settings!$C$6,G80)+1))</f>
        <v/>
      </c>
      <c r="U80" s="24" t="str">
        <f aca="false">IF(OR(B80="",J80=""),"",1-(IF(I80="",Settings!$C$8,I80))^(1/J80))</f>
        <v/>
      </c>
      <c r="V80" s="23" t="str">
        <f aca="false">IF(OR(B80="",J80=""),"",ROUND(MAX(0,MIN(IF(L80="WDV",(S80+R80)*U80,H80*(1-IF(I80="",Settings!$C$8,I80))/J80)*T80/Settings!$C$9,(S80+R80)-H80*IF(I80="",Settings!$C$8,I80))),0))</f>
        <v/>
      </c>
      <c r="W80" s="23" t="str">
        <f aca="false">IF(B80="","",IF(AND(O80&lt;&gt;"",O80&gt;=Settings!$C$6,O80&lt;=Settings!$C$7),H80,0))</f>
        <v/>
      </c>
      <c r="X80" s="23" t="str">
        <f aca="false">IF(B80="","",IF(W80&gt;0,N(N80)+V80,0))</f>
        <v/>
      </c>
      <c r="Y80" s="23" t="str">
        <f aca="false">IF(B80="","",Q80+R80-W80)</f>
        <v/>
      </c>
      <c r="Z80" s="23" t="str">
        <f aca="false">IF(B80="","",N(N80)+N(V80)-X80)</f>
        <v/>
      </c>
      <c r="AA80" s="25" t="str">
        <f aca="false">IF(B80="","",Y80-Z80)</f>
        <v/>
      </c>
      <c r="AB80" s="23" t="str">
        <f aca="false">IF(B80="","",IF(W80&gt;0,N(P80)-(W80-X80),0))</f>
        <v/>
      </c>
      <c r="AC80" s="7" t="str">
        <f aca="false">IF(B80="","",IF(AND(R80&gt;0,Settings!$C$7-G80+1&lt;180),"Yes","No"))</f>
        <v/>
      </c>
    </row>
    <row r="81" customFormat="false" ht="15" hidden="false" customHeight="false" outlineLevel="0" collapsed="false">
      <c r="B81" s="5"/>
      <c r="C81" s="5"/>
      <c r="D81" s="5"/>
      <c r="E81" s="5"/>
      <c r="F81" s="18"/>
      <c r="G81" s="18"/>
      <c r="H81" s="19"/>
      <c r="I81" s="20"/>
      <c r="J81" s="21" t="str">
        <f aca="false">IF(B81="","",IF(K81&lt;&gt;"",K81,IFERROR(INDEX(Settings!$C$14:$C$31,MATCH(D81,Settings!$B$14:$B$31,0)),"")))</f>
        <v/>
      </c>
      <c r="K81" s="22"/>
      <c r="L81" s="5"/>
      <c r="M81" s="5"/>
      <c r="N81" s="19"/>
      <c r="O81" s="18"/>
      <c r="P81" s="19"/>
      <c r="Q81" s="23" t="str">
        <f aca="false">IF(B81="","",IF(G81&lt;Settings!$C$6,H81,0))</f>
        <v/>
      </c>
      <c r="R81" s="23" t="str">
        <f aca="false">IF(B81="","",IF(AND(G81&gt;=Settings!$C$6,G81&lt;=Settings!$C$7),H81,0))</f>
        <v/>
      </c>
      <c r="S81" s="23" t="str">
        <f aca="false">IF(B81="","",Q81-N(N81))</f>
        <v/>
      </c>
      <c r="T81" s="21" t="str">
        <f aca="false">IF(B81="","",MAX(0,MIN(Settings!$C$7,IF(AND(O81&lt;&gt;"",O81&lt;=Settings!$C$7),O81-1,Settings!$C$7))-MAX(Settings!$C$6,G81)+1))</f>
        <v/>
      </c>
      <c r="U81" s="24" t="str">
        <f aca="false">IF(OR(B81="",J81=""),"",1-(IF(I81="",Settings!$C$8,I81))^(1/J81))</f>
        <v/>
      </c>
      <c r="V81" s="23" t="str">
        <f aca="false">IF(OR(B81="",J81=""),"",ROUND(MAX(0,MIN(IF(L81="WDV",(S81+R81)*U81,H81*(1-IF(I81="",Settings!$C$8,I81))/J81)*T81/Settings!$C$9,(S81+R81)-H81*IF(I81="",Settings!$C$8,I81))),0))</f>
        <v/>
      </c>
      <c r="W81" s="23" t="str">
        <f aca="false">IF(B81="","",IF(AND(O81&lt;&gt;"",O81&gt;=Settings!$C$6,O81&lt;=Settings!$C$7),H81,0))</f>
        <v/>
      </c>
      <c r="X81" s="23" t="str">
        <f aca="false">IF(B81="","",IF(W81&gt;0,N(N81)+V81,0))</f>
        <v/>
      </c>
      <c r="Y81" s="23" t="str">
        <f aca="false">IF(B81="","",Q81+R81-W81)</f>
        <v/>
      </c>
      <c r="Z81" s="23" t="str">
        <f aca="false">IF(B81="","",N(N81)+N(V81)-X81)</f>
        <v/>
      </c>
      <c r="AA81" s="25" t="str">
        <f aca="false">IF(B81="","",Y81-Z81)</f>
        <v/>
      </c>
      <c r="AB81" s="23" t="str">
        <f aca="false">IF(B81="","",IF(W81&gt;0,N(P81)-(W81-X81),0))</f>
        <v/>
      </c>
      <c r="AC81" s="7" t="str">
        <f aca="false">IF(B81="","",IF(AND(R81&gt;0,Settings!$C$7-G81+1&lt;180),"Yes","No"))</f>
        <v/>
      </c>
    </row>
    <row r="82" customFormat="false" ht="15" hidden="false" customHeight="false" outlineLevel="0" collapsed="false">
      <c r="B82" s="5"/>
      <c r="C82" s="5"/>
      <c r="D82" s="5"/>
      <c r="E82" s="5"/>
      <c r="F82" s="18"/>
      <c r="G82" s="18"/>
      <c r="H82" s="19"/>
      <c r="I82" s="20"/>
      <c r="J82" s="21" t="str">
        <f aca="false">IF(B82="","",IF(K82&lt;&gt;"",K82,IFERROR(INDEX(Settings!$C$14:$C$31,MATCH(D82,Settings!$B$14:$B$31,0)),"")))</f>
        <v/>
      </c>
      <c r="K82" s="22"/>
      <c r="L82" s="5"/>
      <c r="M82" s="5"/>
      <c r="N82" s="19"/>
      <c r="O82" s="18"/>
      <c r="P82" s="19"/>
      <c r="Q82" s="23" t="str">
        <f aca="false">IF(B82="","",IF(G82&lt;Settings!$C$6,H82,0))</f>
        <v/>
      </c>
      <c r="R82" s="23" t="str">
        <f aca="false">IF(B82="","",IF(AND(G82&gt;=Settings!$C$6,G82&lt;=Settings!$C$7),H82,0))</f>
        <v/>
      </c>
      <c r="S82" s="23" t="str">
        <f aca="false">IF(B82="","",Q82-N(N82))</f>
        <v/>
      </c>
      <c r="T82" s="21" t="str">
        <f aca="false">IF(B82="","",MAX(0,MIN(Settings!$C$7,IF(AND(O82&lt;&gt;"",O82&lt;=Settings!$C$7),O82-1,Settings!$C$7))-MAX(Settings!$C$6,G82)+1))</f>
        <v/>
      </c>
      <c r="U82" s="24" t="str">
        <f aca="false">IF(OR(B82="",J82=""),"",1-(IF(I82="",Settings!$C$8,I82))^(1/J82))</f>
        <v/>
      </c>
      <c r="V82" s="23" t="str">
        <f aca="false">IF(OR(B82="",J82=""),"",ROUND(MAX(0,MIN(IF(L82="WDV",(S82+R82)*U82,H82*(1-IF(I82="",Settings!$C$8,I82))/J82)*T82/Settings!$C$9,(S82+R82)-H82*IF(I82="",Settings!$C$8,I82))),0))</f>
        <v/>
      </c>
      <c r="W82" s="23" t="str">
        <f aca="false">IF(B82="","",IF(AND(O82&lt;&gt;"",O82&gt;=Settings!$C$6,O82&lt;=Settings!$C$7),H82,0))</f>
        <v/>
      </c>
      <c r="X82" s="23" t="str">
        <f aca="false">IF(B82="","",IF(W82&gt;0,N(N82)+V82,0))</f>
        <v/>
      </c>
      <c r="Y82" s="23" t="str">
        <f aca="false">IF(B82="","",Q82+R82-W82)</f>
        <v/>
      </c>
      <c r="Z82" s="23" t="str">
        <f aca="false">IF(B82="","",N(N82)+N(V82)-X82)</f>
        <v/>
      </c>
      <c r="AA82" s="25" t="str">
        <f aca="false">IF(B82="","",Y82-Z82)</f>
        <v/>
      </c>
      <c r="AB82" s="23" t="str">
        <f aca="false">IF(B82="","",IF(W82&gt;0,N(P82)-(W82-X82),0))</f>
        <v/>
      </c>
      <c r="AC82" s="7" t="str">
        <f aca="false">IF(B82="","",IF(AND(R82&gt;0,Settings!$C$7-G82+1&lt;180),"Yes","No"))</f>
        <v/>
      </c>
    </row>
    <row r="83" customFormat="false" ht="15" hidden="false" customHeight="false" outlineLevel="0" collapsed="false">
      <c r="B83" s="5"/>
      <c r="C83" s="5"/>
      <c r="D83" s="5"/>
      <c r="E83" s="5"/>
      <c r="F83" s="18"/>
      <c r="G83" s="18"/>
      <c r="H83" s="19"/>
      <c r="I83" s="20"/>
      <c r="J83" s="21" t="str">
        <f aca="false">IF(B83="","",IF(K83&lt;&gt;"",K83,IFERROR(INDEX(Settings!$C$14:$C$31,MATCH(D83,Settings!$B$14:$B$31,0)),"")))</f>
        <v/>
      </c>
      <c r="K83" s="22"/>
      <c r="L83" s="5"/>
      <c r="M83" s="5"/>
      <c r="N83" s="19"/>
      <c r="O83" s="18"/>
      <c r="P83" s="19"/>
      <c r="Q83" s="23" t="str">
        <f aca="false">IF(B83="","",IF(G83&lt;Settings!$C$6,H83,0))</f>
        <v/>
      </c>
      <c r="R83" s="23" t="str">
        <f aca="false">IF(B83="","",IF(AND(G83&gt;=Settings!$C$6,G83&lt;=Settings!$C$7),H83,0))</f>
        <v/>
      </c>
      <c r="S83" s="23" t="str">
        <f aca="false">IF(B83="","",Q83-N(N83))</f>
        <v/>
      </c>
      <c r="T83" s="21" t="str">
        <f aca="false">IF(B83="","",MAX(0,MIN(Settings!$C$7,IF(AND(O83&lt;&gt;"",O83&lt;=Settings!$C$7),O83-1,Settings!$C$7))-MAX(Settings!$C$6,G83)+1))</f>
        <v/>
      </c>
      <c r="U83" s="24" t="str">
        <f aca="false">IF(OR(B83="",J83=""),"",1-(IF(I83="",Settings!$C$8,I83))^(1/J83))</f>
        <v/>
      </c>
      <c r="V83" s="23" t="str">
        <f aca="false">IF(OR(B83="",J83=""),"",ROUND(MAX(0,MIN(IF(L83="WDV",(S83+R83)*U83,H83*(1-IF(I83="",Settings!$C$8,I83))/J83)*T83/Settings!$C$9,(S83+R83)-H83*IF(I83="",Settings!$C$8,I83))),0))</f>
        <v/>
      </c>
      <c r="W83" s="23" t="str">
        <f aca="false">IF(B83="","",IF(AND(O83&lt;&gt;"",O83&gt;=Settings!$C$6,O83&lt;=Settings!$C$7),H83,0))</f>
        <v/>
      </c>
      <c r="X83" s="23" t="str">
        <f aca="false">IF(B83="","",IF(W83&gt;0,N(N83)+V83,0))</f>
        <v/>
      </c>
      <c r="Y83" s="23" t="str">
        <f aca="false">IF(B83="","",Q83+R83-W83)</f>
        <v/>
      </c>
      <c r="Z83" s="23" t="str">
        <f aca="false">IF(B83="","",N(N83)+N(V83)-X83)</f>
        <v/>
      </c>
      <c r="AA83" s="25" t="str">
        <f aca="false">IF(B83="","",Y83-Z83)</f>
        <v/>
      </c>
      <c r="AB83" s="23" t="str">
        <f aca="false">IF(B83="","",IF(W83&gt;0,N(P83)-(W83-X83),0))</f>
        <v/>
      </c>
      <c r="AC83" s="7" t="str">
        <f aca="false">IF(B83="","",IF(AND(R83&gt;0,Settings!$C$7-G83+1&lt;180),"Yes","No"))</f>
        <v/>
      </c>
    </row>
    <row r="84" customFormat="false" ht="15" hidden="false" customHeight="false" outlineLevel="0" collapsed="false">
      <c r="B84" s="5"/>
      <c r="C84" s="5"/>
      <c r="D84" s="5"/>
      <c r="E84" s="5"/>
      <c r="F84" s="18"/>
      <c r="G84" s="18"/>
      <c r="H84" s="19"/>
      <c r="I84" s="20"/>
      <c r="J84" s="21" t="str">
        <f aca="false">IF(B84="","",IF(K84&lt;&gt;"",K84,IFERROR(INDEX(Settings!$C$14:$C$31,MATCH(D84,Settings!$B$14:$B$31,0)),"")))</f>
        <v/>
      </c>
      <c r="K84" s="22"/>
      <c r="L84" s="5"/>
      <c r="M84" s="5"/>
      <c r="N84" s="19"/>
      <c r="O84" s="18"/>
      <c r="P84" s="19"/>
      <c r="Q84" s="23" t="str">
        <f aca="false">IF(B84="","",IF(G84&lt;Settings!$C$6,H84,0))</f>
        <v/>
      </c>
      <c r="R84" s="23" t="str">
        <f aca="false">IF(B84="","",IF(AND(G84&gt;=Settings!$C$6,G84&lt;=Settings!$C$7),H84,0))</f>
        <v/>
      </c>
      <c r="S84" s="23" t="str">
        <f aca="false">IF(B84="","",Q84-N(N84))</f>
        <v/>
      </c>
      <c r="T84" s="21" t="str">
        <f aca="false">IF(B84="","",MAX(0,MIN(Settings!$C$7,IF(AND(O84&lt;&gt;"",O84&lt;=Settings!$C$7),O84-1,Settings!$C$7))-MAX(Settings!$C$6,G84)+1))</f>
        <v/>
      </c>
      <c r="U84" s="24" t="str">
        <f aca="false">IF(OR(B84="",J84=""),"",1-(IF(I84="",Settings!$C$8,I84))^(1/J84))</f>
        <v/>
      </c>
      <c r="V84" s="23" t="str">
        <f aca="false">IF(OR(B84="",J84=""),"",ROUND(MAX(0,MIN(IF(L84="WDV",(S84+R84)*U84,H84*(1-IF(I84="",Settings!$C$8,I84))/J84)*T84/Settings!$C$9,(S84+R84)-H84*IF(I84="",Settings!$C$8,I84))),0))</f>
        <v/>
      </c>
      <c r="W84" s="23" t="str">
        <f aca="false">IF(B84="","",IF(AND(O84&lt;&gt;"",O84&gt;=Settings!$C$6,O84&lt;=Settings!$C$7),H84,0))</f>
        <v/>
      </c>
      <c r="X84" s="23" t="str">
        <f aca="false">IF(B84="","",IF(W84&gt;0,N(N84)+V84,0))</f>
        <v/>
      </c>
      <c r="Y84" s="23" t="str">
        <f aca="false">IF(B84="","",Q84+R84-W84)</f>
        <v/>
      </c>
      <c r="Z84" s="23" t="str">
        <f aca="false">IF(B84="","",N(N84)+N(V84)-X84)</f>
        <v/>
      </c>
      <c r="AA84" s="25" t="str">
        <f aca="false">IF(B84="","",Y84-Z84)</f>
        <v/>
      </c>
      <c r="AB84" s="23" t="str">
        <f aca="false">IF(B84="","",IF(W84&gt;0,N(P84)-(W84-X84),0))</f>
        <v/>
      </c>
      <c r="AC84" s="7" t="str">
        <f aca="false">IF(B84="","",IF(AND(R84&gt;0,Settings!$C$7-G84+1&lt;180),"Yes","No"))</f>
        <v/>
      </c>
    </row>
    <row r="85" customFormat="false" ht="15" hidden="false" customHeight="false" outlineLevel="0" collapsed="false">
      <c r="B85" s="5"/>
      <c r="C85" s="5"/>
      <c r="D85" s="5"/>
      <c r="E85" s="5"/>
      <c r="F85" s="18"/>
      <c r="G85" s="18"/>
      <c r="H85" s="19"/>
      <c r="I85" s="20"/>
      <c r="J85" s="21" t="str">
        <f aca="false">IF(B85="","",IF(K85&lt;&gt;"",K85,IFERROR(INDEX(Settings!$C$14:$C$31,MATCH(D85,Settings!$B$14:$B$31,0)),"")))</f>
        <v/>
      </c>
      <c r="K85" s="22"/>
      <c r="L85" s="5"/>
      <c r="M85" s="5"/>
      <c r="N85" s="19"/>
      <c r="O85" s="18"/>
      <c r="P85" s="19"/>
      <c r="Q85" s="23" t="str">
        <f aca="false">IF(B85="","",IF(G85&lt;Settings!$C$6,H85,0))</f>
        <v/>
      </c>
      <c r="R85" s="23" t="str">
        <f aca="false">IF(B85="","",IF(AND(G85&gt;=Settings!$C$6,G85&lt;=Settings!$C$7),H85,0))</f>
        <v/>
      </c>
      <c r="S85" s="23" t="str">
        <f aca="false">IF(B85="","",Q85-N(N85))</f>
        <v/>
      </c>
      <c r="T85" s="21" t="str">
        <f aca="false">IF(B85="","",MAX(0,MIN(Settings!$C$7,IF(AND(O85&lt;&gt;"",O85&lt;=Settings!$C$7),O85-1,Settings!$C$7))-MAX(Settings!$C$6,G85)+1))</f>
        <v/>
      </c>
      <c r="U85" s="24" t="str">
        <f aca="false">IF(OR(B85="",J85=""),"",1-(IF(I85="",Settings!$C$8,I85))^(1/J85))</f>
        <v/>
      </c>
      <c r="V85" s="23" t="str">
        <f aca="false">IF(OR(B85="",J85=""),"",ROUND(MAX(0,MIN(IF(L85="WDV",(S85+R85)*U85,H85*(1-IF(I85="",Settings!$C$8,I85))/J85)*T85/Settings!$C$9,(S85+R85)-H85*IF(I85="",Settings!$C$8,I85))),0))</f>
        <v/>
      </c>
      <c r="W85" s="23" t="str">
        <f aca="false">IF(B85="","",IF(AND(O85&lt;&gt;"",O85&gt;=Settings!$C$6,O85&lt;=Settings!$C$7),H85,0))</f>
        <v/>
      </c>
      <c r="X85" s="23" t="str">
        <f aca="false">IF(B85="","",IF(W85&gt;0,N(N85)+V85,0))</f>
        <v/>
      </c>
      <c r="Y85" s="23" t="str">
        <f aca="false">IF(B85="","",Q85+R85-W85)</f>
        <v/>
      </c>
      <c r="Z85" s="23" t="str">
        <f aca="false">IF(B85="","",N(N85)+N(V85)-X85)</f>
        <v/>
      </c>
      <c r="AA85" s="25" t="str">
        <f aca="false">IF(B85="","",Y85-Z85)</f>
        <v/>
      </c>
      <c r="AB85" s="23" t="str">
        <f aca="false">IF(B85="","",IF(W85&gt;0,N(P85)-(W85-X85),0))</f>
        <v/>
      </c>
      <c r="AC85" s="7" t="str">
        <f aca="false">IF(B85="","",IF(AND(R85&gt;0,Settings!$C$7-G85+1&lt;180),"Yes","No"))</f>
        <v/>
      </c>
    </row>
    <row r="86" customFormat="false" ht="15" hidden="false" customHeight="false" outlineLevel="0" collapsed="false">
      <c r="B86" s="5"/>
      <c r="C86" s="5"/>
      <c r="D86" s="5"/>
      <c r="E86" s="5"/>
      <c r="F86" s="18"/>
      <c r="G86" s="18"/>
      <c r="H86" s="19"/>
      <c r="I86" s="20"/>
      <c r="J86" s="21" t="str">
        <f aca="false">IF(B86="","",IF(K86&lt;&gt;"",K86,IFERROR(INDEX(Settings!$C$14:$C$31,MATCH(D86,Settings!$B$14:$B$31,0)),"")))</f>
        <v/>
      </c>
      <c r="K86" s="22"/>
      <c r="L86" s="5"/>
      <c r="M86" s="5"/>
      <c r="N86" s="19"/>
      <c r="O86" s="18"/>
      <c r="P86" s="19"/>
      <c r="Q86" s="23" t="str">
        <f aca="false">IF(B86="","",IF(G86&lt;Settings!$C$6,H86,0))</f>
        <v/>
      </c>
      <c r="R86" s="23" t="str">
        <f aca="false">IF(B86="","",IF(AND(G86&gt;=Settings!$C$6,G86&lt;=Settings!$C$7),H86,0))</f>
        <v/>
      </c>
      <c r="S86" s="23" t="str">
        <f aca="false">IF(B86="","",Q86-N(N86))</f>
        <v/>
      </c>
      <c r="T86" s="21" t="str">
        <f aca="false">IF(B86="","",MAX(0,MIN(Settings!$C$7,IF(AND(O86&lt;&gt;"",O86&lt;=Settings!$C$7),O86-1,Settings!$C$7))-MAX(Settings!$C$6,G86)+1))</f>
        <v/>
      </c>
      <c r="U86" s="24" t="str">
        <f aca="false">IF(OR(B86="",J86=""),"",1-(IF(I86="",Settings!$C$8,I86))^(1/J86))</f>
        <v/>
      </c>
      <c r="V86" s="23" t="str">
        <f aca="false">IF(OR(B86="",J86=""),"",ROUND(MAX(0,MIN(IF(L86="WDV",(S86+R86)*U86,H86*(1-IF(I86="",Settings!$C$8,I86))/J86)*T86/Settings!$C$9,(S86+R86)-H86*IF(I86="",Settings!$C$8,I86))),0))</f>
        <v/>
      </c>
      <c r="W86" s="23" t="str">
        <f aca="false">IF(B86="","",IF(AND(O86&lt;&gt;"",O86&gt;=Settings!$C$6,O86&lt;=Settings!$C$7),H86,0))</f>
        <v/>
      </c>
      <c r="X86" s="23" t="str">
        <f aca="false">IF(B86="","",IF(W86&gt;0,N(N86)+V86,0))</f>
        <v/>
      </c>
      <c r="Y86" s="23" t="str">
        <f aca="false">IF(B86="","",Q86+R86-W86)</f>
        <v/>
      </c>
      <c r="Z86" s="23" t="str">
        <f aca="false">IF(B86="","",N(N86)+N(V86)-X86)</f>
        <v/>
      </c>
      <c r="AA86" s="25" t="str">
        <f aca="false">IF(B86="","",Y86-Z86)</f>
        <v/>
      </c>
      <c r="AB86" s="23" t="str">
        <f aca="false">IF(B86="","",IF(W86&gt;0,N(P86)-(W86-X86),0))</f>
        <v/>
      </c>
      <c r="AC86" s="7" t="str">
        <f aca="false">IF(B86="","",IF(AND(R86&gt;0,Settings!$C$7-G86+1&lt;180),"Yes","No"))</f>
        <v/>
      </c>
    </row>
    <row r="87" customFormat="false" ht="15" hidden="false" customHeight="false" outlineLevel="0" collapsed="false">
      <c r="B87" s="5"/>
      <c r="C87" s="5"/>
      <c r="D87" s="5"/>
      <c r="E87" s="5"/>
      <c r="F87" s="18"/>
      <c r="G87" s="18"/>
      <c r="H87" s="19"/>
      <c r="I87" s="20"/>
      <c r="J87" s="21" t="str">
        <f aca="false">IF(B87="","",IF(K87&lt;&gt;"",K87,IFERROR(INDEX(Settings!$C$14:$C$31,MATCH(D87,Settings!$B$14:$B$31,0)),"")))</f>
        <v/>
      </c>
      <c r="K87" s="22"/>
      <c r="L87" s="5"/>
      <c r="M87" s="5"/>
      <c r="N87" s="19"/>
      <c r="O87" s="18"/>
      <c r="P87" s="19"/>
      <c r="Q87" s="23" t="str">
        <f aca="false">IF(B87="","",IF(G87&lt;Settings!$C$6,H87,0))</f>
        <v/>
      </c>
      <c r="R87" s="23" t="str">
        <f aca="false">IF(B87="","",IF(AND(G87&gt;=Settings!$C$6,G87&lt;=Settings!$C$7),H87,0))</f>
        <v/>
      </c>
      <c r="S87" s="23" t="str">
        <f aca="false">IF(B87="","",Q87-N(N87))</f>
        <v/>
      </c>
      <c r="T87" s="21" t="str">
        <f aca="false">IF(B87="","",MAX(0,MIN(Settings!$C$7,IF(AND(O87&lt;&gt;"",O87&lt;=Settings!$C$7),O87-1,Settings!$C$7))-MAX(Settings!$C$6,G87)+1))</f>
        <v/>
      </c>
      <c r="U87" s="24" t="str">
        <f aca="false">IF(OR(B87="",J87=""),"",1-(IF(I87="",Settings!$C$8,I87))^(1/J87))</f>
        <v/>
      </c>
      <c r="V87" s="23" t="str">
        <f aca="false">IF(OR(B87="",J87=""),"",ROUND(MAX(0,MIN(IF(L87="WDV",(S87+R87)*U87,H87*(1-IF(I87="",Settings!$C$8,I87))/J87)*T87/Settings!$C$9,(S87+R87)-H87*IF(I87="",Settings!$C$8,I87))),0))</f>
        <v/>
      </c>
      <c r="W87" s="23" t="str">
        <f aca="false">IF(B87="","",IF(AND(O87&lt;&gt;"",O87&gt;=Settings!$C$6,O87&lt;=Settings!$C$7),H87,0))</f>
        <v/>
      </c>
      <c r="X87" s="23" t="str">
        <f aca="false">IF(B87="","",IF(W87&gt;0,N(N87)+V87,0))</f>
        <v/>
      </c>
      <c r="Y87" s="23" t="str">
        <f aca="false">IF(B87="","",Q87+R87-W87)</f>
        <v/>
      </c>
      <c r="Z87" s="23" t="str">
        <f aca="false">IF(B87="","",N(N87)+N(V87)-X87)</f>
        <v/>
      </c>
      <c r="AA87" s="25" t="str">
        <f aca="false">IF(B87="","",Y87-Z87)</f>
        <v/>
      </c>
      <c r="AB87" s="23" t="str">
        <f aca="false">IF(B87="","",IF(W87&gt;0,N(P87)-(W87-X87),0))</f>
        <v/>
      </c>
      <c r="AC87" s="7" t="str">
        <f aca="false">IF(B87="","",IF(AND(R87&gt;0,Settings!$C$7-G87+1&lt;180),"Yes","No"))</f>
        <v/>
      </c>
    </row>
    <row r="88" customFormat="false" ht="15" hidden="false" customHeight="false" outlineLevel="0" collapsed="false">
      <c r="B88" s="5"/>
      <c r="C88" s="5"/>
      <c r="D88" s="5"/>
      <c r="E88" s="5"/>
      <c r="F88" s="18"/>
      <c r="G88" s="18"/>
      <c r="H88" s="19"/>
      <c r="I88" s="20"/>
      <c r="J88" s="21" t="str">
        <f aca="false">IF(B88="","",IF(K88&lt;&gt;"",K88,IFERROR(INDEX(Settings!$C$14:$C$31,MATCH(D88,Settings!$B$14:$B$31,0)),"")))</f>
        <v/>
      </c>
      <c r="K88" s="22"/>
      <c r="L88" s="5"/>
      <c r="M88" s="5"/>
      <c r="N88" s="19"/>
      <c r="O88" s="18"/>
      <c r="P88" s="19"/>
      <c r="Q88" s="23" t="str">
        <f aca="false">IF(B88="","",IF(G88&lt;Settings!$C$6,H88,0))</f>
        <v/>
      </c>
      <c r="R88" s="23" t="str">
        <f aca="false">IF(B88="","",IF(AND(G88&gt;=Settings!$C$6,G88&lt;=Settings!$C$7),H88,0))</f>
        <v/>
      </c>
      <c r="S88" s="23" t="str">
        <f aca="false">IF(B88="","",Q88-N(N88))</f>
        <v/>
      </c>
      <c r="T88" s="21" t="str">
        <f aca="false">IF(B88="","",MAX(0,MIN(Settings!$C$7,IF(AND(O88&lt;&gt;"",O88&lt;=Settings!$C$7),O88-1,Settings!$C$7))-MAX(Settings!$C$6,G88)+1))</f>
        <v/>
      </c>
      <c r="U88" s="24" t="str">
        <f aca="false">IF(OR(B88="",J88=""),"",1-(IF(I88="",Settings!$C$8,I88))^(1/J88))</f>
        <v/>
      </c>
      <c r="V88" s="23" t="str">
        <f aca="false">IF(OR(B88="",J88=""),"",ROUND(MAX(0,MIN(IF(L88="WDV",(S88+R88)*U88,H88*(1-IF(I88="",Settings!$C$8,I88))/J88)*T88/Settings!$C$9,(S88+R88)-H88*IF(I88="",Settings!$C$8,I88))),0))</f>
        <v/>
      </c>
      <c r="W88" s="23" t="str">
        <f aca="false">IF(B88="","",IF(AND(O88&lt;&gt;"",O88&gt;=Settings!$C$6,O88&lt;=Settings!$C$7),H88,0))</f>
        <v/>
      </c>
      <c r="X88" s="23" t="str">
        <f aca="false">IF(B88="","",IF(W88&gt;0,N(N88)+V88,0))</f>
        <v/>
      </c>
      <c r="Y88" s="23" t="str">
        <f aca="false">IF(B88="","",Q88+R88-W88)</f>
        <v/>
      </c>
      <c r="Z88" s="23" t="str">
        <f aca="false">IF(B88="","",N(N88)+N(V88)-X88)</f>
        <v/>
      </c>
      <c r="AA88" s="25" t="str">
        <f aca="false">IF(B88="","",Y88-Z88)</f>
        <v/>
      </c>
      <c r="AB88" s="23" t="str">
        <f aca="false">IF(B88="","",IF(W88&gt;0,N(P88)-(W88-X88),0))</f>
        <v/>
      </c>
      <c r="AC88" s="7" t="str">
        <f aca="false">IF(B88="","",IF(AND(R88&gt;0,Settings!$C$7-G88+1&lt;180),"Yes","No"))</f>
        <v/>
      </c>
    </row>
    <row r="89" customFormat="false" ht="15" hidden="false" customHeight="false" outlineLevel="0" collapsed="false">
      <c r="B89" s="5"/>
      <c r="C89" s="5"/>
      <c r="D89" s="5"/>
      <c r="E89" s="5"/>
      <c r="F89" s="18"/>
      <c r="G89" s="18"/>
      <c r="H89" s="19"/>
      <c r="I89" s="20"/>
      <c r="J89" s="21" t="str">
        <f aca="false">IF(B89="","",IF(K89&lt;&gt;"",K89,IFERROR(INDEX(Settings!$C$14:$C$31,MATCH(D89,Settings!$B$14:$B$31,0)),"")))</f>
        <v/>
      </c>
      <c r="K89" s="22"/>
      <c r="L89" s="5"/>
      <c r="M89" s="5"/>
      <c r="N89" s="19"/>
      <c r="O89" s="18"/>
      <c r="P89" s="19"/>
      <c r="Q89" s="23" t="str">
        <f aca="false">IF(B89="","",IF(G89&lt;Settings!$C$6,H89,0))</f>
        <v/>
      </c>
      <c r="R89" s="23" t="str">
        <f aca="false">IF(B89="","",IF(AND(G89&gt;=Settings!$C$6,G89&lt;=Settings!$C$7),H89,0))</f>
        <v/>
      </c>
      <c r="S89" s="23" t="str">
        <f aca="false">IF(B89="","",Q89-N(N89))</f>
        <v/>
      </c>
      <c r="T89" s="21" t="str">
        <f aca="false">IF(B89="","",MAX(0,MIN(Settings!$C$7,IF(AND(O89&lt;&gt;"",O89&lt;=Settings!$C$7),O89-1,Settings!$C$7))-MAX(Settings!$C$6,G89)+1))</f>
        <v/>
      </c>
      <c r="U89" s="24" t="str">
        <f aca="false">IF(OR(B89="",J89=""),"",1-(IF(I89="",Settings!$C$8,I89))^(1/J89))</f>
        <v/>
      </c>
      <c r="V89" s="23" t="str">
        <f aca="false">IF(OR(B89="",J89=""),"",ROUND(MAX(0,MIN(IF(L89="WDV",(S89+R89)*U89,H89*(1-IF(I89="",Settings!$C$8,I89))/J89)*T89/Settings!$C$9,(S89+R89)-H89*IF(I89="",Settings!$C$8,I89))),0))</f>
        <v/>
      </c>
      <c r="W89" s="23" t="str">
        <f aca="false">IF(B89="","",IF(AND(O89&lt;&gt;"",O89&gt;=Settings!$C$6,O89&lt;=Settings!$C$7),H89,0))</f>
        <v/>
      </c>
      <c r="X89" s="23" t="str">
        <f aca="false">IF(B89="","",IF(W89&gt;0,N(N89)+V89,0))</f>
        <v/>
      </c>
      <c r="Y89" s="23" t="str">
        <f aca="false">IF(B89="","",Q89+R89-W89)</f>
        <v/>
      </c>
      <c r="Z89" s="23" t="str">
        <f aca="false">IF(B89="","",N(N89)+N(V89)-X89)</f>
        <v/>
      </c>
      <c r="AA89" s="25" t="str">
        <f aca="false">IF(B89="","",Y89-Z89)</f>
        <v/>
      </c>
      <c r="AB89" s="23" t="str">
        <f aca="false">IF(B89="","",IF(W89&gt;0,N(P89)-(W89-X89),0))</f>
        <v/>
      </c>
      <c r="AC89" s="7" t="str">
        <f aca="false">IF(B89="","",IF(AND(R89&gt;0,Settings!$C$7-G89+1&lt;180),"Yes","No"))</f>
        <v/>
      </c>
    </row>
    <row r="90" customFormat="false" ht="15" hidden="false" customHeight="false" outlineLevel="0" collapsed="false">
      <c r="B90" s="5"/>
      <c r="C90" s="5"/>
      <c r="D90" s="5"/>
      <c r="E90" s="5"/>
      <c r="F90" s="18"/>
      <c r="G90" s="18"/>
      <c r="H90" s="19"/>
      <c r="I90" s="20"/>
      <c r="J90" s="21" t="str">
        <f aca="false">IF(B90="","",IF(K90&lt;&gt;"",K90,IFERROR(INDEX(Settings!$C$14:$C$31,MATCH(D90,Settings!$B$14:$B$31,0)),"")))</f>
        <v/>
      </c>
      <c r="K90" s="22"/>
      <c r="L90" s="5"/>
      <c r="M90" s="5"/>
      <c r="N90" s="19"/>
      <c r="O90" s="18"/>
      <c r="P90" s="19"/>
      <c r="Q90" s="23" t="str">
        <f aca="false">IF(B90="","",IF(G90&lt;Settings!$C$6,H90,0))</f>
        <v/>
      </c>
      <c r="R90" s="23" t="str">
        <f aca="false">IF(B90="","",IF(AND(G90&gt;=Settings!$C$6,G90&lt;=Settings!$C$7),H90,0))</f>
        <v/>
      </c>
      <c r="S90" s="23" t="str">
        <f aca="false">IF(B90="","",Q90-N(N90))</f>
        <v/>
      </c>
      <c r="T90" s="21" t="str">
        <f aca="false">IF(B90="","",MAX(0,MIN(Settings!$C$7,IF(AND(O90&lt;&gt;"",O90&lt;=Settings!$C$7),O90-1,Settings!$C$7))-MAX(Settings!$C$6,G90)+1))</f>
        <v/>
      </c>
      <c r="U90" s="24" t="str">
        <f aca="false">IF(OR(B90="",J90=""),"",1-(IF(I90="",Settings!$C$8,I90))^(1/J90))</f>
        <v/>
      </c>
      <c r="V90" s="23" t="str">
        <f aca="false">IF(OR(B90="",J90=""),"",ROUND(MAX(0,MIN(IF(L90="WDV",(S90+R90)*U90,H90*(1-IF(I90="",Settings!$C$8,I90))/J90)*T90/Settings!$C$9,(S90+R90)-H90*IF(I90="",Settings!$C$8,I90))),0))</f>
        <v/>
      </c>
      <c r="W90" s="23" t="str">
        <f aca="false">IF(B90="","",IF(AND(O90&lt;&gt;"",O90&gt;=Settings!$C$6,O90&lt;=Settings!$C$7),H90,0))</f>
        <v/>
      </c>
      <c r="X90" s="23" t="str">
        <f aca="false">IF(B90="","",IF(W90&gt;0,N(N90)+V90,0))</f>
        <v/>
      </c>
      <c r="Y90" s="23" t="str">
        <f aca="false">IF(B90="","",Q90+R90-W90)</f>
        <v/>
      </c>
      <c r="Z90" s="23" t="str">
        <f aca="false">IF(B90="","",N(N90)+N(V90)-X90)</f>
        <v/>
      </c>
      <c r="AA90" s="25" t="str">
        <f aca="false">IF(B90="","",Y90-Z90)</f>
        <v/>
      </c>
      <c r="AB90" s="23" t="str">
        <f aca="false">IF(B90="","",IF(W90&gt;0,N(P90)-(W90-X90),0))</f>
        <v/>
      </c>
      <c r="AC90" s="7" t="str">
        <f aca="false">IF(B90="","",IF(AND(R90&gt;0,Settings!$C$7-G90+1&lt;180),"Yes","No"))</f>
        <v/>
      </c>
    </row>
    <row r="91" customFormat="false" ht="15" hidden="false" customHeight="false" outlineLevel="0" collapsed="false">
      <c r="B91" s="5"/>
      <c r="C91" s="5"/>
      <c r="D91" s="5"/>
      <c r="E91" s="5"/>
      <c r="F91" s="18"/>
      <c r="G91" s="18"/>
      <c r="H91" s="19"/>
      <c r="I91" s="20"/>
      <c r="J91" s="21" t="str">
        <f aca="false">IF(B91="","",IF(K91&lt;&gt;"",K91,IFERROR(INDEX(Settings!$C$14:$C$31,MATCH(D91,Settings!$B$14:$B$31,0)),"")))</f>
        <v/>
      </c>
      <c r="K91" s="22"/>
      <c r="L91" s="5"/>
      <c r="M91" s="5"/>
      <c r="N91" s="19"/>
      <c r="O91" s="18"/>
      <c r="P91" s="19"/>
      <c r="Q91" s="23" t="str">
        <f aca="false">IF(B91="","",IF(G91&lt;Settings!$C$6,H91,0))</f>
        <v/>
      </c>
      <c r="R91" s="23" t="str">
        <f aca="false">IF(B91="","",IF(AND(G91&gt;=Settings!$C$6,G91&lt;=Settings!$C$7),H91,0))</f>
        <v/>
      </c>
      <c r="S91" s="23" t="str">
        <f aca="false">IF(B91="","",Q91-N(N91))</f>
        <v/>
      </c>
      <c r="T91" s="21" t="str">
        <f aca="false">IF(B91="","",MAX(0,MIN(Settings!$C$7,IF(AND(O91&lt;&gt;"",O91&lt;=Settings!$C$7),O91-1,Settings!$C$7))-MAX(Settings!$C$6,G91)+1))</f>
        <v/>
      </c>
      <c r="U91" s="24" t="str">
        <f aca="false">IF(OR(B91="",J91=""),"",1-(IF(I91="",Settings!$C$8,I91))^(1/J91))</f>
        <v/>
      </c>
      <c r="V91" s="23" t="str">
        <f aca="false">IF(OR(B91="",J91=""),"",ROUND(MAX(0,MIN(IF(L91="WDV",(S91+R91)*U91,H91*(1-IF(I91="",Settings!$C$8,I91))/J91)*T91/Settings!$C$9,(S91+R91)-H91*IF(I91="",Settings!$C$8,I91))),0))</f>
        <v/>
      </c>
      <c r="W91" s="23" t="str">
        <f aca="false">IF(B91="","",IF(AND(O91&lt;&gt;"",O91&gt;=Settings!$C$6,O91&lt;=Settings!$C$7),H91,0))</f>
        <v/>
      </c>
      <c r="X91" s="23" t="str">
        <f aca="false">IF(B91="","",IF(W91&gt;0,N(N91)+V91,0))</f>
        <v/>
      </c>
      <c r="Y91" s="23" t="str">
        <f aca="false">IF(B91="","",Q91+R91-W91)</f>
        <v/>
      </c>
      <c r="Z91" s="23" t="str">
        <f aca="false">IF(B91="","",N(N91)+N(V91)-X91)</f>
        <v/>
      </c>
      <c r="AA91" s="25" t="str">
        <f aca="false">IF(B91="","",Y91-Z91)</f>
        <v/>
      </c>
      <c r="AB91" s="23" t="str">
        <f aca="false">IF(B91="","",IF(W91&gt;0,N(P91)-(W91-X91),0))</f>
        <v/>
      </c>
      <c r="AC91" s="7" t="str">
        <f aca="false">IF(B91="","",IF(AND(R91&gt;0,Settings!$C$7-G91+1&lt;180),"Yes","No"))</f>
        <v/>
      </c>
    </row>
    <row r="92" customFormat="false" ht="15" hidden="false" customHeight="false" outlineLevel="0" collapsed="false">
      <c r="B92" s="5"/>
      <c r="C92" s="5"/>
      <c r="D92" s="5"/>
      <c r="E92" s="5"/>
      <c r="F92" s="18"/>
      <c r="G92" s="18"/>
      <c r="H92" s="19"/>
      <c r="I92" s="20"/>
      <c r="J92" s="21" t="str">
        <f aca="false">IF(B92="","",IF(K92&lt;&gt;"",K92,IFERROR(INDEX(Settings!$C$14:$C$31,MATCH(D92,Settings!$B$14:$B$31,0)),"")))</f>
        <v/>
      </c>
      <c r="K92" s="22"/>
      <c r="L92" s="5"/>
      <c r="M92" s="5"/>
      <c r="N92" s="19"/>
      <c r="O92" s="18"/>
      <c r="P92" s="19"/>
      <c r="Q92" s="23" t="str">
        <f aca="false">IF(B92="","",IF(G92&lt;Settings!$C$6,H92,0))</f>
        <v/>
      </c>
      <c r="R92" s="23" t="str">
        <f aca="false">IF(B92="","",IF(AND(G92&gt;=Settings!$C$6,G92&lt;=Settings!$C$7),H92,0))</f>
        <v/>
      </c>
      <c r="S92" s="23" t="str">
        <f aca="false">IF(B92="","",Q92-N(N92))</f>
        <v/>
      </c>
      <c r="T92" s="21" t="str">
        <f aca="false">IF(B92="","",MAX(0,MIN(Settings!$C$7,IF(AND(O92&lt;&gt;"",O92&lt;=Settings!$C$7),O92-1,Settings!$C$7))-MAX(Settings!$C$6,G92)+1))</f>
        <v/>
      </c>
      <c r="U92" s="24" t="str">
        <f aca="false">IF(OR(B92="",J92=""),"",1-(IF(I92="",Settings!$C$8,I92))^(1/J92))</f>
        <v/>
      </c>
      <c r="V92" s="23" t="str">
        <f aca="false">IF(OR(B92="",J92=""),"",ROUND(MAX(0,MIN(IF(L92="WDV",(S92+R92)*U92,H92*(1-IF(I92="",Settings!$C$8,I92))/J92)*T92/Settings!$C$9,(S92+R92)-H92*IF(I92="",Settings!$C$8,I92))),0))</f>
        <v/>
      </c>
      <c r="W92" s="23" t="str">
        <f aca="false">IF(B92="","",IF(AND(O92&lt;&gt;"",O92&gt;=Settings!$C$6,O92&lt;=Settings!$C$7),H92,0))</f>
        <v/>
      </c>
      <c r="X92" s="23" t="str">
        <f aca="false">IF(B92="","",IF(W92&gt;0,N(N92)+V92,0))</f>
        <v/>
      </c>
      <c r="Y92" s="23" t="str">
        <f aca="false">IF(B92="","",Q92+R92-W92)</f>
        <v/>
      </c>
      <c r="Z92" s="23" t="str">
        <f aca="false">IF(B92="","",N(N92)+N(V92)-X92)</f>
        <v/>
      </c>
      <c r="AA92" s="25" t="str">
        <f aca="false">IF(B92="","",Y92-Z92)</f>
        <v/>
      </c>
      <c r="AB92" s="23" t="str">
        <f aca="false">IF(B92="","",IF(W92&gt;0,N(P92)-(W92-X92),0))</f>
        <v/>
      </c>
      <c r="AC92" s="7" t="str">
        <f aca="false">IF(B92="","",IF(AND(R92&gt;0,Settings!$C$7-G92+1&lt;180),"Yes","No"))</f>
        <v/>
      </c>
    </row>
    <row r="93" customFormat="false" ht="15" hidden="false" customHeight="false" outlineLevel="0" collapsed="false">
      <c r="B93" s="5"/>
      <c r="C93" s="5"/>
      <c r="D93" s="5"/>
      <c r="E93" s="5"/>
      <c r="F93" s="18"/>
      <c r="G93" s="18"/>
      <c r="H93" s="19"/>
      <c r="I93" s="20"/>
      <c r="J93" s="21" t="str">
        <f aca="false">IF(B93="","",IF(K93&lt;&gt;"",K93,IFERROR(INDEX(Settings!$C$14:$C$31,MATCH(D93,Settings!$B$14:$B$31,0)),"")))</f>
        <v/>
      </c>
      <c r="K93" s="22"/>
      <c r="L93" s="5"/>
      <c r="M93" s="5"/>
      <c r="N93" s="19"/>
      <c r="O93" s="18"/>
      <c r="P93" s="19"/>
      <c r="Q93" s="23" t="str">
        <f aca="false">IF(B93="","",IF(G93&lt;Settings!$C$6,H93,0))</f>
        <v/>
      </c>
      <c r="R93" s="23" t="str">
        <f aca="false">IF(B93="","",IF(AND(G93&gt;=Settings!$C$6,G93&lt;=Settings!$C$7),H93,0))</f>
        <v/>
      </c>
      <c r="S93" s="23" t="str">
        <f aca="false">IF(B93="","",Q93-N(N93))</f>
        <v/>
      </c>
      <c r="T93" s="21" t="str">
        <f aca="false">IF(B93="","",MAX(0,MIN(Settings!$C$7,IF(AND(O93&lt;&gt;"",O93&lt;=Settings!$C$7),O93-1,Settings!$C$7))-MAX(Settings!$C$6,G93)+1))</f>
        <v/>
      </c>
      <c r="U93" s="24" t="str">
        <f aca="false">IF(OR(B93="",J93=""),"",1-(IF(I93="",Settings!$C$8,I93))^(1/J93))</f>
        <v/>
      </c>
      <c r="V93" s="23" t="str">
        <f aca="false">IF(OR(B93="",J93=""),"",ROUND(MAX(0,MIN(IF(L93="WDV",(S93+R93)*U93,H93*(1-IF(I93="",Settings!$C$8,I93))/J93)*T93/Settings!$C$9,(S93+R93)-H93*IF(I93="",Settings!$C$8,I93))),0))</f>
        <v/>
      </c>
      <c r="W93" s="23" t="str">
        <f aca="false">IF(B93="","",IF(AND(O93&lt;&gt;"",O93&gt;=Settings!$C$6,O93&lt;=Settings!$C$7),H93,0))</f>
        <v/>
      </c>
      <c r="X93" s="23" t="str">
        <f aca="false">IF(B93="","",IF(W93&gt;0,N(N93)+V93,0))</f>
        <v/>
      </c>
      <c r="Y93" s="23" t="str">
        <f aca="false">IF(B93="","",Q93+R93-W93)</f>
        <v/>
      </c>
      <c r="Z93" s="23" t="str">
        <f aca="false">IF(B93="","",N(N93)+N(V93)-X93)</f>
        <v/>
      </c>
      <c r="AA93" s="25" t="str">
        <f aca="false">IF(B93="","",Y93-Z93)</f>
        <v/>
      </c>
      <c r="AB93" s="23" t="str">
        <f aca="false">IF(B93="","",IF(W93&gt;0,N(P93)-(W93-X93),0))</f>
        <v/>
      </c>
      <c r="AC93" s="7" t="str">
        <f aca="false">IF(B93="","",IF(AND(R93&gt;0,Settings!$C$7-G93+1&lt;180),"Yes","No"))</f>
        <v/>
      </c>
    </row>
    <row r="94" customFormat="false" ht="15" hidden="false" customHeight="false" outlineLevel="0" collapsed="false">
      <c r="B94" s="5"/>
      <c r="C94" s="5"/>
      <c r="D94" s="5"/>
      <c r="E94" s="5"/>
      <c r="F94" s="18"/>
      <c r="G94" s="18"/>
      <c r="H94" s="19"/>
      <c r="I94" s="20"/>
      <c r="J94" s="21" t="str">
        <f aca="false">IF(B94="","",IF(K94&lt;&gt;"",K94,IFERROR(INDEX(Settings!$C$14:$C$31,MATCH(D94,Settings!$B$14:$B$31,0)),"")))</f>
        <v/>
      </c>
      <c r="K94" s="22"/>
      <c r="L94" s="5"/>
      <c r="M94" s="5"/>
      <c r="N94" s="19"/>
      <c r="O94" s="18"/>
      <c r="P94" s="19"/>
      <c r="Q94" s="23" t="str">
        <f aca="false">IF(B94="","",IF(G94&lt;Settings!$C$6,H94,0))</f>
        <v/>
      </c>
      <c r="R94" s="23" t="str">
        <f aca="false">IF(B94="","",IF(AND(G94&gt;=Settings!$C$6,G94&lt;=Settings!$C$7),H94,0))</f>
        <v/>
      </c>
      <c r="S94" s="23" t="str">
        <f aca="false">IF(B94="","",Q94-N(N94))</f>
        <v/>
      </c>
      <c r="T94" s="21" t="str">
        <f aca="false">IF(B94="","",MAX(0,MIN(Settings!$C$7,IF(AND(O94&lt;&gt;"",O94&lt;=Settings!$C$7),O94-1,Settings!$C$7))-MAX(Settings!$C$6,G94)+1))</f>
        <v/>
      </c>
      <c r="U94" s="24" t="str">
        <f aca="false">IF(OR(B94="",J94=""),"",1-(IF(I94="",Settings!$C$8,I94))^(1/J94))</f>
        <v/>
      </c>
      <c r="V94" s="23" t="str">
        <f aca="false">IF(OR(B94="",J94=""),"",ROUND(MAX(0,MIN(IF(L94="WDV",(S94+R94)*U94,H94*(1-IF(I94="",Settings!$C$8,I94))/J94)*T94/Settings!$C$9,(S94+R94)-H94*IF(I94="",Settings!$C$8,I94))),0))</f>
        <v/>
      </c>
      <c r="W94" s="23" t="str">
        <f aca="false">IF(B94="","",IF(AND(O94&lt;&gt;"",O94&gt;=Settings!$C$6,O94&lt;=Settings!$C$7),H94,0))</f>
        <v/>
      </c>
      <c r="X94" s="23" t="str">
        <f aca="false">IF(B94="","",IF(W94&gt;0,N(N94)+V94,0))</f>
        <v/>
      </c>
      <c r="Y94" s="23" t="str">
        <f aca="false">IF(B94="","",Q94+R94-W94)</f>
        <v/>
      </c>
      <c r="Z94" s="23" t="str">
        <f aca="false">IF(B94="","",N(N94)+N(V94)-X94)</f>
        <v/>
      </c>
      <c r="AA94" s="25" t="str">
        <f aca="false">IF(B94="","",Y94-Z94)</f>
        <v/>
      </c>
      <c r="AB94" s="23" t="str">
        <f aca="false">IF(B94="","",IF(W94&gt;0,N(P94)-(W94-X94),0))</f>
        <v/>
      </c>
      <c r="AC94" s="7" t="str">
        <f aca="false">IF(B94="","",IF(AND(R94&gt;0,Settings!$C$7-G94+1&lt;180),"Yes","No"))</f>
        <v/>
      </c>
    </row>
    <row r="95" customFormat="false" ht="15" hidden="false" customHeight="false" outlineLevel="0" collapsed="false">
      <c r="B95" s="5"/>
      <c r="C95" s="5"/>
      <c r="D95" s="5"/>
      <c r="E95" s="5"/>
      <c r="F95" s="18"/>
      <c r="G95" s="18"/>
      <c r="H95" s="19"/>
      <c r="I95" s="20"/>
      <c r="J95" s="21" t="str">
        <f aca="false">IF(B95="","",IF(K95&lt;&gt;"",K95,IFERROR(INDEX(Settings!$C$14:$C$31,MATCH(D95,Settings!$B$14:$B$31,0)),"")))</f>
        <v/>
      </c>
      <c r="K95" s="22"/>
      <c r="L95" s="5"/>
      <c r="M95" s="5"/>
      <c r="N95" s="19"/>
      <c r="O95" s="18"/>
      <c r="P95" s="19"/>
      <c r="Q95" s="23" t="str">
        <f aca="false">IF(B95="","",IF(G95&lt;Settings!$C$6,H95,0))</f>
        <v/>
      </c>
      <c r="R95" s="23" t="str">
        <f aca="false">IF(B95="","",IF(AND(G95&gt;=Settings!$C$6,G95&lt;=Settings!$C$7),H95,0))</f>
        <v/>
      </c>
      <c r="S95" s="23" t="str">
        <f aca="false">IF(B95="","",Q95-N(N95))</f>
        <v/>
      </c>
      <c r="T95" s="21" t="str">
        <f aca="false">IF(B95="","",MAX(0,MIN(Settings!$C$7,IF(AND(O95&lt;&gt;"",O95&lt;=Settings!$C$7),O95-1,Settings!$C$7))-MAX(Settings!$C$6,G95)+1))</f>
        <v/>
      </c>
      <c r="U95" s="24" t="str">
        <f aca="false">IF(OR(B95="",J95=""),"",1-(IF(I95="",Settings!$C$8,I95))^(1/J95))</f>
        <v/>
      </c>
      <c r="V95" s="23" t="str">
        <f aca="false">IF(OR(B95="",J95=""),"",ROUND(MAX(0,MIN(IF(L95="WDV",(S95+R95)*U95,H95*(1-IF(I95="",Settings!$C$8,I95))/J95)*T95/Settings!$C$9,(S95+R95)-H95*IF(I95="",Settings!$C$8,I95))),0))</f>
        <v/>
      </c>
      <c r="W95" s="23" t="str">
        <f aca="false">IF(B95="","",IF(AND(O95&lt;&gt;"",O95&gt;=Settings!$C$6,O95&lt;=Settings!$C$7),H95,0))</f>
        <v/>
      </c>
      <c r="X95" s="23" t="str">
        <f aca="false">IF(B95="","",IF(W95&gt;0,N(N95)+V95,0))</f>
        <v/>
      </c>
      <c r="Y95" s="23" t="str">
        <f aca="false">IF(B95="","",Q95+R95-W95)</f>
        <v/>
      </c>
      <c r="Z95" s="23" t="str">
        <f aca="false">IF(B95="","",N(N95)+N(V95)-X95)</f>
        <v/>
      </c>
      <c r="AA95" s="25" t="str">
        <f aca="false">IF(B95="","",Y95-Z95)</f>
        <v/>
      </c>
      <c r="AB95" s="23" t="str">
        <f aca="false">IF(B95="","",IF(W95&gt;0,N(P95)-(W95-X95),0))</f>
        <v/>
      </c>
      <c r="AC95" s="7" t="str">
        <f aca="false">IF(B95="","",IF(AND(R95&gt;0,Settings!$C$7-G95+1&lt;180),"Yes","No"))</f>
        <v/>
      </c>
    </row>
    <row r="96" customFormat="false" ht="15" hidden="false" customHeight="false" outlineLevel="0" collapsed="false">
      <c r="B96" s="5"/>
      <c r="C96" s="5"/>
      <c r="D96" s="5"/>
      <c r="E96" s="5"/>
      <c r="F96" s="18"/>
      <c r="G96" s="18"/>
      <c r="H96" s="19"/>
      <c r="I96" s="20"/>
      <c r="J96" s="21" t="str">
        <f aca="false">IF(B96="","",IF(K96&lt;&gt;"",K96,IFERROR(INDEX(Settings!$C$14:$C$31,MATCH(D96,Settings!$B$14:$B$31,0)),"")))</f>
        <v/>
      </c>
      <c r="K96" s="22"/>
      <c r="L96" s="5"/>
      <c r="M96" s="5"/>
      <c r="N96" s="19"/>
      <c r="O96" s="18"/>
      <c r="P96" s="19"/>
      <c r="Q96" s="23" t="str">
        <f aca="false">IF(B96="","",IF(G96&lt;Settings!$C$6,H96,0))</f>
        <v/>
      </c>
      <c r="R96" s="23" t="str">
        <f aca="false">IF(B96="","",IF(AND(G96&gt;=Settings!$C$6,G96&lt;=Settings!$C$7),H96,0))</f>
        <v/>
      </c>
      <c r="S96" s="23" t="str">
        <f aca="false">IF(B96="","",Q96-N(N96))</f>
        <v/>
      </c>
      <c r="T96" s="21" t="str">
        <f aca="false">IF(B96="","",MAX(0,MIN(Settings!$C$7,IF(AND(O96&lt;&gt;"",O96&lt;=Settings!$C$7),O96-1,Settings!$C$7))-MAX(Settings!$C$6,G96)+1))</f>
        <v/>
      </c>
      <c r="U96" s="24" t="str">
        <f aca="false">IF(OR(B96="",J96=""),"",1-(IF(I96="",Settings!$C$8,I96))^(1/J96))</f>
        <v/>
      </c>
      <c r="V96" s="23" t="str">
        <f aca="false">IF(OR(B96="",J96=""),"",ROUND(MAX(0,MIN(IF(L96="WDV",(S96+R96)*U96,H96*(1-IF(I96="",Settings!$C$8,I96))/J96)*T96/Settings!$C$9,(S96+R96)-H96*IF(I96="",Settings!$C$8,I96))),0))</f>
        <v/>
      </c>
      <c r="W96" s="23" t="str">
        <f aca="false">IF(B96="","",IF(AND(O96&lt;&gt;"",O96&gt;=Settings!$C$6,O96&lt;=Settings!$C$7),H96,0))</f>
        <v/>
      </c>
      <c r="X96" s="23" t="str">
        <f aca="false">IF(B96="","",IF(W96&gt;0,N(N96)+V96,0))</f>
        <v/>
      </c>
      <c r="Y96" s="23" t="str">
        <f aca="false">IF(B96="","",Q96+R96-W96)</f>
        <v/>
      </c>
      <c r="Z96" s="23" t="str">
        <f aca="false">IF(B96="","",N(N96)+N(V96)-X96)</f>
        <v/>
      </c>
      <c r="AA96" s="25" t="str">
        <f aca="false">IF(B96="","",Y96-Z96)</f>
        <v/>
      </c>
      <c r="AB96" s="23" t="str">
        <f aca="false">IF(B96="","",IF(W96&gt;0,N(P96)-(W96-X96),0))</f>
        <v/>
      </c>
      <c r="AC96" s="7" t="str">
        <f aca="false">IF(B96="","",IF(AND(R96&gt;0,Settings!$C$7-G96+1&lt;180),"Yes","No"))</f>
        <v/>
      </c>
    </row>
    <row r="97" customFormat="false" ht="15" hidden="false" customHeight="false" outlineLevel="0" collapsed="false">
      <c r="B97" s="5"/>
      <c r="C97" s="5"/>
      <c r="D97" s="5"/>
      <c r="E97" s="5"/>
      <c r="F97" s="18"/>
      <c r="G97" s="18"/>
      <c r="H97" s="19"/>
      <c r="I97" s="20"/>
      <c r="J97" s="21" t="str">
        <f aca="false">IF(B97="","",IF(K97&lt;&gt;"",K97,IFERROR(INDEX(Settings!$C$14:$C$31,MATCH(D97,Settings!$B$14:$B$31,0)),"")))</f>
        <v/>
      </c>
      <c r="K97" s="22"/>
      <c r="L97" s="5"/>
      <c r="M97" s="5"/>
      <c r="N97" s="19"/>
      <c r="O97" s="18"/>
      <c r="P97" s="19"/>
      <c r="Q97" s="23" t="str">
        <f aca="false">IF(B97="","",IF(G97&lt;Settings!$C$6,H97,0))</f>
        <v/>
      </c>
      <c r="R97" s="23" t="str">
        <f aca="false">IF(B97="","",IF(AND(G97&gt;=Settings!$C$6,G97&lt;=Settings!$C$7),H97,0))</f>
        <v/>
      </c>
      <c r="S97" s="23" t="str">
        <f aca="false">IF(B97="","",Q97-N(N97))</f>
        <v/>
      </c>
      <c r="T97" s="21" t="str">
        <f aca="false">IF(B97="","",MAX(0,MIN(Settings!$C$7,IF(AND(O97&lt;&gt;"",O97&lt;=Settings!$C$7),O97-1,Settings!$C$7))-MAX(Settings!$C$6,G97)+1))</f>
        <v/>
      </c>
      <c r="U97" s="24" t="str">
        <f aca="false">IF(OR(B97="",J97=""),"",1-(IF(I97="",Settings!$C$8,I97))^(1/J97))</f>
        <v/>
      </c>
      <c r="V97" s="23" t="str">
        <f aca="false">IF(OR(B97="",J97=""),"",ROUND(MAX(0,MIN(IF(L97="WDV",(S97+R97)*U97,H97*(1-IF(I97="",Settings!$C$8,I97))/J97)*T97/Settings!$C$9,(S97+R97)-H97*IF(I97="",Settings!$C$8,I97))),0))</f>
        <v/>
      </c>
      <c r="W97" s="23" t="str">
        <f aca="false">IF(B97="","",IF(AND(O97&lt;&gt;"",O97&gt;=Settings!$C$6,O97&lt;=Settings!$C$7),H97,0))</f>
        <v/>
      </c>
      <c r="X97" s="23" t="str">
        <f aca="false">IF(B97="","",IF(W97&gt;0,N(N97)+V97,0))</f>
        <v/>
      </c>
      <c r="Y97" s="23" t="str">
        <f aca="false">IF(B97="","",Q97+R97-W97)</f>
        <v/>
      </c>
      <c r="Z97" s="23" t="str">
        <f aca="false">IF(B97="","",N(N97)+N(V97)-X97)</f>
        <v/>
      </c>
      <c r="AA97" s="25" t="str">
        <f aca="false">IF(B97="","",Y97-Z97)</f>
        <v/>
      </c>
      <c r="AB97" s="23" t="str">
        <f aca="false">IF(B97="","",IF(W97&gt;0,N(P97)-(W97-X97),0))</f>
        <v/>
      </c>
      <c r="AC97" s="7" t="str">
        <f aca="false">IF(B97="","",IF(AND(R97&gt;0,Settings!$C$7-G97+1&lt;180),"Yes","No"))</f>
        <v/>
      </c>
    </row>
    <row r="98" customFormat="false" ht="15" hidden="false" customHeight="false" outlineLevel="0" collapsed="false">
      <c r="B98" s="5"/>
      <c r="C98" s="5"/>
      <c r="D98" s="5"/>
      <c r="E98" s="5"/>
      <c r="F98" s="18"/>
      <c r="G98" s="18"/>
      <c r="H98" s="19"/>
      <c r="I98" s="20"/>
      <c r="J98" s="21" t="str">
        <f aca="false">IF(B98="","",IF(K98&lt;&gt;"",K98,IFERROR(INDEX(Settings!$C$14:$C$31,MATCH(D98,Settings!$B$14:$B$31,0)),"")))</f>
        <v/>
      </c>
      <c r="K98" s="22"/>
      <c r="L98" s="5"/>
      <c r="M98" s="5"/>
      <c r="N98" s="19"/>
      <c r="O98" s="18"/>
      <c r="P98" s="19"/>
      <c r="Q98" s="23" t="str">
        <f aca="false">IF(B98="","",IF(G98&lt;Settings!$C$6,H98,0))</f>
        <v/>
      </c>
      <c r="R98" s="23" t="str">
        <f aca="false">IF(B98="","",IF(AND(G98&gt;=Settings!$C$6,G98&lt;=Settings!$C$7),H98,0))</f>
        <v/>
      </c>
      <c r="S98" s="23" t="str">
        <f aca="false">IF(B98="","",Q98-N(N98))</f>
        <v/>
      </c>
      <c r="T98" s="21" t="str">
        <f aca="false">IF(B98="","",MAX(0,MIN(Settings!$C$7,IF(AND(O98&lt;&gt;"",O98&lt;=Settings!$C$7),O98-1,Settings!$C$7))-MAX(Settings!$C$6,G98)+1))</f>
        <v/>
      </c>
      <c r="U98" s="24" t="str">
        <f aca="false">IF(OR(B98="",J98=""),"",1-(IF(I98="",Settings!$C$8,I98))^(1/J98))</f>
        <v/>
      </c>
      <c r="V98" s="23" t="str">
        <f aca="false">IF(OR(B98="",J98=""),"",ROUND(MAX(0,MIN(IF(L98="WDV",(S98+R98)*U98,H98*(1-IF(I98="",Settings!$C$8,I98))/J98)*T98/Settings!$C$9,(S98+R98)-H98*IF(I98="",Settings!$C$8,I98))),0))</f>
        <v/>
      </c>
      <c r="W98" s="23" t="str">
        <f aca="false">IF(B98="","",IF(AND(O98&lt;&gt;"",O98&gt;=Settings!$C$6,O98&lt;=Settings!$C$7),H98,0))</f>
        <v/>
      </c>
      <c r="X98" s="23" t="str">
        <f aca="false">IF(B98="","",IF(W98&gt;0,N(N98)+V98,0))</f>
        <v/>
      </c>
      <c r="Y98" s="23" t="str">
        <f aca="false">IF(B98="","",Q98+R98-W98)</f>
        <v/>
      </c>
      <c r="Z98" s="23" t="str">
        <f aca="false">IF(B98="","",N(N98)+N(V98)-X98)</f>
        <v/>
      </c>
      <c r="AA98" s="25" t="str">
        <f aca="false">IF(B98="","",Y98-Z98)</f>
        <v/>
      </c>
      <c r="AB98" s="23" t="str">
        <f aca="false">IF(B98="","",IF(W98&gt;0,N(P98)-(W98-X98),0))</f>
        <v/>
      </c>
      <c r="AC98" s="7" t="str">
        <f aca="false">IF(B98="","",IF(AND(R98&gt;0,Settings!$C$7-G98+1&lt;180),"Yes","No"))</f>
        <v/>
      </c>
    </row>
    <row r="99" customFormat="false" ht="15" hidden="false" customHeight="false" outlineLevel="0" collapsed="false">
      <c r="B99" s="5"/>
      <c r="C99" s="5"/>
      <c r="D99" s="5"/>
      <c r="E99" s="5"/>
      <c r="F99" s="18"/>
      <c r="G99" s="18"/>
      <c r="H99" s="19"/>
      <c r="I99" s="20"/>
      <c r="J99" s="21" t="str">
        <f aca="false">IF(B99="","",IF(K99&lt;&gt;"",K99,IFERROR(INDEX(Settings!$C$14:$C$31,MATCH(D99,Settings!$B$14:$B$31,0)),"")))</f>
        <v/>
      </c>
      <c r="K99" s="22"/>
      <c r="L99" s="5"/>
      <c r="M99" s="5"/>
      <c r="N99" s="19"/>
      <c r="O99" s="18"/>
      <c r="P99" s="19"/>
      <c r="Q99" s="23" t="str">
        <f aca="false">IF(B99="","",IF(G99&lt;Settings!$C$6,H99,0))</f>
        <v/>
      </c>
      <c r="R99" s="23" t="str">
        <f aca="false">IF(B99="","",IF(AND(G99&gt;=Settings!$C$6,G99&lt;=Settings!$C$7),H99,0))</f>
        <v/>
      </c>
      <c r="S99" s="23" t="str">
        <f aca="false">IF(B99="","",Q99-N(N99))</f>
        <v/>
      </c>
      <c r="T99" s="21" t="str">
        <f aca="false">IF(B99="","",MAX(0,MIN(Settings!$C$7,IF(AND(O99&lt;&gt;"",O99&lt;=Settings!$C$7),O99-1,Settings!$C$7))-MAX(Settings!$C$6,G99)+1))</f>
        <v/>
      </c>
      <c r="U99" s="24" t="str">
        <f aca="false">IF(OR(B99="",J99=""),"",1-(IF(I99="",Settings!$C$8,I99))^(1/J99))</f>
        <v/>
      </c>
      <c r="V99" s="23" t="str">
        <f aca="false">IF(OR(B99="",J99=""),"",ROUND(MAX(0,MIN(IF(L99="WDV",(S99+R99)*U99,H99*(1-IF(I99="",Settings!$C$8,I99))/J99)*T99/Settings!$C$9,(S99+R99)-H99*IF(I99="",Settings!$C$8,I99))),0))</f>
        <v/>
      </c>
      <c r="W99" s="23" t="str">
        <f aca="false">IF(B99="","",IF(AND(O99&lt;&gt;"",O99&gt;=Settings!$C$6,O99&lt;=Settings!$C$7),H99,0))</f>
        <v/>
      </c>
      <c r="X99" s="23" t="str">
        <f aca="false">IF(B99="","",IF(W99&gt;0,N(N99)+V99,0))</f>
        <v/>
      </c>
      <c r="Y99" s="23" t="str">
        <f aca="false">IF(B99="","",Q99+R99-W99)</f>
        <v/>
      </c>
      <c r="Z99" s="23" t="str">
        <f aca="false">IF(B99="","",N(N99)+N(V99)-X99)</f>
        <v/>
      </c>
      <c r="AA99" s="25" t="str">
        <f aca="false">IF(B99="","",Y99-Z99)</f>
        <v/>
      </c>
      <c r="AB99" s="23" t="str">
        <f aca="false">IF(B99="","",IF(W99&gt;0,N(P99)-(W99-X99),0))</f>
        <v/>
      </c>
      <c r="AC99" s="7" t="str">
        <f aca="false">IF(B99="","",IF(AND(R99&gt;0,Settings!$C$7-G99+1&lt;180),"Yes","No"))</f>
        <v/>
      </c>
    </row>
    <row r="100" customFormat="false" ht="15" hidden="false" customHeight="false" outlineLevel="0" collapsed="false">
      <c r="B100" s="5"/>
      <c r="C100" s="5"/>
      <c r="D100" s="5"/>
      <c r="E100" s="5"/>
      <c r="F100" s="18"/>
      <c r="G100" s="18"/>
      <c r="H100" s="19"/>
      <c r="I100" s="20"/>
      <c r="J100" s="21" t="str">
        <f aca="false">IF(B100="","",IF(K100&lt;&gt;"",K100,IFERROR(INDEX(Settings!$C$14:$C$31,MATCH(D100,Settings!$B$14:$B$31,0)),"")))</f>
        <v/>
      </c>
      <c r="K100" s="22"/>
      <c r="L100" s="5"/>
      <c r="M100" s="5"/>
      <c r="N100" s="19"/>
      <c r="O100" s="18"/>
      <c r="P100" s="19"/>
      <c r="Q100" s="23" t="str">
        <f aca="false">IF(B100="","",IF(G100&lt;Settings!$C$6,H100,0))</f>
        <v/>
      </c>
      <c r="R100" s="23" t="str">
        <f aca="false">IF(B100="","",IF(AND(G100&gt;=Settings!$C$6,G100&lt;=Settings!$C$7),H100,0))</f>
        <v/>
      </c>
      <c r="S100" s="23" t="str">
        <f aca="false">IF(B100="","",Q100-N(N100))</f>
        <v/>
      </c>
      <c r="T100" s="21" t="str">
        <f aca="false">IF(B100="","",MAX(0,MIN(Settings!$C$7,IF(AND(O100&lt;&gt;"",O100&lt;=Settings!$C$7),O100-1,Settings!$C$7))-MAX(Settings!$C$6,G100)+1))</f>
        <v/>
      </c>
      <c r="U100" s="24" t="str">
        <f aca="false">IF(OR(B100="",J100=""),"",1-(IF(I100="",Settings!$C$8,I100))^(1/J100))</f>
        <v/>
      </c>
      <c r="V100" s="23" t="str">
        <f aca="false">IF(OR(B100="",J100=""),"",ROUND(MAX(0,MIN(IF(L100="WDV",(S100+R100)*U100,H100*(1-IF(I100="",Settings!$C$8,I100))/J100)*T100/Settings!$C$9,(S100+R100)-H100*IF(I100="",Settings!$C$8,I100))),0))</f>
        <v/>
      </c>
      <c r="W100" s="23" t="str">
        <f aca="false">IF(B100="","",IF(AND(O100&lt;&gt;"",O100&gt;=Settings!$C$6,O100&lt;=Settings!$C$7),H100,0))</f>
        <v/>
      </c>
      <c r="X100" s="23" t="str">
        <f aca="false">IF(B100="","",IF(W100&gt;0,N(N100)+V100,0))</f>
        <v/>
      </c>
      <c r="Y100" s="23" t="str">
        <f aca="false">IF(B100="","",Q100+R100-W100)</f>
        <v/>
      </c>
      <c r="Z100" s="23" t="str">
        <f aca="false">IF(B100="","",N(N100)+N(V100)-X100)</f>
        <v/>
      </c>
      <c r="AA100" s="25" t="str">
        <f aca="false">IF(B100="","",Y100-Z100)</f>
        <v/>
      </c>
      <c r="AB100" s="23" t="str">
        <f aca="false">IF(B100="","",IF(W100&gt;0,N(P100)-(W100-X100),0))</f>
        <v/>
      </c>
      <c r="AC100" s="7" t="str">
        <f aca="false">IF(B100="","",IF(AND(R100&gt;0,Settings!$C$7-G100+1&lt;180),"Yes","No"))</f>
        <v/>
      </c>
    </row>
    <row r="101" customFormat="false" ht="15" hidden="false" customHeight="false" outlineLevel="0" collapsed="false">
      <c r="B101" s="5"/>
      <c r="C101" s="5"/>
      <c r="D101" s="5"/>
      <c r="E101" s="5"/>
      <c r="F101" s="18"/>
      <c r="G101" s="18"/>
      <c r="H101" s="19"/>
      <c r="I101" s="20"/>
      <c r="J101" s="21" t="str">
        <f aca="false">IF(B101="","",IF(K101&lt;&gt;"",K101,IFERROR(INDEX(Settings!$C$14:$C$31,MATCH(D101,Settings!$B$14:$B$31,0)),"")))</f>
        <v/>
      </c>
      <c r="K101" s="22"/>
      <c r="L101" s="5"/>
      <c r="M101" s="5"/>
      <c r="N101" s="19"/>
      <c r="O101" s="18"/>
      <c r="P101" s="19"/>
      <c r="Q101" s="23" t="str">
        <f aca="false">IF(B101="","",IF(G101&lt;Settings!$C$6,H101,0))</f>
        <v/>
      </c>
      <c r="R101" s="23" t="str">
        <f aca="false">IF(B101="","",IF(AND(G101&gt;=Settings!$C$6,G101&lt;=Settings!$C$7),H101,0))</f>
        <v/>
      </c>
      <c r="S101" s="23" t="str">
        <f aca="false">IF(B101="","",Q101-N(N101))</f>
        <v/>
      </c>
      <c r="T101" s="21" t="str">
        <f aca="false">IF(B101="","",MAX(0,MIN(Settings!$C$7,IF(AND(O101&lt;&gt;"",O101&lt;=Settings!$C$7),O101-1,Settings!$C$7))-MAX(Settings!$C$6,G101)+1))</f>
        <v/>
      </c>
      <c r="U101" s="24" t="str">
        <f aca="false">IF(OR(B101="",J101=""),"",1-(IF(I101="",Settings!$C$8,I101))^(1/J101))</f>
        <v/>
      </c>
      <c r="V101" s="23" t="str">
        <f aca="false">IF(OR(B101="",J101=""),"",ROUND(MAX(0,MIN(IF(L101="WDV",(S101+R101)*U101,H101*(1-IF(I101="",Settings!$C$8,I101))/J101)*T101/Settings!$C$9,(S101+R101)-H101*IF(I101="",Settings!$C$8,I101))),0))</f>
        <v/>
      </c>
      <c r="W101" s="23" t="str">
        <f aca="false">IF(B101="","",IF(AND(O101&lt;&gt;"",O101&gt;=Settings!$C$6,O101&lt;=Settings!$C$7),H101,0))</f>
        <v/>
      </c>
      <c r="X101" s="23" t="str">
        <f aca="false">IF(B101="","",IF(W101&gt;0,N(N101)+V101,0))</f>
        <v/>
      </c>
      <c r="Y101" s="23" t="str">
        <f aca="false">IF(B101="","",Q101+R101-W101)</f>
        <v/>
      </c>
      <c r="Z101" s="23" t="str">
        <f aca="false">IF(B101="","",N(N101)+N(V101)-X101)</f>
        <v/>
      </c>
      <c r="AA101" s="25" t="str">
        <f aca="false">IF(B101="","",Y101-Z101)</f>
        <v/>
      </c>
      <c r="AB101" s="23" t="str">
        <f aca="false">IF(B101="","",IF(W101&gt;0,N(P101)-(W101-X101),0))</f>
        <v/>
      </c>
      <c r="AC101" s="7" t="str">
        <f aca="false">IF(B101="","",IF(AND(R101&gt;0,Settings!$C$7-G101+1&lt;180),"Yes","No"))</f>
        <v/>
      </c>
    </row>
    <row r="102" customFormat="false" ht="15" hidden="false" customHeight="false" outlineLevel="0" collapsed="false">
      <c r="B102" s="5"/>
      <c r="C102" s="5"/>
      <c r="D102" s="5"/>
      <c r="E102" s="5"/>
      <c r="F102" s="18"/>
      <c r="G102" s="18"/>
      <c r="H102" s="19"/>
      <c r="I102" s="20"/>
      <c r="J102" s="21" t="str">
        <f aca="false">IF(B102="","",IF(K102&lt;&gt;"",K102,IFERROR(INDEX(Settings!$C$14:$C$31,MATCH(D102,Settings!$B$14:$B$31,0)),"")))</f>
        <v/>
      </c>
      <c r="K102" s="22"/>
      <c r="L102" s="5"/>
      <c r="M102" s="5"/>
      <c r="N102" s="19"/>
      <c r="O102" s="18"/>
      <c r="P102" s="19"/>
      <c r="Q102" s="23" t="str">
        <f aca="false">IF(B102="","",IF(G102&lt;Settings!$C$6,H102,0))</f>
        <v/>
      </c>
      <c r="R102" s="23" t="str">
        <f aca="false">IF(B102="","",IF(AND(G102&gt;=Settings!$C$6,G102&lt;=Settings!$C$7),H102,0))</f>
        <v/>
      </c>
      <c r="S102" s="23" t="str">
        <f aca="false">IF(B102="","",Q102-N(N102))</f>
        <v/>
      </c>
      <c r="T102" s="21" t="str">
        <f aca="false">IF(B102="","",MAX(0,MIN(Settings!$C$7,IF(AND(O102&lt;&gt;"",O102&lt;=Settings!$C$7),O102-1,Settings!$C$7))-MAX(Settings!$C$6,G102)+1))</f>
        <v/>
      </c>
      <c r="U102" s="24" t="str">
        <f aca="false">IF(OR(B102="",J102=""),"",1-(IF(I102="",Settings!$C$8,I102))^(1/J102))</f>
        <v/>
      </c>
      <c r="V102" s="23" t="str">
        <f aca="false">IF(OR(B102="",J102=""),"",ROUND(MAX(0,MIN(IF(L102="WDV",(S102+R102)*U102,H102*(1-IF(I102="",Settings!$C$8,I102))/J102)*T102/Settings!$C$9,(S102+R102)-H102*IF(I102="",Settings!$C$8,I102))),0))</f>
        <v/>
      </c>
      <c r="W102" s="23" t="str">
        <f aca="false">IF(B102="","",IF(AND(O102&lt;&gt;"",O102&gt;=Settings!$C$6,O102&lt;=Settings!$C$7),H102,0))</f>
        <v/>
      </c>
      <c r="X102" s="23" t="str">
        <f aca="false">IF(B102="","",IF(W102&gt;0,N(N102)+V102,0))</f>
        <v/>
      </c>
      <c r="Y102" s="23" t="str">
        <f aca="false">IF(B102="","",Q102+R102-W102)</f>
        <v/>
      </c>
      <c r="Z102" s="23" t="str">
        <f aca="false">IF(B102="","",N(N102)+N(V102)-X102)</f>
        <v/>
      </c>
      <c r="AA102" s="25" t="str">
        <f aca="false">IF(B102="","",Y102-Z102)</f>
        <v/>
      </c>
      <c r="AB102" s="23" t="str">
        <f aca="false">IF(B102="","",IF(W102&gt;0,N(P102)-(W102-X102),0))</f>
        <v/>
      </c>
      <c r="AC102" s="7" t="str">
        <f aca="false">IF(B102="","",IF(AND(R102&gt;0,Settings!$C$7-G102+1&lt;180),"Yes","No"))</f>
        <v/>
      </c>
    </row>
    <row r="103" customFormat="false" ht="15" hidden="false" customHeight="false" outlineLevel="0" collapsed="false">
      <c r="B103" s="5"/>
      <c r="C103" s="5"/>
      <c r="D103" s="5"/>
      <c r="E103" s="5"/>
      <c r="F103" s="18"/>
      <c r="G103" s="18"/>
      <c r="H103" s="19"/>
      <c r="I103" s="20"/>
      <c r="J103" s="21" t="str">
        <f aca="false">IF(B103="","",IF(K103&lt;&gt;"",K103,IFERROR(INDEX(Settings!$C$14:$C$31,MATCH(D103,Settings!$B$14:$B$31,0)),"")))</f>
        <v/>
      </c>
      <c r="K103" s="22"/>
      <c r="L103" s="5"/>
      <c r="M103" s="5"/>
      <c r="N103" s="19"/>
      <c r="O103" s="18"/>
      <c r="P103" s="19"/>
      <c r="Q103" s="23" t="str">
        <f aca="false">IF(B103="","",IF(G103&lt;Settings!$C$6,H103,0))</f>
        <v/>
      </c>
      <c r="R103" s="23" t="str">
        <f aca="false">IF(B103="","",IF(AND(G103&gt;=Settings!$C$6,G103&lt;=Settings!$C$7),H103,0))</f>
        <v/>
      </c>
      <c r="S103" s="23" t="str">
        <f aca="false">IF(B103="","",Q103-N(N103))</f>
        <v/>
      </c>
      <c r="T103" s="21" t="str">
        <f aca="false">IF(B103="","",MAX(0,MIN(Settings!$C$7,IF(AND(O103&lt;&gt;"",O103&lt;=Settings!$C$7),O103-1,Settings!$C$7))-MAX(Settings!$C$6,G103)+1))</f>
        <v/>
      </c>
      <c r="U103" s="24" t="str">
        <f aca="false">IF(OR(B103="",J103=""),"",1-(IF(I103="",Settings!$C$8,I103))^(1/J103))</f>
        <v/>
      </c>
      <c r="V103" s="23" t="str">
        <f aca="false">IF(OR(B103="",J103=""),"",ROUND(MAX(0,MIN(IF(L103="WDV",(S103+R103)*U103,H103*(1-IF(I103="",Settings!$C$8,I103))/J103)*T103/Settings!$C$9,(S103+R103)-H103*IF(I103="",Settings!$C$8,I103))),0))</f>
        <v/>
      </c>
      <c r="W103" s="23" t="str">
        <f aca="false">IF(B103="","",IF(AND(O103&lt;&gt;"",O103&gt;=Settings!$C$6,O103&lt;=Settings!$C$7),H103,0))</f>
        <v/>
      </c>
      <c r="X103" s="23" t="str">
        <f aca="false">IF(B103="","",IF(W103&gt;0,N(N103)+V103,0))</f>
        <v/>
      </c>
      <c r="Y103" s="23" t="str">
        <f aca="false">IF(B103="","",Q103+R103-W103)</f>
        <v/>
      </c>
      <c r="Z103" s="23" t="str">
        <f aca="false">IF(B103="","",N(N103)+N(V103)-X103)</f>
        <v/>
      </c>
      <c r="AA103" s="25" t="str">
        <f aca="false">IF(B103="","",Y103-Z103)</f>
        <v/>
      </c>
      <c r="AB103" s="23" t="str">
        <f aca="false">IF(B103="","",IF(W103&gt;0,N(P103)-(W103-X103),0))</f>
        <v/>
      </c>
      <c r="AC103" s="7" t="str">
        <f aca="false">IF(B103="","",IF(AND(R103&gt;0,Settings!$C$7-G103+1&lt;180),"Yes","No"))</f>
        <v/>
      </c>
    </row>
    <row r="104" customFormat="false" ht="15" hidden="false" customHeight="false" outlineLevel="0" collapsed="false">
      <c r="B104" s="5"/>
      <c r="C104" s="5"/>
      <c r="D104" s="5"/>
      <c r="E104" s="5"/>
      <c r="F104" s="18"/>
      <c r="G104" s="18"/>
      <c r="H104" s="19"/>
      <c r="I104" s="20"/>
      <c r="J104" s="21" t="str">
        <f aca="false">IF(B104="","",IF(K104&lt;&gt;"",K104,IFERROR(INDEX(Settings!$C$14:$C$31,MATCH(D104,Settings!$B$14:$B$31,0)),"")))</f>
        <v/>
      </c>
      <c r="K104" s="22"/>
      <c r="L104" s="5"/>
      <c r="M104" s="5"/>
      <c r="N104" s="19"/>
      <c r="O104" s="18"/>
      <c r="P104" s="19"/>
      <c r="Q104" s="23" t="str">
        <f aca="false">IF(B104="","",IF(G104&lt;Settings!$C$6,H104,0))</f>
        <v/>
      </c>
      <c r="R104" s="23" t="str">
        <f aca="false">IF(B104="","",IF(AND(G104&gt;=Settings!$C$6,G104&lt;=Settings!$C$7),H104,0))</f>
        <v/>
      </c>
      <c r="S104" s="23" t="str">
        <f aca="false">IF(B104="","",Q104-N(N104))</f>
        <v/>
      </c>
      <c r="T104" s="21" t="str">
        <f aca="false">IF(B104="","",MAX(0,MIN(Settings!$C$7,IF(AND(O104&lt;&gt;"",O104&lt;=Settings!$C$7),O104-1,Settings!$C$7))-MAX(Settings!$C$6,G104)+1))</f>
        <v/>
      </c>
      <c r="U104" s="24" t="str">
        <f aca="false">IF(OR(B104="",J104=""),"",1-(IF(I104="",Settings!$C$8,I104))^(1/J104))</f>
        <v/>
      </c>
      <c r="V104" s="23" t="str">
        <f aca="false">IF(OR(B104="",J104=""),"",ROUND(MAX(0,MIN(IF(L104="WDV",(S104+R104)*U104,H104*(1-IF(I104="",Settings!$C$8,I104))/J104)*T104/Settings!$C$9,(S104+R104)-H104*IF(I104="",Settings!$C$8,I104))),0))</f>
        <v/>
      </c>
      <c r="W104" s="23" t="str">
        <f aca="false">IF(B104="","",IF(AND(O104&lt;&gt;"",O104&gt;=Settings!$C$6,O104&lt;=Settings!$C$7),H104,0))</f>
        <v/>
      </c>
      <c r="X104" s="23" t="str">
        <f aca="false">IF(B104="","",IF(W104&gt;0,N(N104)+V104,0))</f>
        <v/>
      </c>
      <c r="Y104" s="23" t="str">
        <f aca="false">IF(B104="","",Q104+R104-W104)</f>
        <v/>
      </c>
      <c r="Z104" s="23" t="str">
        <f aca="false">IF(B104="","",N(N104)+N(V104)-X104)</f>
        <v/>
      </c>
      <c r="AA104" s="25" t="str">
        <f aca="false">IF(B104="","",Y104-Z104)</f>
        <v/>
      </c>
      <c r="AB104" s="23" t="str">
        <f aca="false">IF(B104="","",IF(W104&gt;0,N(P104)-(W104-X104),0))</f>
        <v/>
      </c>
      <c r="AC104" s="7" t="str">
        <f aca="false">IF(B104="","",IF(AND(R104&gt;0,Settings!$C$7-G104+1&lt;180),"Yes","No"))</f>
        <v/>
      </c>
    </row>
    <row r="105" customFormat="false" ht="15" hidden="false" customHeight="false" outlineLevel="0" collapsed="false">
      <c r="B105" s="5"/>
      <c r="C105" s="5"/>
      <c r="D105" s="5"/>
      <c r="E105" s="5"/>
      <c r="F105" s="18"/>
      <c r="G105" s="18"/>
      <c r="H105" s="19"/>
      <c r="I105" s="20"/>
      <c r="J105" s="21" t="str">
        <f aca="false">IF(B105="","",IF(K105&lt;&gt;"",K105,IFERROR(INDEX(Settings!$C$14:$C$31,MATCH(D105,Settings!$B$14:$B$31,0)),"")))</f>
        <v/>
      </c>
      <c r="K105" s="22"/>
      <c r="L105" s="5"/>
      <c r="M105" s="5"/>
      <c r="N105" s="19"/>
      <c r="O105" s="18"/>
      <c r="P105" s="19"/>
      <c r="Q105" s="23" t="str">
        <f aca="false">IF(B105="","",IF(G105&lt;Settings!$C$6,H105,0))</f>
        <v/>
      </c>
      <c r="R105" s="23" t="str">
        <f aca="false">IF(B105="","",IF(AND(G105&gt;=Settings!$C$6,G105&lt;=Settings!$C$7),H105,0))</f>
        <v/>
      </c>
      <c r="S105" s="23" t="str">
        <f aca="false">IF(B105="","",Q105-N(N105))</f>
        <v/>
      </c>
      <c r="T105" s="21" t="str">
        <f aca="false">IF(B105="","",MAX(0,MIN(Settings!$C$7,IF(AND(O105&lt;&gt;"",O105&lt;=Settings!$C$7),O105-1,Settings!$C$7))-MAX(Settings!$C$6,G105)+1))</f>
        <v/>
      </c>
      <c r="U105" s="24" t="str">
        <f aca="false">IF(OR(B105="",J105=""),"",1-(IF(I105="",Settings!$C$8,I105))^(1/J105))</f>
        <v/>
      </c>
      <c r="V105" s="23" t="str">
        <f aca="false">IF(OR(B105="",J105=""),"",ROUND(MAX(0,MIN(IF(L105="WDV",(S105+R105)*U105,H105*(1-IF(I105="",Settings!$C$8,I105))/J105)*T105/Settings!$C$9,(S105+R105)-H105*IF(I105="",Settings!$C$8,I105))),0))</f>
        <v/>
      </c>
      <c r="W105" s="23" t="str">
        <f aca="false">IF(B105="","",IF(AND(O105&lt;&gt;"",O105&gt;=Settings!$C$6,O105&lt;=Settings!$C$7),H105,0))</f>
        <v/>
      </c>
      <c r="X105" s="23" t="str">
        <f aca="false">IF(B105="","",IF(W105&gt;0,N(N105)+V105,0))</f>
        <v/>
      </c>
      <c r="Y105" s="23" t="str">
        <f aca="false">IF(B105="","",Q105+R105-W105)</f>
        <v/>
      </c>
      <c r="Z105" s="23" t="str">
        <f aca="false">IF(B105="","",N(N105)+N(V105)-X105)</f>
        <v/>
      </c>
      <c r="AA105" s="25" t="str">
        <f aca="false">IF(B105="","",Y105-Z105)</f>
        <v/>
      </c>
      <c r="AB105" s="23" t="str">
        <f aca="false">IF(B105="","",IF(W105&gt;0,N(P105)-(W105-X105),0))</f>
        <v/>
      </c>
      <c r="AC105" s="7" t="str">
        <f aca="false">IF(B105="","",IF(AND(R105&gt;0,Settings!$C$7-G105+1&lt;180),"Yes","No"))</f>
        <v/>
      </c>
    </row>
    <row r="106" customFormat="false" ht="15" hidden="false" customHeight="false" outlineLevel="0" collapsed="false">
      <c r="B106" s="5"/>
      <c r="C106" s="5"/>
      <c r="D106" s="5"/>
      <c r="E106" s="5"/>
      <c r="F106" s="18"/>
      <c r="G106" s="18"/>
      <c r="H106" s="19"/>
      <c r="I106" s="20"/>
      <c r="J106" s="21" t="str">
        <f aca="false">IF(B106="","",IF(K106&lt;&gt;"",K106,IFERROR(INDEX(Settings!$C$14:$C$31,MATCH(D106,Settings!$B$14:$B$31,0)),"")))</f>
        <v/>
      </c>
      <c r="K106" s="22"/>
      <c r="L106" s="5"/>
      <c r="M106" s="5"/>
      <c r="N106" s="19"/>
      <c r="O106" s="18"/>
      <c r="P106" s="19"/>
      <c r="Q106" s="23" t="str">
        <f aca="false">IF(B106="","",IF(G106&lt;Settings!$C$6,H106,0))</f>
        <v/>
      </c>
      <c r="R106" s="23" t="str">
        <f aca="false">IF(B106="","",IF(AND(G106&gt;=Settings!$C$6,G106&lt;=Settings!$C$7),H106,0))</f>
        <v/>
      </c>
      <c r="S106" s="23" t="str">
        <f aca="false">IF(B106="","",Q106-N(N106))</f>
        <v/>
      </c>
      <c r="T106" s="21" t="str">
        <f aca="false">IF(B106="","",MAX(0,MIN(Settings!$C$7,IF(AND(O106&lt;&gt;"",O106&lt;=Settings!$C$7),O106-1,Settings!$C$7))-MAX(Settings!$C$6,G106)+1))</f>
        <v/>
      </c>
      <c r="U106" s="24" t="str">
        <f aca="false">IF(OR(B106="",J106=""),"",1-(IF(I106="",Settings!$C$8,I106))^(1/J106))</f>
        <v/>
      </c>
      <c r="V106" s="23" t="str">
        <f aca="false">IF(OR(B106="",J106=""),"",ROUND(MAX(0,MIN(IF(L106="WDV",(S106+R106)*U106,H106*(1-IF(I106="",Settings!$C$8,I106))/J106)*T106/Settings!$C$9,(S106+R106)-H106*IF(I106="",Settings!$C$8,I106))),0))</f>
        <v/>
      </c>
      <c r="W106" s="23" t="str">
        <f aca="false">IF(B106="","",IF(AND(O106&lt;&gt;"",O106&gt;=Settings!$C$6,O106&lt;=Settings!$C$7),H106,0))</f>
        <v/>
      </c>
      <c r="X106" s="23" t="str">
        <f aca="false">IF(B106="","",IF(W106&gt;0,N(N106)+V106,0))</f>
        <v/>
      </c>
      <c r="Y106" s="23" t="str">
        <f aca="false">IF(B106="","",Q106+R106-W106)</f>
        <v/>
      </c>
      <c r="Z106" s="23" t="str">
        <f aca="false">IF(B106="","",N(N106)+N(V106)-X106)</f>
        <v/>
      </c>
      <c r="AA106" s="25" t="str">
        <f aca="false">IF(B106="","",Y106-Z106)</f>
        <v/>
      </c>
      <c r="AB106" s="23" t="str">
        <f aca="false">IF(B106="","",IF(W106&gt;0,N(P106)-(W106-X106),0))</f>
        <v/>
      </c>
      <c r="AC106" s="7" t="str">
        <f aca="false">IF(B106="","",IF(AND(R106&gt;0,Settings!$C$7-G106+1&lt;180),"Yes","No"))</f>
        <v/>
      </c>
    </row>
    <row r="107" customFormat="false" ht="15" hidden="false" customHeight="false" outlineLevel="0" collapsed="false">
      <c r="B107" s="5"/>
      <c r="C107" s="5"/>
      <c r="D107" s="5"/>
      <c r="E107" s="5"/>
      <c r="F107" s="18"/>
      <c r="G107" s="18"/>
      <c r="H107" s="19"/>
      <c r="I107" s="20"/>
      <c r="J107" s="21" t="str">
        <f aca="false">IF(B107="","",IF(K107&lt;&gt;"",K107,IFERROR(INDEX(Settings!$C$14:$C$31,MATCH(D107,Settings!$B$14:$B$31,0)),"")))</f>
        <v/>
      </c>
      <c r="K107" s="22"/>
      <c r="L107" s="5"/>
      <c r="M107" s="5"/>
      <c r="N107" s="19"/>
      <c r="O107" s="18"/>
      <c r="P107" s="19"/>
      <c r="Q107" s="23" t="str">
        <f aca="false">IF(B107="","",IF(G107&lt;Settings!$C$6,H107,0))</f>
        <v/>
      </c>
      <c r="R107" s="23" t="str">
        <f aca="false">IF(B107="","",IF(AND(G107&gt;=Settings!$C$6,G107&lt;=Settings!$C$7),H107,0))</f>
        <v/>
      </c>
      <c r="S107" s="23" t="str">
        <f aca="false">IF(B107="","",Q107-N(N107))</f>
        <v/>
      </c>
      <c r="T107" s="21" t="str">
        <f aca="false">IF(B107="","",MAX(0,MIN(Settings!$C$7,IF(AND(O107&lt;&gt;"",O107&lt;=Settings!$C$7),O107-1,Settings!$C$7))-MAX(Settings!$C$6,G107)+1))</f>
        <v/>
      </c>
      <c r="U107" s="24" t="str">
        <f aca="false">IF(OR(B107="",J107=""),"",1-(IF(I107="",Settings!$C$8,I107))^(1/J107))</f>
        <v/>
      </c>
      <c r="V107" s="23" t="str">
        <f aca="false">IF(OR(B107="",J107=""),"",ROUND(MAX(0,MIN(IF(L107="WDV",(S107+R107)*U107,H107*(1-IF(I107="",Settings!$C$8,I107))/J107)*T107/Settings!$C$9,(S107+R107)-H107*IF(I107="",Settings!$C$8,I107))),0))</f>
        <v/>
      </c>
      <c r="W107" s="23" t="str">
        <f aca="false">IF(B107="","",IF(AND(O107&lt;&gt;"",O107&gt;=Settings!$C$6,O107&lt;=Settings!$C$7),H107,0))</f>
        <v/>
      </c>
      <c r="X107" s="23" t="str">
        <f aca="false">IF(B107="","",IF(W107&gt;0,N(N107)+V107,0))</f>
        <v/>
      </c>
      <c r="Y107" s="23" t="str">
        <f aca="false">IF(B107="","",Q107+R107-W107)</f>
        <v/>
      </c>
      <c r="Z107" s="23" t="str">
        <f aca="false">IF(B107="","",N(N107)+N(V107)-X107)</f>
        <v/>
      </c>
      <c r="AA107" s="25" t="str">
        <f aca="false">IF(B107="","",Y107-Z107)</f>
        <v/>
      </c>
      <c r="AB107" s="23" t="str">
        <f aca="false">IF(B107="","",IF(W107&gt;0,N(P107)-(W107-X107),0))</f>
        <v/>
      </c>
      <c r="AC107" s="7" t="str">
        <f aca="false">IF(B107="","",IF(AND(R107&gt;0,Settings!$C$7-G107+1&lt;180),"Yes","No"))</f>
        <v/>
      </c>
    </row>
    <row r="108" customFormat="false" ht="15" hidden="false" customHeight="false" outlineLevel="0" collapsed="false">
      <c r="B108" s="5"/>
      <c r="C108" s="5"/>
      <c r="D108" s="5"/>
      <c r="E108" s="5"/>
      <c r="F108" s="18"/>
      <c r="G108" s="18"/>
      <c r="H108" s="19"/>
      <c r="I108" s="20"/>
      <c r="J108" s="21" t="str">
        <f aca="false">IF(B108="","",IF(K108&lt;&gt;"",K108,IFERROR(INDEX(Settings!$C$14:$C$31,MATCH(D108,Settings!$B$14:$B$31,0)),"")))</f>
        <v/>
      </c>
      <c r="K108" s="22"/>
      <c r="L108" s="5"/>
      <c r="M108" s="5"/>
      <c r="N108" s="19"/>
      <c r="O108" s="18"/>
      <c r="P108" s="19"/>
      <c r="Q108" s="23" t="str">
        <f aca="false">IF(B108="","",IF(G108&lt;Settings!$C$6,H108,0))</f>
        <v/>
      </c>
      <c r="R108" s="23" t="str">
        <f aca="false">IF(B108="","",IF(AND(G108&gt;=Settings!$C$6,G108&lt;=Settings!$C$7),H108,0))</f>
        <v/>
      </c>
      <c r="S108" s="23" t="str">
        <f aca="false">IF(B108="","",Q108-N(N108))</f>
        <v/>
      </c>
      <c r="T108" s="21" t="str">
        <f aca="false">IF(B108="","",MAX(0,MIN(Settings!$C$7,IF(AND(O108&lt;&gt;"",O108&lt;=Settings!$C$7),O108-1,Settings!$C$7))-MAX(Settings!$C$6,G108)+1))</f>
        <v/>
      </c>
      <c r="U108" s="24" t="str">
        <f aca="false">IF(OR(B108="",J108=""),"",1-(IF(I108="",Settings!$C$8,I108))^(1/J108))</f>
        <v/>
      </c>
      <c r="V108" s="23" t="str">
        <f aca="false">IF(OR(B108="",J108=""),"",ROUND(MAX(0,MIN(IF(L108="WDV",(S108+R108)*U108,H108*(1-IF(I108="",Settings!$C$8,I108))/J108)*T108/Settings!$C$9,(S108+R108)-H108*IF(I108="",Settings!$C$8,I108))),0))</f>
        <v/>
      </c>
      <c r="W108" s="23" t="str">
        <f aca="false">IF(B108="","",IF(AND(O108&lt;&gt;"",O108&gt;=Settings!$C$6,O108&lt;=Settings!$C$7),H108,0))</f>
        <v/>
      </c>
      <c r="X108" s="23" t="str">
        <f aca="false">IF(B108="","",IF(W108&gt;0,N(N108)+V108,0))</f>
        <v/>
      </c>
      <c r="Y108" s="23" t="str">
        <f aca="false">IF(B108="","",Q108+R108-W108)</f>
        <v/>
      </c>
      <c r="Z108" s="23" t="str">
        <f aca="false">IF(B108="","",N(N108)+N(V108)-X108)</f>
        <v/>
      </c>
      <c r="AA108" s="25" t="str">
        <f aca="false">IF(B108="","",Y108-Z108)</f>
        <v/>
      </c>
      <c r="AB108" s="23" t="str">
        <f aca="false">IF(B108="","",IF(W108&gt;0,N(P108)-(W108-X108),0))</f>
        <v/>
      </c>
      <c r="AC108" s="7" t="str">
        <f aca="false">IF(B108="","",IF(AND(R108&gt;0,Settings!$C$7-G108+1&lt;180),"Yes","No"))</f>
        <v/>
      </c>
    </row>
    <row r="109" customFormat="false" ht="15" hidden="false" customHeight="false" outlineLevel="0" collapsed="false">
      <c r="B109" s="5"/>
      <c r="C109" s="5"/>
      <c r="D109" s="5"/>
      <c r="E109" s="5"/>
      <c r="F109" s="18"/>
      <c r="G109" s="18"/>
      <c r="H109" s="19"/>
      <c r="I109" s="20"/>
      <c r="J109" s="21" t="str">
        <f aca="false">IF(B109="","",IF(K109&lt;&gt;"",K109,IFERROR(INDEX(Settings!$C$14:$C$31,MATCH(D109,Settings!$B$14:$B$31,0)),"")))</f>
        <v/>
      </c>
      <c r="K109" s="22"/>
      <c r="L109" s="5"/>
      <c r="M109" s="5"/>
      <c r="N109" s="19"/>
      <c r="O109" s="18"/>
      <c r="P109" s="19"/>
      <c r="Q109" s="23" t="str">
        <f aca="false">IF(B109="","",IF(G109&lt;Settings!$C$6,H109,0))</f>
        <v/>
      </c>
      <c r="R109" s="23" t="str">
        <f aca="false">IF(B109="","",IF(AND(G109&gt;=Settings!$C$6,G109&lt;=Settings!$C$7),H109,0))</f>
        <v/>
      </c>
      <c r="S109" s="23" t="str">
        <f aca="false">IF(B109="","",Q109-N(N109))</f>
        <v/>
      </c>
      <c r="T109" s="21" t="str">
        <f aca="false">IF(B109="","",MAX(0,MIN(Settings!$C$7,IF(AND(O109&lt;&gt;"",O109&lt;=Settings!$C$7),O109-1,Settings!$C$7))-MAX(Settings!$C$6,G109)+1))</f>
        <v/>
      </c>
      <c r="U109" s="24" t="str">
        <f aca="false">IF(OR(B109="",J109=""),"",1-(IF(I109="",Settings!$C$8,I109))^(1/J109))</f>
        <v/>
      </c>
      <c r="V109" s="23" t="str">
        <f aca="false">IF(OR(B109="",J109=""),"",ROUND(MAX(0,MIN(IF(L109="WDV",(S109+R109)*U109,H109*(1-IF(I109="",Settings!$C$8,I109))/J109)*T109/Settings!$C$9,(S109+R109)-H109*IF(I109="",Settings!$C$8,I109))),0))</f>
        <v/>
      </c>
      <c r="W109" s="23" t="str">
        <f aca="false">IF(B109="","",IF(AND(O109&lt;&gt;"",O109&gt;=Settings!$C$6,O109&lt;=Settings!$C$7),H109,0))</f>
        <v/>
      </c>
      <c r="X109" s="23" t="str">
        <f aca="false">IF(B109="","",IF(W109&gt;0,N(N109)+V109,0))</f>
        <v/>
      </c>
      <c r="Y109" s="23" t="str">
        <f aca="false">IF(B109="","",Q109+R109-W109)</f>
        <v/>
      </c>
      <c r="Z109" s="23" t="str">
        <f aca="false">IF(B109="","",N(N109)+N(V109)-X109)</f>
        <v/>
      </c>
      <c r="AA109" s="25" t="str">
        <f aca="false">IF(B109="","",Y109-Z109)</f>
        <v/>
      </c>
      <c r="AB109" s="23" t="str">
        <f aca="false">IF(B109="","",IF(W109&gt;0,N(P109)-(W109-X109),0))</f>
        <v/>
      </c>
      <c r="AC109" s="7" t="str">
        <f aca="false">IF(B109="","",IF(AND(R109&gt;0,Settings!$C$7-G109+1&lt;180),"Yes","No"))</f>
        <v/>
      </c>
    </row>
    <row r="110" customFormat="false" ht="15" hidden="false" customHeight="false" outlineLevel="0" collapsed="false">
      <c r="B110" s="5"/>
      <c r="C110" s="5"/>
      <c r="D110" s="5"/>
      <c r="E110" s="5"/>
      <c r="F110" s="18"/>
      <c r="G110" s="18"/>
      <c r="H110" s="19"/>
      <c r="I110" s="20"/>
      <c r="J110" s="21" t="str">
        <f aca="false">IF(B110="","",IF(K110&lt;&gt;"",K110,IFERROR(INDEX(Settings!$C$14:$C$31,MATCH(D110,Settings!$B$14:$B$31,0)),"")))</f>
        <v/>
      </c>
      <c r="K110" s="22"/>
      <c r="L110" s="5"/>
      <c r="M110" s="5"/>
      <c r="N110" s="19"/>
      <c r="O110" s="18"/>
      <c r="P110" s="19"/>
      <c r="Q110" s="23" t="str">
        <f aca="false">IF(B110="","",IF(G110&lt;Settings!$C$6,H110,0))</f>
        <v/>
      </c>
      <c r="R110" s="23" t="str">
        <f aca="false">IF(B110="","",IF(AND(G110&gt;=Settings!$C$6,G110&lt;=Settings!$C$7),H110,0))</f>
        <v/>
      </c>
      <c r="S110" s="23" t="str">
        <f aca="false">IF(B110="","",Q110-N(N110))</f>
        <v/>
      </c>
      <c r="T110" s="21" t="str">
        <f aca="false">IF(B110="","",MAX(0,MIN(Settings!$C$7,IF(AND(O110&lt;&gt;"",O110&lt;=Settings!$C$7),O110-1,Settings!$C$7))-MAX(Settings!$C$6,G110)+1))</f>
        <v/>
      </c>
      <c r="U110" s="24" t="str">
        <f aca="false">IF(OR(B110="",J110=""),"",1-(IF(I110="",Settings!$C$8,I110))^(1/J110))</f>
        <v/>
      </c>
      <c r="V110" s="23" t="str">
        <f aca="false">IF(OR(B110="",J110=""),"",ROUND(MAX(0,MIN(IF(L110="WDV",(S110+R110)*U110,H110*(1-IF(I110="",Settings!$C$8,I110))/J110)*T110/Settings!$C$9,(S110+R110)-H110*IF(I110="",Settings!$C$8,I110))),0))</f>
        <v/>
      </c>
      <c r="W110" s="23" t="str">
        <f aca="false">IF(B110="","",IF(AND(O110&lt;&gt;"",O110&gt;=Settings!$C$6,O110&lt;=Settings!$C$7),H110,0))</f>
        <v/>
      </c>
      <c r="X110" s="23" t="str">
        <f aca="false">IF(B110="","",IF(W110&gt;0,N(N110)+V110,0))</f>
        <v/>
      </c>
      <c r="Y110" s="23" t="str">
        <f aca="false">IF(B110="","",Q110+R110-W110)</f>
        <v/>
      </c>
      <c r="Z110" s="23" t="str">
        <f aca="false">IF(B110="","",N(N110)+N(V110)-X110)</f>
        <v/>
      </c>
      <c r="AA110" s="25" t="str">
        <f aca="false">IF(B110="","",Y110-Z110)</f>
        <v/>
      </c>
      <c r="AB110" s="23" t="str">
        <f aca="false">IF(B110="","",IF(W110&gt;0,N(P110)-(W110-X110),0))</f>
        <v/>
      </c>
      <c r="AC110" s="7" t="str">
        <f aca="false">IF(B110="","",IF(AND(R110&gt;0,Settings!$C$7-G110+1&lt;180),"Yes","No"))</f>
        <v/>
      </c>
    </row>
    <row r="111" customFormat="false" ht="15" hidden="false" customHeight="false" outlineLevel="0" collapsed="false">
      <c r="B111" s="5"/>
      <c r="C111" s="5"/>
      <c r="D111" s="5"/>
      <c r="E111" s="5"/>
      <c r="F111" s="18"/>
      <c r="G111" s="18"/>
      <c r="H111" s="19"/>
      <c r="I111" s="20"/>
      <c r="J111" s="21" t="str">
        <f aca="false">IF(B111="","",IF(K111&lt;&gt;"",K111,IFERROR(INDEX(Settings!$C$14:$C$31,MATCH(D111,Settings!$B$14:$B$31,0)),"")))</f>
        <v/>
      </c>
      <c r="K111" s="22"/>
      <c r="L111" s="5"/>
      <c r="M111" s="5"/>
      <c r="N111" s="19"/>
      <c r="O111" s="18"/>
      <c r="P111" s="19"/>
      <c r="Q111" s="23" t="str">
        <f aca="false">IF(B111="","",IF(G111&lt;Settings!$C$6,H111,0))</f>
        <v/>
      </c>
      <c r="R111" s="23" t="str">
        <f aca="false">IF(B111="","",IF(AND(G111&gt;=Settings!$C$6,G111&lt;=Settings!$C$7),H111,0))</f>
        <v/>
      </c>
      <c r="S111" s="23" t="str">
        <f aca="false">IF(B111="","",Q111-N(N111))</f>
        <v/>
      </c>
      <c r="T111" s="21" t="str">
        <f aca="false">IF(B111="","",MAX(0,MIN(Settings!$C$7,IF(AND(O111&lt;&gt;"",O111&lt;=Settings!$C$7),O111-1,Settings!$C$7))-MAX(Settings!$C$6,G111)+1))</f>
        <v/>
      </c>
      <c r="U111" s="24" t="str">
        <f aca="false">IF(OR(B111="",J111=""),"",1-(IF(I111="",Settings!$C$8,I111))^(1/J111))</f>
        <v/>
      </c>
      <c r="V111" s="23" t="str">
        <f aca="false">IF(OR(B111="",J111=""),"",ROUND(MAX(0,MIN(IF(L111="WDV",(S111+R111)*U111,H111*(1-IF(I111="",Settings!$C$8,I111))/J111)*T111/Settings!$C$9,(S111+R111)-H111*IF(I111="",Settings!$C$8,I111))),0))</f>
        <v/>
      </c>
      <c r="W111" s="23" t="str">
        <f aca="false">IF(B111="","",IF(AND(O111&lt;&gt;"",O111&gt;=Settings!$C$6,O111&lt;=Settings!$C$7),H111,0))</f>
        <v/>
      </c>
      <c r="X111" s="23" t="str">
        <f aca="false">IF(B111="","",IF(W111&gt;0,N(N111)+V111,0))</f>
        <v/>
      </c>
      <c r="Y111" s="23" t="str">
        <f aca="false">IF(B111="","",Q111+R111-W111)</f>
        <v/>
      </c>
      <c r="Z111" s="23" t="str">
        <f aca="false">IF(B111="","",N(N111)+N(V111)-X111)</f>
        <v/>
      </c>
      <c r="AA111" s="25" t="str">
        <f aca="false">IF(B111="","",Y111-Z111)</f>
        <v/>
      </c>
      <c r="AB111" s="23" t="str">
        <f aca="false">IF(B111="","",IF(W111&gt;0,N(P111)-(W111-X111),0))</f>
        <v/>
      </c>
      <c r="AC111" s="7" t="str">
        <f aca="false">IF(B111="","",IF(AND(R111&gt;0,Settings!$C$7-G111+1&lt;180),"Yes","No"))</f>
        <v/>
      </c>
    </row>
    <row r="112" customFormat="false" ht="15" hidden="false" customHeight="false" outlineLevel="0" collapsed="false">
      <c r="B112" s="5"/>
      <c r="C112" s="5"/>
      <c r="D112" s="5"/>
      <c r="E112" s="5"/>
      <c r="F112" s="18"/>
      <c r="G112" s="18"/>
      <c r="H112" s="19"/>
      <c r="I112" s="20"/>
      <c r="J112" s="21" t="str">
        <f aca="false">IF(B112="","",IF(K112&lt;&gt;"",K112,IFERROR(INDEX(Settings!$C$14:$C$31,MATCH(D112,Settings!$B$14:$B$31,0)),"")))</f>
        <v/>
      </c>
      <c r="K112" s="22"/>
      <c r="L112" s="5"/>
      <c r="M112" s="5"/>
      <c r="N112" s="19"/>
      <c r="O112" s="18"/>
      <c r="P112" s="19"/>
      <c r="Q112" s="23" t="str">
        <f aca="false">IF(B112="","",IF(G112&lt;Settings!$C$6,H112,0))</f>
        <v/>
      </c>
      <c r="R112" s="23" t="str">
        <f aca="false">IF(B112="","",IF(AND(G112&gt;=Settings!$C$6,G112&lt;=Settings!$C$7),H112,0))</f>
        <v/>
      </c>
      <c r="S112" s="23" t="str">
        <f aca="false">IF(B112="","",Q112-N(N112))</f>
        <v/>
      </c>
      <c r="T112" s="21" t="str">
        <f aca="false">IF(B112="","",MAX(0,MIN(Settings!$C$7,IF(AND(O112&lt;&gt;"",O112&lt;=Settings!$C$7),O112-1,Settings!$C$7))-MAX(Settings!$C$6,G112)+1))</f>
        <v/>
      </c>
      <c r="U112" s="24" t="str">
        <f aca="false">IF(OR(B112="",J112=""),"",1-(IF(I112="",Settings!$C$8,I112))^(1/J112))</f>
        <v/>
      </c>
      <c r="V112" s="23" t="str">
        <f aca="false">IF(OR(B112="",J112=""),"",ROUND(MAX(0,MIN(IF(L112="WDV",(S112+R112)*U112,H112*(1-IF(I112="",Settings!$C$8,I112))/J112)*T112/Settings!$C$9,(S112+R112)-H112*IF(I112="",Settings!$C$8,I112))),0))</f>
        <v/>
      </c>
      <c r="W112" s="23" t="str">
        <f aca="false">IF(B112="","",IF(AND(O112&lt;&gt;"",O112&gt;=Settings!$C$6,O112&lt;=Settings!$C$7),H112,0))</f>
        <v/>
      </c>
      <c r="X112" s="23" t="str">
        <f aca="false">IF(B112="","",IF(W112&gt;0,N(N112)+V112,0))</f>
        <v/>
      </c>
      <c r="Y112" s="23" t="str">
        <f aca="false">IF(B112="","",Q112+R112-W112)</f>
        <v/>
      </c>
      <c r="Z112" s="23" t="str">
        <f aca="false">IF(B112="","",N(N112)+N(V112)-X112)</f>
        <v/>
      </c>
      <c r="AA112" s="25" t="str">
        <f aca="false">IF(B112="","",Y112-Z112)</f>
        <v/>
      </c>
      <c r="AB112" s="23" t="str">
        <f aca="false">IF(B112="","",IF(W112&gt;0,N(P112)-(W112-X112),0))</f>
        <v/>
      </c>
      <c r="AC112" s="7" t="str">
        <f aca="false">IF(B112="","",IF(AND(R112&gt;0,Settings!$C$7-G112+1&lt;180),"Yes","No"))</f>
        <v/>
      </c>
    </row>
    <row r="113" customFormat="false" ht="15" hidden="false" customHeight="false" outlineLevel="0" collapsed="false">
      <c r="B113" s="5"/>
      <c r="C113" s="5"/>
      <c r="D113" s="5"/>
      <c r="E113" s="5"/>
      <c r="F113" s="18"/>
      <c r="G113" s="18"/>
      <c r="H113" s="19"/>
      <c r="I113" s="20"/>
      <c r="J113" s="21" t="str">
        <f aca="false">IF(B113="","",IF(K113&lt;&gt;"",K113,IFERROR(INDEX(Settings!$C$14:$C$31,MATCH(D113,Settings!$B$14:$B$31,0)),"")))</f>
        <v/>
      </c>
      <c r="K113" s="22"/>
      <c r="L113" s="5"/>
      <c r="M113" s="5"/>
      <c r="N113" s="19"/>
      <c r="O113" s="18"/>
      <c r="P113" s="19"/>
      <c r="Q113" s="23" t="str">
        <f aca="false">IF(B113="","",IF(G113&lt;Settings!$C$6,H113,0))</f>
        <v/>
      </c>
      <c r="R113" s="23" t="str">
        <f aca="false">IF(B113="","",IF(AND(G113&gt;=Settings!$C$6,G113&lt;=Settings!$C$7),H113,0))</f>
        <v/>
      </c>
      <c r="S113" s="23" t="str">
        <f aca="false">IF(B113="","",Q113-N(N113))</f>
        <v/>
      </c>
      <c r="T113" s="21" t="str">
        <f aca="false">IF(B113="","",MAX(0,MIN(Settings!$C$7,IF(AND(O113&lt;&gt;"",O113&lt;=Settings!$C$7),O113-1,Settings!$C$7))-MAX(Settings!$C$6,G113)+1))</f>
        <v/>
      </c>
      <c r="U113" s="24" t="str">
        <f aca="false">IF(OR(B113="",J113=""),"",1-(IF(I113="",Settings!$C$8,I113))^(1/J113))</f>
        <v/>
      </c>
      <c r="V113" s="23" t="str">
        <f aca="false">IF(OR(B113="",J113=""),"",ROUND(MAX(0,MIN(IF(L113="WDV",(S113+R113)*U113,H113*(1-IF(I113="",Settings!$C$8,I113))/J113)*T113/Settings!$C$9,(S113+R113)-H113*IF(I113="",Settings!$C$8,I113))),0))</f>
        <v/>
      </c>
      <c r="W113" s="23" t="str">
        <f aca="false">IF(B113="","",IF(AND(O113&lt;&gt;"",O113&gt;=Settings!$C$6,O113&lt;=Settings!$C$7),H113,0))</f>
        <v/>
      </c>
      <c r="X113" s="23" t="str">
        <f aca="false">IF(B113="","",IF(W113&gt;0,N(N113)+V113,0))</f>
        <v/>
      </c>
      <c r="Y113" s="23" t="str">
        <f aca="false">IF(B113="","",Q113+R113-W113)</f>
        <v/>
      </c>
      <c r="Z113" s="23" t="str">
        <f aca="false">IF(B113="","",N(N113)+N(V113)-X113)</f>
        <v/>
      </c>
      <c r="AA113" s="25" t="str">
        <f aca="false">IF(B113="","",Y113-Z113)</f>
        <v/>
      </c>
      <c r="AB113" s="23" t="str">
        <f aca="false">IF(B113="","",IF(W113&gt;0,N(P113)-(W113-X113),0))</f>
        <v/>
      </c>
      <c r="AC113" s="7" t="str">
        <f aca="false">IF(B113="","",IF(AND(R113&gt;0,Settings!$C$7-G113+1&lt;180),"Yes","No"))</f>
        <v/>
      </c>
    </row>
    <row r="114" customFormat="false" ht="15" hidden="false" customHeight="false" outlineLevel="0" collapsed="false">
      <c r="B114" s="5"/>
      <c r="C114" s="5"/>
      <c r="D114" s="5"/>
      <c r="E114" s="5"/>
      <c r="F114" s="18"/>
      <c r="G114" s="18"/>
      <c r="H114" s="19"/>
      <c r="I114" s="20"/>
      <c r="J114" s="21" t="str">
        <f aca="false">IF(B114="","",IF(K114&lt;&gt;"",K114,IFERROR(INDEX(Settings!$C$14:$C$31,MATCH(D114,Settings!$B$14:$B$31,0)),"")))</f>
        <v/>
      </c>
      <c r="K114" s="22"/>
      <c r="L114" s="5"/>
      <c r="M114" s="5"/>
      <c r="N114" s="19"/>
      <c r="O114" s="18"/>
      <c r="P114" s="19"/>
      <c r="Q114" s="23" t="str">
        <f aca="false">IF(B114="","",IF(G114&lt;Settings!$C$6,H114,0))</f>
        <v/>
      </c>
      <c r="R114" s="23" t="str">
        <f aca="false">IF(B114="","",IF(AND(G114&gt;=Settings!$C$6,G114&lt;=Settings!$C$7),H114,0))</f>
        <v/>
      </c>
      <c r="S114" s="23" t="str">
        <f aca="false">IF(B114="","",Q114-N(N114))</f>
        <v/>
      </c>
      <c r="T114" s="21" t="str">
        <f aca="false">IF(B114="","",MAX(0,MIN(Settings!$C$7,IF(AND(O114&lt;&gt;"",O114&lt;=Settings!$C$7),O114-1,Settings!$C$7))-MAX(Settings!$C$6,G114)+1))</f>
        <v/>
      </c>
      <c r="U114" s="24" t="str">
        <f aca="false">IF(OR(B114="",J114=""),"",1-(IF(I114="",Settings!$C$8,I114))^(1/J114))</f>
        <v/>
      </c>
      <c r="V114" s="23" t="str">
        <f aca="false">IF(OR(B114="",J114=""),"",ROUND(MAX(0,MIN(IF(L114="WDV",(S114+R114)*U114,H114*(1-IF(I114="",Settings!$C$8,I114))/J114)*T114/Settings!$C$9,(S114+R114)-H114*IF(I114="",Settings!$C$8,I114))),0))</f>
        <v/>
      </c>
      <c r="W114" s="23" t="str">
        <f aca="false">IF(B114="","",IF(AND(O114&lt;&gt;"",O114&gt;=Settings!$C$6,O114&lt;=Settings!$C$7),H114,0))</f>
        <v/>
      </c>
      <c r="X114" s="23" t="str">
        <f aca="false">IF(B114="","",IF(W114&gt;0,N(N114)+V114,0))</f>
        <v/>
      </c>
      <c r="Y114" s="23" t="str">
        <f aca="false">IF(B114="","",Q114+R114-W114)</f>
        <v/>
      </c>
      <c r="Z114" s="23" t="str">
        <f aca="false">IF(B114="","",N(N114)+N(V114)-X114)</f>
        <v/>
      </c>
      <c r="AA114" s="25" t="str">
        <f aca="false">IF(B114="","",Y114-Z114)</f>
        <v/>
      </c>
      <c r="AB114" s="23" t="str">
        <f aca="false">IF(B114="","",IF(W114&gt;0,N(P114)-(W114-X114),0))</f>
        <v/>
      </c>
      <c r="AC114" s="7" t="str">
        <f aca="false">IF(B114="","",IF(AND(R114&gt;0,Settings!$C$7-G114+1&lt;180),"Yes","No"))</f>
        <v/>
      </c>
    </row>
    <row r="115" customFormat="false" ht="15" hidden="false" customHeight="false" outlineLevel="0" collapsed="false">
      <c r="B115" s="5"/>
      <c r="C115" s="5"/>
      <c r="D115" s="5"/>
      <c r="E115" s="5"/>
      <c r="F115" s="18"/>
      <c r="G115" s="18"/>
      <c r="H115" s="19"/>
      <c r="I115" s="20"/>
      <c r="J115" s="21" t="str">
        <f aca="false">IF(B115="","",IF(K115&lt;&gt;"",K115,IFERROR(INDEX(Settings!$C$14:$C$31,MATCH(D115,Settings!$B$14:$B$31,0)),"")))</f>
        <v/>
      </c>
      <c r="K115" s="22"/>
      <c r="L115" s="5"/>
      <c r="M115" s="5"/>
      <c r="N115" s="19"/>
      <c r="O115" s="18"/>
      <c r="P115" s="19"/>
      <c r="Q115" s="23" t="str">
        <f aca="false">IF(B115="","",IF(G115&lt;Settings!$C$6,H115,0))</f>
        <v/>
      </c>
      <c r="R115" s="23" t="str">
        <f aca="false">IF(B115="","",IF(AND(G115&gt;=Settings!$C$6,G115&lt;=Settings!$C$7),H115,0))</f>
        <v/>
      </c>
      <c r="S115" s="23" t="str">
        <f aca="false">IF(B115="","",Q115-N(N115))</f>
        <v/>
      </c>
      <c r="T115" s="21" t="str">
        <f aca="false">IF(B115="","",MAX(0,MIN(Settings!$C$7,IF(AND(O115&lt;&gt;"",O115&lt;=Settings!$C$7),O115-1,Settings!$C$7))-MAX(Settings!$C$6,G115)+1))</f>
        <v/>
      </c>
      <c r="U115" s="24" t="str">
        <f aca="false">IF(OR(B115="",J115=""),"",1-(IF(I115="",Settings!$C$8,I115))^(1/J115))</f>
        <v/>
      </c>
      <c r="V115" s="23" t="str">
        <f aca="false">IF(OR(B115="",J115=""),"",ROUND(MAX(0,MIN(IF(L115="WDV",(S115+R115)*U115,H115*(1-IF(I115="",Settings!$C$8,I115))/J115)*T115/Settings!$C$9,(S115+R115)-H115*IF(I115="",Settings!$C$8,I115))),0))</f>
        <v/>
      </c>
      <c r="W115" s="23" t="str">
        <f aca="false">IF(B115="","",IF(AND(O115&lt;&gt;"",O115&gt;=Settings!$C$6,O115&lt;=Settings!$C$7),H115,0))</f>
        <v/>
      </c>
      <c r="X115" s="23" t="str">
        <f aca="false">IF(B115="","",IF(W115&gt;0,N(N115)+V115,0))</f>
        <v/>
      </c>
      <c r="Y115" s="23" t="str">
        <f aca="false">IF(B115="","",Q115+R115-W115)</f>
        <v/>
      </c>
      <c r="Z115" s="23" t="str">
        <f aca="false">IF(B115="","",N(N115)+N(V115)-X115)</f>
        <v/>
      </c>
      <c r="AA115" s="25" t="str">
        <f aca="false">IF(B115="","",Y115-Z115)</f>
        <v/>
      </c>
      <c r="AB115" s="23" t="str">
        <f aca="false">IF(B115="","",IF(W115&gt;0,N(P115)-(W115-X115),0))</f>
        <v/>
      </c>
      <c r="AC115" s="7" t="str">
        <f aca="false">IF(B115="","",IF(AND(R115&gt;0,Settings!$C$7-G115+1&lt;180),"Yes","No"))</f>
        <v/>
      </c>
    </row>
    <row r="116" customFormat="false" ht="15" hidden="false" customHeight="false" outlineLevel="0" collapsed="false">
      <c r="B116" s="5"/>
      <c r="C116" s="5"/>
      <c r="D116" s="5"/>
      <c r="E116" s="5"/>
      <c r="F116" s="18"/>
      <c r="G116" s="18"/>
      <c r="H116" s="19"/>
      <c r="I116" s="20"/>
      <c r="J116" s="21" t="str">
        <f aca="false">IF(B116="","",IF(K116&lt;&gt;"",K116,IFERROR(INDEX(Settings!$C$14:$C$31,MATCH(D116,Settings!$B$14:$B$31,0)),"")))</f>
        <v/>
      </c>
      <c r="K116" s="22"/>
      <c r="L116" s="5"/>
      <c r="M116" s="5"/>
      <c r="N116" s="19"/>
      <c r="O116" s="18"/>
      <c r="P116" s="19"/>
      <c r="Q116" s="23" t="str">
        <f aca="false">IF(B116="","",IF(G116&lt;Settings!$C$6,H116,0))</f>
        <v/>
      </c>
      <c r="R116" s="23" t="str">
        <f aca="false">IF(B116="","",IF(AND(G116&gt;=Settings!$C$6,G116&lt;=Settings!$C$7),H116,0))</f>
        <v/>
      </c>
      <c r="S116" s="23" t="str">
        <f aca="false">IF(B116="","",Q116-N(N116))</f>
        <v/>
      </c>
      <c r="T116" s="21" t="str">
        <f aca="false">IF(B116="","",MAX(0,MIN(Settings!$C$7,IF(AND(O116&lt;&gt;"",O116&lt;=Settings!$C$7),O116-1,Settings!$C$7))-MAX(Settings!$C$6,G116)+1))</f>
        <v/>
      </c>
      <c r="U116" s="24" t="str">
        <f aca="false">IF(OR(B116="",J116=""),"",1-(IF(I116="",Settings!$C$8,I116))^(1/J116))</f>
        <v/>
      </c>
      <c r="V116" s="23" t="str">
        <f aca="false">IF(OR(B116="",J116=""),"",ROUND(MAX(0,MIN(IF(L116="WDV",(S116+R116)*U116,H116*(1-IF(I116="",Settings!$C$8,I116))/J116)*T116/Settings!$C$9,(S116+R116)-H116*IF(I116="",Settings!$C$8,I116))),0))</f>
        <v/>
      </c>
      <c r="W116" s="23" t="str">
        <f aca="false">IF(B116="","",IF(AND(O116&lt;&gt;"",O116&gt;=Settings!$C$6,O116&lt;=Settings!$C$7),H116,0))</f>
        <v/>
      </c>
      <c r="X116" s="23" t="str">
        <f aca="false">IF(B116="","",IF(W116&gt;0,N(N116)+V116,0))</f>
        <v/>
      </c>
      <c r="Y116" s="23" t="str">
        <f aca="false">IF(B116="","",Q116+R116-W116)</f>
        <v/>
      </c>
      <c r="Z116" s="23" t="str">
        <f aca="false">IF(B116="","",N(N116)+N(V116)-X116)</f>
        <v/>
      </c>
      <c r="AA116" s="25" t="str">
        <f aca="false">IF(B116="","",Y116-Z116)</f>
        <v/>
      </c>
      <c r="AB116" s="23" t="str">
        <f aca="false">IF(B116="","",IF(W116&gt;0,N(P116)-(W116-X116),0))</f>
        <v/>
      </c>
      <c r="AC116" s="7" t="str">
        <f aca="false">IF(B116="","",IF(AND(R116&gt;0,Settings!$C$7-G116+1&lt;180),"Yes","No"))</f>
        <v/>
      </c>
    </row>
    <row r="117" customFormat="false" ht="15" hidden="false" customHeight="false" outlineLevel="0" collapsed="false">
      <c r="B117" s="5"/>
      <c r="C117" s="5"/>
      <c r="D117" s="5"/>
      <c r="E117" s="5"/>
      <c r="F117" s="18"/>
      <c r="G117" s="18"/>
      <c r="H117" s="19"/>
      <c r="I117" s="20"/>
      <c r="J117" s="21" t="str">
        <f aca="false">IF(B117="","",IF(K117&lt;&gt;"",K117,IFERROR(INDEX(Settings!$C$14:$C$31,MATCH(D117,Settings!$B$14:$B$31,0)),"")))</f>
        <v/>
      </c>
      <c r="K117" s="22"/>
      <c r="L117" s="5"/>
      <c r="M117" s="5"/>
      <c r="N117" s="19"/>
      <c r="O117" s="18"/>
      <c r="P117" s="19"/>
      <c r="Q117" s="23" t="str">
        <f aca="false">IF(B117="","",IF(G117&lt;Settings!$C$6,H117,0))</f>
        <v/>
      </c>
      <c r="R117" s="23" t="str">
        <f aca="false">IF(B117="","",IF(AND(G117&gt;=Settings!$C$6,G117&lt;=Settings!$C$7),H117,0))</f>
        <v/>
      </c>
      <c r="S117" s="23" t="str">
        <f aca="false">IF(B117="","",Q117-N(N117))</f>
        <v/>
      </c>
      <c r="T117" s="21" t="str">
        <f aca="false">IF(B117="","",MAX(0,MIN(Settings!$C$7,IF(AND(O117&lt;&gt;"",O117&lt;=Settings!$C$7),O117-1,Settings!$C$7))-MAX(Settings!$C$6,G117)+1))</f>
        <v/>
      </c>
      <c r="U117" s="24" t="str">
        <f aca="false">IF(OR(B117="",J117=""),"",1-(IF(I117="",Settings!$C$8,I117))^(1/J117))</f>
        <v/>
      </c>
      <c r="V117" s="23" t="str">
        <f aca="false">IF(OR(B117="",J117=""),"",ROUND(MAX(0,MIN(IF(L117="WDV",(S117+R117)*U117,H117*(1-IF(I117="",Settings!$C$8,I117))/J117)*T117/Settings!$C$9,(S117+R117)-H117*IF(I117="",Settings!$C$8,I117))),0))</f>
        <v/>
      </c>
      <c r="W117" s="23" t="str">
        <f aca="false">IF(B117="","",IF(AND(O117&lt;&gt;"",O117&gt;=Settings!$C$6,O117&lt;=Settings!$C$7),H117,0))</f>
        <v/>
      </c>
      <c r="X117" s="23" t="str">
        <f aca="false">IF(B117="","",IF(W117&gt;0,N(N117)+V117,0))</f>
        <v/>
      </c>
      <c r="Y117" s="23" t="str">
        <f aca="false">IF(B117="","",Q117+R117-W117)</f>
        <v/>
      </c>
      <c r="Z117" s="23" t="str">
        <f aca="false">IF(B117="","",N(N117)+N(V117)-X117)</f>
        <v/>
      </c>
      <c r="AA117" s="25" t="str">
        <f aca="false">IF(B117="","",Y117-Z117)</f>
        <v/>
      </c>
      <c r="AB117" s="23" t="str">
        <f aca="false">IF(B117="","",IF(W117&gt;0,N(P117)-(W117-X117),0))</f>
        <v/>
      </c>
      <c r="AC117" s="7" t="str">
        <f aca="false">IF(B117="","",IF(AND(R117&gt;0,Settings!$C$7-G117+1&lt;180),"Yes","No"))</f>
        <v/>
      </c>
    </row>
    <row r="118" customFormat="false" ht="15" hidden="false" customHeight="false" outlineLevel="0" collapsed="false">
      <c r="B118" s="5"/>
      <c r="C118" s="5"/>
      <c r="D118" s="5"/>
      <c r="E118" s="5"/>
      <c r="F118" s="18"/>
      <c r="G118" s="18"/>
      <c r="H118" s="19"/>
      <c r="I118" s="20"/>
      <c r="J118" s="21" t="str">
        <f aca="false">IF(B118="","",IF(K118&lt;&gt;"",K118,IFERROR(INDEX(Settings!$C$14:$C$31,MATCH(D118,Settings!$B$14:$B$31,0)),"")))</f>
        <v/>
      </c>
      <c r="K118" s="22"/>
      <c r="L118" s="5"/>
      <c r="M118" s="5"/>
      <c r="N118" s="19"/>
      <c r="O118" s="18"/>
      <c r="P118" s="19"/>
      <c r="Q118" s="23" t="str">
        <f aca="false">IF(B118="","",IF(G118&lt;Settings!$C$6,H118,0))</f>
        <v/>
      </c>
      <c r="R118" s="23" t="str">
        <f aca="false">IF(B118="","",IF(AND(G118&gt;=Settings!$C$6,G118&lt;=Settings!$C$7),H118,0))</f>
        <v/>
      </c>
      <c r="S118" s="23" t="str">
        <f aca="false">IF(B118="","",Q118-N(N118))</f>
        <v/>
      </c>
      <c r="T118" s="21" t="str">
        <f aca="false">IF(B118="","",MAX(0,MIN(Settings!$C$7,IF(AND(O118&lt;&gt;"",O118&lt;=Settings!$C$7),O118-1,Settings!$C$7))-MAX(Settings!$C$6,G118)+1))</f>
        <v/>
      </c>
      <c r="U118" s="24" t="str">
        <f aca="false">IF(OR(B118="",J118=""),"",1-(IF(I118="",Settings!$C$8,I118))^(1/J118))</f>
        <v/>
      </c>
      <c r="V118" s="23" t="str">
        <f aca="false">IF(OR(B118="",J118=""),"",ROUND(MAX(0,MIN(IF(L118="WDV",(S118+R118)*U118,H118*(1-IF(I118="",Settings!$C$8,I118))/J118)*T118/Settings!$C$9,(S118+R118)-H118*IF(I118="",Settings!$C$8,I118))),0))</f>
        <v/>
      </c>
      <c r="W118" s="23" t="str">
        <f aca="false">IF(B118="","",IF(AND(O118&lt;&gt;"",O118&gt;=Settings!$C$6,O118&lt;=Settings!$C$7),H118,0))</f>
        <v/>
      </c>
      <c r="X118" s="23" t="str">
        <f aca="false">IF(B118="","",IF(W118&gt;0,N(N118)+V118,0))</f>
        <v/>
      </c>
      <c r="Y118" s="23" t="str">
        <f aca="false">IF(B118="","",Q118+R118-W118)</f>
        <v/>
      </c>
      <c r="Z118" s="23" t="str">
        <f aca="false">IF(B118="","",N(N118)+N(V118)-X118)</f>
        <v/>
      </c>
      <c r="AA118" s="25" t="str">
        <f aca="false">IF(B118="","",Y118-Z118)</f>
        <v/>
      </c>
      <c r="AB118" s="23" t="str">
        <f aca="false">IF(B118="","",IF(W118&gt;0,N(P118)-(W118-X118),0))</f>
        <v/>
      </c>
      <c r="AC118" s="7" t="str">
        <f aca="false">IF(B118="","",IF(AND(R118&gt;0,Settings!$C$7-G118+1&lt;180),"Yes","No"))</f>
        <v/>
      </c>
    </row>
    <row r="119" customFormat="false" ht="15" hidden="false" customHeight="false" outlineLevel="0" collapsed="false">
      <c r="B119" s="5"/>
      <c r="C119" s="5"/>
      <c r="D119" s="5"/>
      <c r="E119" s="5"/>
      <c r="F119" s="18"/>
      <c r="G119" s="18"/>
      <c r="H119" s="19"/>
      <c r="I119" s="20"/>
      <c r="J119" s="21" t="str">
        <f aca="false">IF(B119="","",IF(K119&lt;&gt;"",K119,IFERROR(INDEX(Settings!$C$14:$C$31,MATCH(D119,Settings!$B$14:$B$31,0)),"")))</f>
        <v/>
      </c>
      <c r="K119" s="22"/>
      <c r="L119" s="5"/>
      <c r="M119" s="5"/>
      <c r="N119" s="19"/>
      <c r="O119" s="18"/>
      <c r="P119" s="19"/>
      <c r="Q119" s="23" t="str">
        <f aca="false">IF(B119="","",IF(G119&lt;Settings!$C$6,H119,0))</f>
        <v/>
      </c>
      <c r="R119" s="23" t="str">
        <f aca="false">IF(B119="","",IF(AND(G119&gt;=Settings!$C$6,G119&lt;=Settings!$C$7),H119,0))</f>
        <v/>
      </c>
      <c r="S119" s="23" t="str">
        <f aca="false">IF(B119="","",Q119-N(N119))</f>
        <v/>
      </c>
      <c r="T119" s="21" t="str">
        <f aca="false">IF(B119="","",MAX(0,MIN(Settings!$C$7,IF(AND(O119&lt;&gt;"",O119&lt;=Settings!$C$7),O119-1,Settings!$C$7))-MAX(Settings!$C$6,G119)+1))</f>
        <v/>
      </c>
      <c r="U119" s="24" t="str">
        <f aca="false">IF(OR(B119="",J119=""),"",1-(IF(I119="",Settings!$C$8,I119))^(1/J119))</f>
        <v/>
      </c>
      <c r="V119" s="23" t="str">
        <f aca="false">IF(OR(B119="",J119=""),"",ROUND(MAX(0,MIN(IF(L119="WDV",(S119+R119)*U119,H119*(1-IF(I119="",Settings!$C$8,I119))/J119)*T119/Settings!$C$9,(S119+R119)-H119*IF(I119="",Settings!$C$8,I119))),0))</f>
        <v/>
      </c>
      <c r="W119" s="23" t="str">
        <f aca="false">IF(B119="","",IF(AND(O119&lt;&gt;"",O119&gt;=Settings!$C$6,O119&lt;=Settings!$C$7),H119,0))</f>
        <v/>
      </c>
      <c r="X119" s="23" t="str">
        <f aca="false">IF(B119="","",IF(W119&gt;0,N(N119)+V119,0))</f>
        <v/>
      </c>
      <c r="Y119" s="23" t="str">
        <f aca="false">IF(B119="","",Q119+R119-W119)</f>
        <v/>
      </c>
      <c r="Z119" s="23" t="str">
        <f aca="false">IF(B119="","",N(N119)+N(V119)-X119)</f>
        <v/>
      </c>
      <c r="AA119" s="25" t="str">
        <f aca="false">IF(B119="","",Y119-Z119)</f>
        <v/>
      </c>
      <c r="AB119" s="23" t="str">
        <f aca="false">IF(B119="","",IF(W119&gt;0,N(P119)-(W119-X119),0))</f>
        <v/>
      </c>
      <c r="AC119" s="7" t="str">
        <f aca="false">IF(B119="","",IF(AND(R119&gt;0,Settings!$C$7-G119+1&lt;180),"Yes","No"))</f>
        <v/>
      </c>
    </row>
    <row r="120" customFormat="false" ht="15" hidden="false" customHeight="false" outlineLevel="0" collapsed="false">
      <c r="B120" s="5"/>
      <c r="C120" s="5"/>
      <c r="D120" s="5"/>
      <c r="E120" s="5"/>
      <c r="F120" s="18"/>
      <c r="G120" s="18"/>
      <c r="H120" s="19"/>
      <c r="I120" s="20"/>
      <c r="J120" s="21" t="str">
        <f aca="false">IF(B120="","",IF(K120&lt;&gt;"",K120,IFERROR(INDEX(Settings!$C$14:$C$31,MATCH(D120,Settings!$B$14:$B$31,0)),"")))</f>
        <v/>
      </c>
      <c r="K120" s="22"/>
      <c r="L120" s="5"/>
      <c r="M120" s="5"/>
      <c r="N120" s="19"/>
      <c r="O120" s="18"/>
      <c r="P120" s="19"/>
      <c r="Q120" s="23" t="str">
        <f aca="false">IF(B120="","",IF(G120&lt;Settings!$C$6,H120,0))</f>
        <v/>
      </c>
      <c r="R120" s="23" t="str">
        <f aca="false">IF(B120="","",IF(AND(G120&gt;=Settings!$C$6,G120&lt;=Settings!$C$7),H120,0))</f>
        <v/>
      </c>
      <c r="S120" s="23" t="str">
        <f aca="false">IF(B120="","",Q120-N(N120))</f>
        <v/>
      </c>
      <c r="T120" s="21" t="str">
        <f aca="false">IF(B120="","",MAX(0,MIN(Settings!$C$7,IF(AND(O120&lt;&gt;"",O120&lt;=Settings!$C$7),O120-1,Settings!$C$7))-MAX(Settings!$C$6,G120)+1))</f>
        <v/>
      </c>
      <c r="U120" s="24" t="str">
        <f aca="false">IF(OR(B120="",J120=""),"",1-(IF(I120="",Settings!$C$8,I120))^(1/J120))</f>
        <v/>
      </c>
      <c r="V120" s="23" t="str">
        <f aca="false">IF(OR(B120="",J120=""),"",ROUND(MAX(0,MIN(IF(L120="WDV",(S120+R120)*U120,H120*(1-IF(I120="",Settings!$C$8,I120))/J120)*T120/Settings!$C$9,(S120+R120)-H120*IF(I120="",Settings!$C$8,I120))),0))</f>
        <v/>
      </c>
      <c r="W120" s="23" t="str">
        <f aca="false">IF(B120="","",IF(AND(O120&lt;&gt;"",O120&gt;=Settings!$C$6,O120&lt;=Settings!$C$7),H120,0))</f>
        <v/>
      </c>
      <c r="X120" s="23" t="str">
        <f aca="false">IF(B120="","",IF(W120&gt;0,N(N120)+V120,0))</f>
        <v/>
      </c>
      <c r="Y120" s="23" t="str">
        <f aca="false">IF(B120="","",Q120+R120-W120)</f>
        <v/>
      </c>
      <c r="Z120" s="23" t="str">
        <f aca="false">IF(B120="","",N(N120)+N(V120)-X120)</f>
        <v/>
      </c>
      <c r="AA120" s="25" t="str">
        <f aca="false">IF(B120="","",Y120-Z120)</f>
        <v/>
      </c>
      <c r="AB120" s="23" t="str">
        <f aca="false">IF(B120="","",IF(W120&gt;0,N(P120)-(W120-X120),0))</f>
        <v/>
      </c>
      <c r="AC120" s="7" t="str">
        <f aca="false">IF(B120="","",IF(AND(R120&gt;0,Settings!$C$7-G120+1&lt;180),"Yes","No"))</f>
        <v/>
      </c>
    </row>
    <row r="121" customFormat="false" ht="15" hidden="false" customHeight="false" outlineLevel="0" collapsed="false">
      <c r="B121" s="5"/>
      <c r="C121" s="5"/>
      <c r="D121" s="5"/>
      <c r="E121" s="5"/>
      <c r="F121" s="18"/>
      <c r="G121" s="18"/>
      <c r="H121" s="19"/>
      <c r="I121" s="20"/>
      <c r="J121" s="21" t="str">
        <f aca="false">IF(B121="","",IF(K121&lt;&gt;"",K121,IFERROR(INDEX(Settings!$C$14:$C$31,MATCH(D121,Settings!$B$14:$B$31,0)),"")))</f>
        <v/>
      </c>
      <c r="K121" s="22"/>
      <c r="L121" s="5"/>
      <c r="M121" s="5"/>
      <c r="N121" s="19"/>
      <c r="O121" s="18"/>
      <c r="P121" s="19"/>
      <c r="Q121" s="23" t="str">
        <f aca="false">IF(B121="","",IF(G121&lt;Settings!$C$6,H121,0))</f>
        <v/>
      </c>
      <c r="R121" s="23" t="str">
        <f aca="false">IF(B121="","",IF(AND(G121&gt;=Settings!$C$6,G121&lt;=Settings!$C$7),H121,0))</f>
        <v/>
      </c>
      <c r="S121" s="23" t="str">
        <f aca="false">IF(B121="","",Q121-N(N121))</f>
        <v/>
      </c>
      <c r="T121" s="21" t="str">
        <f aca="false">IF(B121="","",MAX(0,MIN(Settings!$C$7,IF(AND(O121&lt;&gt;"",O121&lt;=Settings!$C$7),O121-1,Settings!$C$7))-MAX(Settings!$C$6,G121)+1))</f>
        <v/>
      </c>
      <c r="U121" s="24" t="str">
        <f aca="false">IF(OR(B121="",J121=""),"",1-(IF(I121="",Settings!$C$8,I121))^(1/J121))</f>
        <v/>
      </c>
      <c r="V121" s="23" t="str">
        <f aca="false">IF(OR(B121="",J121=""),"",ROUND(MAX(0,MIN(IF(L121="WDV",(S121+R121)*U121,H121*(1-IF(I121="",Settings!$C$8,I121))/J121)*T121/Settings!$C$9,(S121+R121)-H121*IF(I121="",Settings!$C$8,I121))),0))</f>
        <v/>
      </c>
      <c r="W121" s="23" t="str">
        <f aca="false">IF(B121="","",IF(AND(O121&lt;&gt;"",O121&gt;=Settings!$C$6,O121&lt;=Settings!$C$7),H121,0))</f>
        <v/>
      </c>
      <c r="X121" s="23" t="str">
        <f aca="false">IF(B121="","",IF(W121&gt;0,N(N121)+V121,0))</f>
        <v/>
      </c>
      <c r="Y121" s="23" t="str">
        <f aca="false">IF(B121="","",Q121+R121-W121)</f>
        <v/>
      </c>
      <c r="Z121" s="23" t="str">
        <f aca="false">IF(B121="","",N(N121)+N(V121)-X121)</f>
        <v/>
      </c>
      <c r="AA121" s="25" t="str">
        <f aca="false">IF(B121="","",Y121-Z121)</f>
        <v/>
      </c>
      <c r="AB121" s="23" t="str">
        <f aca="false">IF(B121="","",IF(W121&gt;0,N(P121)-(W121-X121),0))</f>
        <v/>
      </c>
      <c r="AC121" s="7" t="str">
        <f aca="false">IF(B121="","",IF(AND(R121&gt;0,Settings!$C$7-G121+1&lt;180),"Yes","No"))</f>
        <v/>
      </c>
    </row>
    <row r="122" customFormat="false" ht="15" hidden="false" customHeight="false" outlineLevel="0" collapsed="false">
      <c r="B122" s="5"/>
      <c r="C122" s="5"/>
      <c r="D122" s="5"/>
      <c r="E122" s="5"/>
      <c r="F122" s="18"/>
      <c r="G122" s="18"/>
      <c r="H122" s="19"/>
      <c r="I122" s="20"/>
      <c r="J122" s="21" t="str">
        <f aca="false">IF(B122="","",IF(K122&lt;&gt;"",K122,IFERROR(INDEX(Settings!$C$14:$C$31,MATCH(D122,Settings!$B$14:$B$31,0)),"")))</f>
        <v/>
      </c>
      <c r="K122" s="22"/>
      <c r="L122" s="5"/>
      <c r="M122" s="5"/>
      <c r="N122" s="19"/>
      <c r="O122" s="18"/>
      <c r="P122" s="19"/>
      <c r="Q122" s="23" t="str">
        <f aca="false">IF(B122="","",IF(G122&lt;Settings!$C$6,H122,0))</f>
        <v/>
      </c>
      <c r="R122" s="23" t="str">
        <f aca="false">IF(B122="","",IF(AND(G122&gt;=Settings!$C$6,G122&lt;=Settings!$C$7),H122,0))</f>
        <v/>
      </c>
      <c r="S122" s="23" t="str">
        <f aca="false">IF(B122="","",Q122-N(N122))</f>
        <v/>
      </c>
      <c r="T122" s="21" t="str">
        <f aca="false">IF(B122="","",MAX(0,MIN(Settings!$C$7,IF(AND(O122&lt;&gt;"",O122&lt;=Settings!$C$7),O122-1,Settings!$C$7))-MAX(Settings!$C$6,G122)+1))</f>
        <v/>
      </c>
      <c r="U122" s="24" t="str">
        <f aca="false">IF(OR(B122="",J122=""),"",1-(IF(I122="",Settings!$C$8,I122))^(1/J122))</f>
        <v/>
      </c>
      <c r="V122" s="23" t="str">
        <f aca="false">IF(OR(B122="",J122=""),"",ROUND(MAX(0,MIN(IF(L122="WDV",(S122+R122)*U122,H122*(1-IF(I122="",Settings!$C$8,I122))/J122)*T122/Settings!$C$9,(S122+R122)-H122*IF(I122="",Settings!$C$8,I122))),0))</f>
        <v/>
      </c>
      <c r="W122" s="23" t="str">
        <f aca="false">IF(B122="","",IF(AND(O122&lt;&gt;"",O122&gt;=Settings!$C$6,O122&lt;=Settings!$C$7),H122,0))</f>
        <v/>
      </c>
      <c r="X122" s="23" t="str">
        <f aca="false">IF(B122="","",IF(W122&gt;0,N(N122)+V122,0))</f>
        <v/>
      </c>
      <c r="Y122" s="23" t="str">
        <f aca="false">IF(B122="","",Q122+R122-W122)</f>
        <v/>
      </c>
      <c r="Z122" s="23" t="str">
        <f aca="false">IF(B122="","",N(N122)+N(V122)-X122)</f>
        <v/>
      </c>
      <c r="AA122" s="25" t="str">
        <f aca="false">IF(B122="","",Y122-Z122)</f>
        <v/>
      </c>
      <c r="AB122" s="23" t="str">
        <f aca="false">IF(B122="","",IF(W122&gt;0,N(P122)-(W122-X122),0))</f>
        <v/>
      </c>
      <c r="AC122" s="7" t="str">
        <f aca="false">IF(B122="","",IF(AND(R122&gt;0,Settings!$C$7-G122+1&lt;180),"Yes","No"))</f>
        <v/>
      </c>
    </row>
    <row r="123" customFormat="false" ht="15" hidden="false" customHeight="false" outlineLevel="0" collapsed="false">
      <c r="B123" s="5"/>
      <c r="C123" s="5"/>
      <c r="D123" s="5"/>
      <c r="E123" s="5"/>
      <c r="F123" s="18"/>
      <c r="G123" s="18"/>
      <c r="H123" s="19"/>
      <c r="I123" s="20"/>
      <c r="J123" s="21" t="str">
        <f aca="false">IF(B123="","",IF(K123&lt;&gt;"",K123,IFERROR(INDEX(Settings!$C$14:$C$31,MATCH(D123,Settings!$B$14:$B$31,0)),"")))</f>
        <v/>
      </c>
      <c r="K123" s="22"/>
      <c r="L123" s="5"/>
      <c r="M123" s="5"/>
      <c r="N123" s="19"/>
      <c r="O123" s="18"/>
      <c r="P123" s="19"/>
      <c r="Q123" s="23" t="str">
        <f aca="false">IF(B123="","",IF(G123&lt;Settings!$C$6,H123,0))</f>
        <v/>
      </c>
      <c r="R123" s="23" t="str">
        <f aca="false">IF(B123="","",IF(AND(G123&gt;=Settings!$C$6,G123&lt;=Settings!$C$7),H123,0))</f>
        <v/>
      </c>
      <c r="S123" s="23" t="str">
        <f aca="false">IF(B123="","",Q123-N(N123))</f>
        <v/>
      </c>
      <c r="T123" s="21" t="str">
        <f aca="false">IF(B123="","",MAX(0,MIN(Settings!$C$7,IF(AND(O123&lt;&gt;"",O123&lt;=Settings!$C$7),O123-1,Settings!$C$7))-MAX(Settings!$C$6,G123)+1))</f>
        <v/>
      </c>
      <c r="U123" s="24" t="str">
        <f aca="false">IF(OR(B123="",J123=""),"",1-(IF(I123="",Settings!$C$8,I123))^(1/J123))</f>
        <v/>
      </c>
      <c r="V123" s="23" t="str">
        <f aca="false">IF(OR(B123="",J123=""),"",ROUND(MAX(0,MIN(IF(L123="WDV",(S123+R123)*U123,H123*(1-IF(I123="",Settings!$C$8,I123))/J123)*T123/Settings!$C$9,(S123+R123)-H123*IF(I123="",Settings!$C$8,I123))),0))</f>
        <v/>
      </c>
      <c r="W123" s="23" t="str">
        <f aca="false">IF(B123="","",IF(AND(O123&lt;&gt;"",O123&gt;=Settings!$C$6,O123&lt;=Settings!$C$7),H123,0))</f>
        <v/>
      </c>
      <c r="X123" s="23" t="str">
        <f aca="false">IF(B123="","",IF(W123&gt;0,N(N123)+V123,0))</f>
        <v/>
      </c>
      <c r="Y123" s="23" t="str">
        <f aca="false">IF(B123="","",Q123+R123-W123)</f>
        <v/>
      </c>
      <c r="Z123" s="23" t="str">
        <f aca="false">IF(B123="","",N(N123)+N(V123)-X123)</f>
        <v/>
      </c>
      <c r="AA123" s="25" t="str">
        <f aca="false">IF(B123="","",Y123-Z123)</f>
        <v/>
      </c>
      <c r="AB123" s="23" t="str">
        <f aca="false">IF(B123="","",IF(W123&gt;0,N(P123)-(W123-X123),0))</f>
        <v/>
      </c>
      <c r="AC123" s="7" t="str">
        <f aca="false">IF(B123="","",IF(AND(R123&gt;0,Settings!$C$7-G123+1&lt;180),"Yes","No"))</f>
        <v/>
      </c>
    </row>
    <row r="124" customFormat="false" ht="15" hidden="false" customHeight="false" outlineLevel="0" collapsed="false">
      <c r="B124" s="5"/>
      <c r="C124" s="5"/>
      <c r="D124" s="5"/>
      <c r="E124" s="5"/>
      <c r="F124" s="18"/>
      <c r="G124" s="18"/>
      <c r="H124" s="19"/>
      <c r="I124" s="20"/>
      <c r="J124" s="21" t="str">
        <f aca="false">IF(B124="","",IF(K124&lt;&gt;"",K124,IFERROR(INDEX(Settings!$C$14:$C$31,MATCH(D124,Settings!$B$14:$B$31,0)),"")))</f>
        <v/>
      </c>
      <c r="K124" s="22"/>
      <c r="L124" s="5"/>
      <c r="M124" s="5"/>
      <c r="N124" s="19"/>
      <c r="O124" s="18"/>
      <c r="P124" s="19"/>
      <c r="Q124" s="23" t="str">
        <f aca="false">IF(B124="","",IF(G124&lt;Settings!$C$6,H124,0))</f>
        <v/>
      </c>
      <c r="R124" s="23" t="str">
        <f aca="false">IF(B124="","",IF(AND(G124&gt;=Settings!$C$6,G124&lt;=Settings!$C$7),H124,0))</f>
        <v/>
      </c>
      <c r="S124" s="23" t="str">
        <f aca="false">IF(B124="","",Q124-N(N124))</f>
        <v/>
      </c>
      <c r="T124" s="21" t="str">
        <f aca="false">IF(B124="","",MAX(0,MIN(Settings!$C$7,IF(AND(O124&lt;&gt;"",O124&lt;=Settings!$C$7),O124-1,Settings!$C$7))-MAX(Settings!$C$6,G124)+1))</f>
        <v/>
      </c>
      <c r="U124" s="24" t="str">
        <f aca="false">IF(OR(B124="",J124=""),"",1-(IF(I124="",Settings!$C$8,I124))^(1/J124))</f>
        <v/>
      </c>
      <c r="V124" s="23" t="str">
        <f aca="false">IF(OR(B124="",J124=""),"",ROUND(MAX(0,MIN(IF(L124="WDV",(S124+R124)*U124,H124*(1-IF(I124="",Settings!$C$8,I124))/J124)*T124/Settings!$C$9,(S124+R124)-H124*IF(I124="",Settings!$C$8,I124))),0))</f>
        <v/>
      </c>
      <c r="W124" s="23" t="str">
        <f aca="false">IF(B124="","",IF(AND(O124&lt;&gt;"",O124&gt;=Settings!$C$6,O124&lt;=Settings!$C$7),H124,0))</f>
        <v/>
      </c>
      <c r="X124" s="23" t="str">
        <f aca="false">IF(B124="","",IF(W124&gt;0,N(N124)+V124,0))</f>
        <v/>
      </c>
      <c r="Y124" s="23" t="str">
        <f aca="false">IF(B124="","",Q124+R124-W124)</f>
        <v/>
      </c>
      <c r="Z124" s="23" t="str">
        <f aca="false">IF(B124="","",N(N124)+N(V124)-X124)</f>
        <v/>
      </c>
      <c r="AA124" s="25" t="str">
        <f aca="false">IF(B124="","",Y124-Z124)</f>
        <v/>
      </c>
      <c r="AB124" s="23" t="str">
        <f aca="false">IF(B124="","",IF(W124&gt;0,N(P124)-(W124-X124),0))</f>
        <v/>
      </c>
      <c r="AC124" s="7" t="str">
        <f aca="false">IF(B124="","",IF(AND(R124&gt;0,Settings!$C$7-G124+1&lt;180),"Yes","No"))</f>
        <v/>
      </c>
    </row>
    <row r="125" customFormat="false" ht="15" hidden="false" customHeight="false" outlineLevel="0" collapsed="false">
      <c r="B125" s="5"/>
      <c r="C125" s="5"/>
      <c r="D125" s="5"/>
      <c r="E125" s="5"/>
      <c r="F125" s="18"/>
      <c r="G125" s="18"/>
      <c r="H125" s="19"/>
      <c r="I125" s="20"/>
      <c r="J125" s="21" t="str">
        <f aca="false">IF(B125="","",IF(K125&lt;&gt;"",K125,IFERROR(INDEX(Settings!$C$14:$C$31,MATCH(D125,Settings!$B$14:$B$31,0)),"")))</f>
        <v/>
      </c>
      <c r="K125" s="22"/>
      <c r="L125" s="5"/>
      <c r="M125" s="5"/>
      <c r="N125" s="19"/>
      <c r="O125" s="18"/>
      <c r="P125" s="19"/>
      <c r="Q125" s="23" t="str">
        <f aca="false">IF(B125="","",IF(G125&lt;Settings!$C$6,H125,0))</f>
        <v/>
      </c>
      <c r="R125" s="23" t="str">
        <f aca="false">IF(B125="","",IF(AND(G125&gt;=Settings!$C$6,G125&lt;=Settings!$C$7),H125,0))</f>
        <v/>
      </c>
      <c r="S125" s="23" t="str">
        <f aca="false">IF(B125="","",Q125-N(N125))</f>
        <v/>
      </c>
      <c r="T125" s="21" t="str">
        <f aca="false">IF(B125="","",MAX(0,MIN(Settings!$C$7,IF(AND(O125&lt;&gt;"",O125&lt;=Settings!$C$7),O125-1,Settings!$C$7))-MAX(Settings!$C$6,G125)+1))</f>
        <v/>
      </c>
      <c r="U125" s="24" t="str">
        <f aca="false">IF(OR(B125="",J125=""),"",1-(IF(I125="",Settings!$C$8,I125))^(1/J125))</f>
        <v/>
      </c>
      <c r="V125" s="23" t="str">
        <f aca="false">IF(OR(B125="",J125=""),"",ROUND(MAX(0,MIN(IF(L125="WDV",(S125+R125)*U125,H125*(1-IF(I125="",Settings!$C$8,I125))/J125)*T125/Settings!$C$9,(S125+R125)-H125*IF(I125="",Settings!$C$8,I125))),0))</f>
        <v/>
      </c>
      <c r="W125" s="23" t="str">
        <f aca="false">IF(B125="","",IF(AND(O125&lt;&gt;"",O125&gt;=Settings!$C$6,O125&lt;=Settings!$C$7),H125,0))</f>
        <v/>
      </c>
      <c r="X125" s="23" t="str">
        <f aca="false">IF(B125="","",IF(W125&gt;0,N(N125)+V125,0))</f>
        <v/>
      </c>
      <c r="Y125" s="23" t="str">
        <f aca="false">IF(B125="","",Q125+R125-W125)</f>
        <v/>
      </c>
      <c r="Z125" s="23" t="str">
        <f aca="false">IF(B125="","",N(N125)+N(V125)-X125)</f>
        <v/>
      </c>
      <c r="AA125" s="25" t="str">
        <f aca="false">IF(B125="","",Y125-Z125)</f>
        <v/>
      </c>
      <c r="AB125" s="23" t="str">
        <f aca="false">IF(B125="","",IF(W125&gt;0,N(P125)-(W125-X125),0))</f>
        <v/>
      </c>
      <c r="AC125" s="7" t="str">
        <f aca="false">IF(B125="","",IF(AND(R125&gt;0,Settings!$C$7-G125+1&lt;180),"Yes","No"))</f>
        <v/>
      </c>
    </row>
    <row r="126" customFormat="false" ht="15" hidden="false" customHeight="false" outlineLevel="0" collapsed="false">
      <c r="B126" s="5"/>
      <c r="C126" s="5"/>
      <c r="D126" s="5"/>
      <c r="E126" s="5"/>
      <c r="F126" s="18"/>
      <c r="G126" s="18"/>
      <c r="H126" s="19"/>
      <c r="I126" s="20"/>
      <c r="J126" s="21" t="str">
        <f aca="false">IF(B126="","",IF(K126&lt;&gt;"",K126,IFERROR(INDEX(Settings!$C$14:$C$31,MATCH(D126,Settings!$B$14:$B$31,0)),"")))</f>
        <v/>
      </c>
      <c r="K126" s="22"/>
      <c r="L126" s="5"/>
      <c r="M126" s="5"/>
      <c r="N126" s="19"/>
      <c r="O126" s="18"/>
      <c r="P126" s="19"/>
      <c r="Q126" s="23" t="str">
        <f aca="false">IF(B126="","",IF(G126&lt;Settings!$C$6,H126,0))</f>
        <v/>
      </c>
      <c r="R126" s="23" t="str">
        <f aca="false">IF(B126="","",IF(AND(G126&gt;=Settings!$C$6,G126&lt;=Settings!$C$7),H126,0))</f>
        <v/>
      </c>
      <c r="S126" s="23" t="str">
        <f aca="false">IF(B126="","",Q126-N(N126))</f>
        <v/>
      </c>
      <c r="T126" s="21" t="str">
        <f aca="false">IF(B126="","",MAX(0,MIN(Settings!$C$7,IF(AND(O126&lt;&gt;"",O126&lt;=Settings!$C$7),O126-1,Settings!$C$7))-MAX(Settings!$C$6,G126)+1))</f>
        <v/>
      </c>
      <c r="U126" s="24" t="str">
        <f aca="false">IF(OR(B126="",J126=""),"",1-(IF(I126="",Settings!$C$8,I126))^(1/J126))</f>
        <v/>
      </c>
      <c r="V126" s="23" t="str">
        <f aca="false">IF(OR(B126="",J126=""),"",ROUND(MAX(0,MIN(IF(L126="WDV",(S126+R126)*U126,H126*(1-IF(I126="",Settings!$C$8,I126))/J126)*T126/Settings!$C$9,(S126+R126)-H126*IF(I126="",Settings!$C$8,I126))),0))</f>
        <v/>
      </c>
      <c r="W126" s="23" t="str">
        <f aca="false">IF(B126="","",IF(AND(O126&lt;&gt;"",O126&gt;=Settings!$C$6,O126&lt;=Settings!$C$7),H126,0))</f>
        <v/>
      </c>
      <c r="X126" s="23" t="str">
        <f aca="false">IF(B126="","",IF(W126&gt;0,N(N126)+V126,0))</f>
        <v/>
      </c>
      <c r="Y126" s="23" t="str">
        <f aca="false">IF(B126="","",Q126+R126-W126)</f>
        <v/>
      </c>
      <c r="Z126" s="23" t="str">
        <f aca="false">IF(B126="","",N(N126)+N(V126)-X126)</f>
        <v/>
      </c>
      <c r="AA126" s="25" t="str">
        <f aca="false">IF(B126="","",Y126-Z126)</f>
        <v/>
      </c>
      <c r="AB126" s="23" t="str">
        <f aca="false">IF(B126="","",IF(W126&gt;0,N(P126)-(W126-X126),0))</f>
        <v/>
      </c>
      <c r="AC126" s="7" t="str">
        <f aca="false">IF(B126="","",IF(AND(R126&gt;0,Settings!$C$7-G126+1&lt;180),"Yes","No"))</f>
        <v/>
      </c>
    </row>
    <row r="127" customFormat="false" ht="15" hidden="false" customHeight="false" outlineLevel="0" collapsed="false">
      <c r="B127" s="5"/>
      <c r="C127" s="5"/>
      <c r="D127" s="5"/>
      <c r="E127" s="5"/>
      <c r="F127" s="18"/>
      <c r="G127" s="18"/>
      <c r="H127" s="19"/>
      <c r="I127" s="20"/>
      <c r="J127" s="21" t="str">
        <f aca="false">IF(B127="","",IF(K127&lt;&gt;"",K127,IFERROR(INDEX(Settings!$C$14:$C$31,MATCH(D127,Settings!$B$14:$B$31,0)),"")))</f>
        <v/>
      </c>
      <c r="K127" s="22"/>
      <c r="L127" s="5"/>
      <c r="M127" s="5"/>
      <c r="N127" s="19"/>
      <c r="O127" s="18"/>
      <c r="P127" s="19"/>
      <c r="Q127" s="23" t="str">
        <f aca="false">IF(B127="","",IF(G127&lt;Settings!$C$6,H127,0))</f>
        <v/>
      </c>
      <c r="R127" s="23" t="str">
        <f aca="false">IF(B127="","",IF(AND(G127&gt;=Settings!$C$6,G127&lt;=Settings!$C$7),H127,0))</f>
        <v/>
      </c>
      <c r="S127" s="23" t="str">
        <f aca="false">IF(B127="","",Q127-N(N127))</f>
        <v/>
      </c>
      <c r="T127" s="21" t="str">
        <f aca="false">IF(B127="","",MAX(0,MIN(Settings!$C$7,IF(AND(O127&lt;&gt;"",O127&lt;=Settings!$C$7),O127-1,Settings!$C$7))-MAX(Settings!$C$6,G127)+1))</f>
        <v/>
      </c>
      <c r="U127" s="24" t="str">
        <f aca="false">IF(OR(B127="",J127=""),"",1-(IF(I127="",Settings!$C$8,I127))^(1/J127))</f>
        <v/>
      </c>
      <c r="V127" s="23" t="str">
        <f aca="false">IF(OR(B127="",J127=""),"",ROUND(MAX(0,MIN(IF(L127="WDV",(S127+R127)*U127,H127*(1-IF(I127="",Settings!$C$8,I127))/J127)*T127/Settings!$C$9,(S127+R127)-H127*IF(I127="",Settings!$C$8,I127))),0))</f>
        <v/>
      </c>
      <c r="W127" s="23" t="str">
        <f aca="false">IF(B127="","",IF(AND(O127&lt;&gt;"",O127&gt;=Settings!$C$6,O127&lt;=Settings!$C$7),H127,0))</f>
        <v/>
      </c>
      <c r="X127" s="23" t="str">
        <f aca="false">IF(B127="","",IF(W127&gt;0,N(N127)+V127,0))</f>
        <v/>
      </c>
      <c r="Y127" s="23" t="str">
        <f aca="false">IF(B127="","",Q127+R127-W127)</f>
        <v/>
      </c>
      <c r="Z127" s="23" t="str">
        <f aca="false">IF(B127="","",N(N127)+N(V127)-X127)</f>
        <v/>
      </c>
      <c r="AA127" s="25" t="str">
        <f aca="false">IF(B127="","",Y127-Z127)</f>
        <v/>
      </c>
      <c r="AB127" s="23" t="str">
        <f aca="false">IF(B127="","",IF(W127&gt;0,N(P127)-(W127-X127),0))</f>
        <v/>
      </c>
      <c r="AC127" s="7" t="str">
        <f aca="false">IF(B127="","",IF(AND(R127&gt;0,Settings!$C$7-G127+1&lt;180),"Yes","No"))</f>
        <v/>
      </c>
    </row>
    <row r="128" customFormat="false" ht="15" hidden="false" customHeight="false" outlineLevel="0" collapsed="false">
      <c r="B128" s="5"/>
      <c r="C128" s="5"/>
      <c r="D128" s="5"/>
      <c r="E128" s="5"/>
      <c r="F128" s="18"/>
      <c r="G128" s="18"/>
      <c r="H128" s="19"/>
      <c r="I128" s="20"/>
      <c r="J128" s="21" t="str">
        <f aca="false">IF(B128="","",IF(K128&lt;&gt;"",K128,IFERROR(INDEX(Settings!$C$14:$C$31,MATCH(D128,Settings!$B$14:$B$31,0)),"")))</f>
        <v/>
      </c>
      <c r="K128" s="22"/>
      <c r="L128" s="5"/>
      <c r="M128" s="5"/>
      <c r="N128" s="19"/>
      <c r="O128" s="18"/>
      <c r="P128" s="19"/>
      <c r="Q128" s="23" t="str">
        <f aca="false">IF(B128="","",IF(G128&lt;Settings!$C$6,H128,0))</f>
        <v/>
      </c>
      <c r="R128" s="23" t="str">
        <f aca="false">IF(B128="","",IF(AND(G128&gt;=Settings!$C$6,G128&lt;=Settings!$C$7),H128,0))</f>
        <v/>
      </c>
      <c r="S128" s="23" t="str">
        <f aca="false">IF(B128="","",Q128-N(N128))</f>
        <v/>
      </c>
      <c r="T128" s="21" t="str">
        <f aca="false">IF(B128="","",MAX(0,MIN(Settings!$C$7,IF(AND(O128&lt;&gt;"",O128&lt;=Settings!$C$7),O128-1,Settings!$C$7))-MAX(Settings!$C$6,G128)+1))</f>
        <v/>
      </c>
      <c r="U128" s="24" t="str">
        <f aca="false">IF(OR(B128="",J128=""),"",1-(IF(I128="",Settings!$C$8,I128))^(1/J128))</f>
        <v/>
      </c>
      <c r="V128" s="23" t="str">
        <f aca="false">IF(OR(B128="",J128=""),"",ROUND(MAX(0,MIN(IF(L128="WDV",(S128+R128)*U128,H128*(1-IF(I128="",Settings!$C$8,I128))/J128)*T128/Settings!$C$9,(S128+R128)-H128*IF(I128="",Settings!$C$8,I128))),0))</f>
        <v/>
      </c>
      <c r="W128" s="23" t="str">
        <f aca="false">IF(B128="","",IF(AND(O128&lt;&gt;"",O128&gt;=Settings!$C$6,O128&lt;=Settings!$C$7),H128,0))</f>
        <v/>
      </c>
      <c r="X128" s="23" t="str">
        <f aca="false">IF(B128="","",IF(W128&gt;0,N(N128)+V128,0))</f>
        <v/>
      </c>
      <c r="Y128" s="23" t="str">
        <f aca="false">IF(B128="","",Q128+R128-W128)</f>
        <v/>
      </c>
      <c r="Z128" s="23" t="str">
        <f aca="false">IF(B128="","",N(N128)+N(V128)-X128)</f>
        <v/>
      </c>
      <c r="AA128" s="25" t="str">
        <f aca="false">IF(B128="","",Y128-Z128)</f>
        <v/>
      </c>
      <c r="AB128" s="23" t="str">
        <f aca="false">IF(B128="","",IF(W128&gt;0,N(P128)-(W128-X128),0))</f>
        <v/>
      </c>
      <c r="AC128" s="7" t="str">
        <f aca="false">IF(B128="","",IF(AND(R128&gt;0,Settings!$C$7-G128+1&lt;180),"Yes","No"))</f>
        <v/>
      </c>
    </row>
    <row r="129" customFormat="false" ht="15" hidden="false" customHeight="false" outlineLevel="0" collapsed="false">
      <c r="B129" s="5"/>
      <c r="C129" s="5"/>
      <c r="D129" s="5"/>
      <c r="E129" s="5"/>
      <c r="F129" s="18"/>
      <c r="G129" s="18"/>
      <c r="H129" s="19"/>
      <c r="I129" s="20"/>
      <c r="J129" s="21" t="str">
        <f aca="false">IF(B129="","",IF(K129&lt;&gt;"",K129,IFERROR(INDEX(Settings!$C$14:$C$31,MATCH(D129,Settings!$B$14:$B$31,0)),"")))</f>
        <v/>
      </c>
      <c r="K129" s="22"/>
      <c r="L129" s="5"/>
      <c r="M129" s="5"/>
      <c r="N129" s="19"/>
      <c r="O129" s="18"/>
      <c r="P129" s="19"/>
      <c r="Q129" s="23" t="str">
        <f aca="false">IF(B129="","",IF(G129&lt;Settings!$C$6,H129,0))</f>
        <v/>
      </c>
      <c r="R129" s="23" t="str">
        <f aca="false">IF(B129="","",IF(AND(G129&gt;=Settings!$C$6,G129&lt;=Settings!$C$7),H129,0))</f>
        <v/>
      </c>
      <c r="S129" s="23" t="str">
        <f aca="false">IF(B129="","",Q129-N(N129))</f>
        <v/>
      </c>
      <c r="T129" s="21" t="str">
        <f aca="false">IF(B129="","",MAX(0,MIN(Settings!$C$7,IF(AND(O129&lt;&gt;"",O129&lt;=Settings!$C$7),O129-1,Settings!$C$7))-MAX(Settings!$C$6,G129)+1))</f>
        <v/>
      </c>
      <c r="U129" s="24" t="str">
        <f aca="false">IF(OR(B129="",J129=""),"",1-(IF(I129="",Settings!$C$8,I129))^(1/J129))</f>
        <v/>
      </c>
      <c r="V129" s="23" t="str">
        <f aca="false">IF(OR(B129="",J129=""),"",ROUND(MAX(0,MIN(IF(L129="WDV",(S129+R129)*U129,H129*(1-IF(I129="",Settings!$C$8,I129))/J129)*T129/Settings!$C$9,(S129+R129)-H129*IF(I129="",Settings!$C$8,I129))),0))</f>
        <v/>
      </c>
      <c r="W129" s="23" t="str">
        <f aca="false">IF(B129="","",IF(AND(O129&lt;&gt;"",O129&gt;=Settings!$C$6,O129&lt;=Settings!$C$7),H129,0))</f>
        <v/>
      </c>
      <c r="X129" s="23" t="str">
        <f aca="false">IF(B129="","",IF(W129&gt;0,N(N129)+V129,0))</f>
        <v/>
      </c>
      <c r="Y129" s="23" t="str">
        <f aca="false">IF(B129="","",Q129+R129-W129)</f>
        <v/>
      </c>
      <c r="Z129" s="23" t="str">
        <f aca="false">IF(B129="","",N(N129)+N(V129)-X129)</f>
        <v/>
      </c>
      <c r="AA129" s="25" t="str">
        <f aca="false">IF(B129="","",Y129-Z129)</f>
        <v/>
      </c>
      <c r="AB129" s="23" t="str">
        <f aca="false">IF(B129="","",IF(W129&gt;0,N(P129)-(W129-X129),0))</f>
        <v/>
      </c>
      <c r="AC129" s="7" t="str">
        <f aca="false">IF(B129="","",IF(AND(R129&gt;0,Settings!$C$7-G129+1&lt;180),"Yes","No"))</f>
        <v/>
      </c>
    </row>
    <row r="130" customFormat="false" ht="15" hidden="false" customHeight="false" outlineLevel="0" collapsed="false">
      <c r="B130" s="5"/>
      <c r="C130" s="5"/>
      <c r="D130" s="5"/>
      <c r="E130" s="5"/>
      <c r="F130" s="18"/>
      <c r="G130" s="18"/>
      <c r="H130" s="19"/>
      <c r="I130" s="20"/>
      <c r="J130" s="21" t="str">
        <f aca="false">IF(B130="","",IF(K130&lt;&gt;"",K130,IFERROR(INDEX(Settings!$C$14:$C$31,MATCH(D130,Settings!$B$14:$B$31,0)),"")))</f>
        <v/>
      </c>
      <c r="K130" s="22"/>
      <c r="L130" s="5"/>
      <c r="M130" s="5"/>
      <c r="N130" s="19"/>
      <c r="O130" s="18"/>
      <c r="P130" s="19"/>
      <c r="Q130" s="23" t="str">
        <f aca="false">IF(B130="","",IF(G130&lt;Settings!$C$6,H130,0))</f>
        <v/>
      </c>
      <c r="R130" s="23" t="str">
        <f aca="false">IF(B130="","",IF(AND(G130&gt;=Settings!$C$6,G130&lt;=Settings!$C$7),H130,0))</f>
        <v/>
      </c>
      <c r="S130" s="23" t="str">
        <f aca="false">IF(B130="","",Q130-N(N130))</f>
        <v/>
      </c>
      <c r="T130" s="21" t="str">
        <f aca="false">IF(B130="","",MAX(0,MIN(Settings!$C$7,IF(AND(O130&lt;&gt;"",O130&lt;=Settings!$C$7),O130-1,Settings!$C$7))-MAX(Settings!$C$6,G130)+1))</f>
        <v/>
      </c>
      <c r="U130" s="24" t="str">
        <f aca="false">IF(OR(B130="",J130=""),"",1-(IF(I130="",Settings!$C$8,I130))^(1/J130))</f>
        <v/>
      </c>
      <c r="V130" s="23" t="str">
        <f aca="false">IF(OR(B130="",J130=""),"",ROUND(MAX(0,MIN(IF(L130="WDV",(S130+R130)*U130,H130*(1-IF(I130="",Settings!$C$8,I130))/J130)*T130/Settings!$C$9,(S130+R130)-H130*IF(I130="",Settings!$C$8,I130))),0))</f>
        <v/>
      </c>
      <c r="W130" s="23" t="str">
        <f aca="false">IF(B130="","",IF(AND(O130&lt;&gt;"",O130&gt;=Settings!$C$6,O130&lt;=Settings!$C$7),H130,0))</f>
        <v/>
      </c>
      <c r="X130" s="23" t="str">
        <f aca="false">IF(B130="","",IF(W130&gt;0,N(N130)+V130,0))</f>
        <v/>
      </c>
      <c r="Y130" s="23" t="str">
        <f aca="false">IF(B130="","",Q130+R130-W130)</f>
        <v/>
      </c>
      <c r="Z130" s="23" t="str">
        <f aca="false">IF(B130="","",N(N130)+N(V130)-X130)</f>
        <v/>
      </c>
      <c r="AA130" s="25" t="str">
        <f aca="false">IF(B130="","",Y130-Z130)</f>
        <v/>
      </c>
      <c r="AB130" s="23" t="str">
        <f aca="false">IF(B130="","",IF(W130&gt;0,N(P130)-(W130-X130),0))</f>
        <v/>
      </c>
      <c r="AC130" s="7" t="str">
        <f aca="false">IF(B130="","",IF(AND(R130&gt;0,Settings!$C$7-G130+1&lt;180),"Yes","No"))</f>
        <v/>
      </c>
    </row>
    <row r="131" customFormat="false" ht="15" hidden="false" customHeight="false" outlineLevel="0" collapsed="false">
      <c r="B131" s="5"/>
      <c r="C131" s="5"/>
      <c r="D131" s="5"/>
      <c r="E131" s="5"/>
      <c r="F131" s="18"/>
      <c r="G131" s="18"/>
      <c r="H131" s="19"/>
      <c r="I131" s="20"/>
      <c r="J131" s="21" t="str">
        <f aca="false">IF(B131="","",IF(K131&lt;&gt;"",K131,IFERROR(INDEX(Settings!$C$14:$C$31,MATCH(D131,Settings!$B$14:$B$31,0)),"")))</f>
        <v/>
      </c>
      <c r="K131" s="22"/>
      <c r="L131" s="5"/>
      <c r="M131" s="5"/>
      <c r="N131" s="19"/>
      <c r="O131" s="18"/>
      <c r="P131" s="19"/>
      <c r="Q131" s="23" t="str">
        <f aca="false">IF(B131="","",IF(G131&lt;Settings!$C$6,H131,0))</f>
        <v/>
      </c>
      <c r="R131" s="23" t="str">
        <f aca="false">IF(B131="","",IF(AND(G131&gt;=Settings!$C$6,G131&lt;=Settings!$C$7),H131,0))</f>
        <v/>
      </c>
      <c r="S131" s="23" t="str">
        <f aca="false">IF(B131="","",Q131-N(N131))</f>
        <v/>
      </c>
      <c r="T131" s="21" t="str">
        <f aca="false">IF(B131="","",MAX(0,MIN(Settings!$C$7,IF(AND(O131&lt;&gt;"",O131&lt;=Settings!$C$7),O131-1,Settings!$C$7))-MAX(Settings!$C$6,G131)+1))</f>
        <v/>
      </c>
      <c r="U131" s="24" t="str">
        <f aca="false">IF(OR(B131="",J131=""),"",1-(IF(I131="",Settings!$C$8,I131))^(1/J131))</f>
        <v/>
      </c>
      <c r="V131" s="23" t="str">
        <f aca="false">IF(OR(B131="",J131=""),"",ROUND(MAX(0,MIN(IF(L131="WDV",(S131+R131)*U131,H131*(1-IF(I131="",Settings!$C$8,I131))/J131)*T131/Settings!$C$9,(S131+R131)-H131*IF(I131="",Settings!$C$8,I131))),0))</f>
        <v/>
      </c>
      <c r="W131" s="23" t="str">
        <f aca="false">IF(B131="","",IF(AND(O131&lt;&gt;"",O131&gt;=Settings!$C$6,O131&lt;=Settings!$C$7),H131,0))</f>
        <v/>
      </c>
      <c r="X131" s="23" t="str">
        <f aca="false">IF(B131="","",IF(W131&gt;0,N(N131)+V131,0))</f>
        <v/>
      </c>
      <c r="Y131" s="23" t="str">
        <f aca="false">IF(B131="","",Q131+R131-W131)</f>
        <v/>
      </c>
      <c r="Z131" s="23" t="str">
        <f aca="false">IF(B131="","",N(N131)+N(V131)-X131)</f>
        <v/>
      </c>
      <c r="AA131" s="25" t="str">
        <f aca="false">IF(B131="","",Y131-Z131)</f>
        <v/>
      </c>
      <c r="AB131" s="23" t="str">
        <f aca="false">IF(B131="","",IF(W131&gt;0,N(P131)-(W131-X131),0))</f>
        <v/>
      </c>
      <c r="AC131" s="7" t="str">
        <f aca="false">IF(B131="","",IF(AND(R131&gt;0,Settings!$C$7-G131+1&lt;180),"Yes","No"))</f>
        <v/>
      </c>
    </row>
    <row r="132" customFormat="false" ht="15" hidden="false" customHeight="false" outlineLevel="0" collapsed="false">
      <c r="B132" s="5"/>
      <c r="C132" s="5"/>
      <c r="D132" s="5"/>
      <c r="E132" s="5"/>
      <c r="F132" s="18"/>
      <c r="G132" s="18"/>
      <c r="H132" s="19"/>
      <c r="I132" s="20"/>
      <c r="J132" s="21" t="str">
        <f aca="false">IF(B132="","",IF(K132&lt;&gt;"",K132,IFERROR(INDEX(Settings!$C$14:$C$31,MATCH(D132,Settings!$B$14:$B$31,0)),"")))</f>
        <v/>
      </c>
      <c r="K132" s="22"/>
      <c r="L132" s="5"/>
      <c r="M132" s="5"/>
      <c r="N132" s="19"/>
      <c r="O132" s="18"/>
      <c r="P132" s="19"/>
      <c r="Q132" s="23" t="str">
        <f aca="false">IF(B132="","",IF(G132&lt;Settings!$C$6,H132,0))</f>
        <v/>
      </c>
      <c r="R132" s="23" t="str">
        <f aca="false">IF(B132="","",IF(AND(G132&gt;=Settings!$C$6,G132&lt;=Settings!$C$7),H132,0))</f>
        <v/>
      </c>
      <c r="S132" s="23" t="str">
        <f aca="false">IF(B132="","",Q132-N(N132))</f>
        <v/>
      </c>
      <c r="T132" s="21" t="str">
        <f aca="false">IF(B132="","",MAX(0,MIN(Settings!$C$7,IF(AND(O132&lt;&gt;"",O132&lt;=Settings!$C$7),O132-1,Settings!$C$7))-MAX(Settings!$C$6,G132)+1))</f>
        <v/>
      </c>
      <c r="U132" s="24" t="str">
        <f aca="false">IF(OR(B132="",J132=""),"",1-(IF(I132="",Settings!$C$8,I132))^(1/J132))</f>
        <v/>
      </c>
      <c r="V132" s="23" t="str">
        <f aca="false">IF(OR(B132="",J132=""),"",ROUND(MAX(0,MIN(IF(L132="WDV",(S132+R132)*U132,H132*(1-IF(I132="",Settings!$C$8,I132))/J132)*T132/Settings!$C$9,(S132+R132)-H132*IF(I132="",Settings!$C$8,I132))),0))</f>
        <v/>
      </c>
      <c r="W132" s="23" t="str">
        <f aca="false">IF(B132="","",IF(AND(O132&lt;&gt;"",O132&gt;=Settings!$C$6,O132&lt;=Settings!$C$7),H132,0))</f>
        <v/>
      </c>
      <c r="X132" s="23" t="str">
        <f aca="false">IF(B132="","",IF(W132&gt;0,N(N132)+V132,0))</f>
        <v/>
      </c>
      <c r="Y132" s="23" t="str">
        <f aca="false">IF(B132="","",Q132+R132-W132)</f>
        <v/>
      </c>
      <c r="Z132" s="23" t="str">
        <f aca="false">IF(B132="","",N(N132)+N(V132)-X132)</f>
        <v/>
      </c>
      <c r="AA132" s="25" t="str">
        <f aca="false">IF(B132="","",Y132-Z132)</f>
        <v/>
      </c>
      <c r="AB132" s="23" t="str">
        <f aca="false">IF(B132="","",IF(W132&gt;0,N(P132)-(W132-X132),0))</f>
        <v/>
      </c>
      <c r="AC132" s="7" t="str">
        <f aca="false">IF(B132="","",IF(AND(R132&gt;0,Settings!$C$7-G132+1&lt;180),"Yes","No"))</f>
        <v/>
      </c>
    </row>
    <row r="133" customFormat="false" ht="15" hidden="false" customHeight="false" outlineLevel="0" collapsed="false">
      <c r="B133" s="5"/>
      <c r="C133" s="5"/>
      <c r="D133" s="5"/>
      <c r="E133" s="5"/>
      <c r="F133" s="18"/>
      <c r="G133" s="18"/>
      <c r="H133" s="19"/>
      <c r="I133" s="20"/>
      <c r="J133" s="21" t="str">
        <f aca="false">IF(B133="","",IF(K133&lt;&gt;"",K133,IFERROR(INDEX(Settings!$C$14:$C$31,MATCH(D133,Settings!$B$14:$B$31,0)),"")))</f>
        <v/>
      </c>
      <c r="K133" s="22"/>
      <c r="L133" s="5"/>
      <c r="M133" s="5"/>
      <c r="N133" s="19"/>
      <c r="O133" s="18"/>
      <c r="P133" s="19"/>
      <c r="Q133" s="23" t="str">
        <f aca="false">IF(B133="","",IF(G133&lt;Settings!$C$6,H133,0))</f>
        <v/>
      </c>
      <c r="R133" s="23" t="str">
        <f aca="false">IF(B133="","",IF(AND(G133&gt;=Settings!$C$6,G133&lt;=Settings!$C$7),H133,0))</f>
        <v/>
      </c>
      <c r="S133" s="23" t="str">
        <f aca="false">IF(B133="","",Q133-N(N133))</f>
        <v/>
      </c>
      <c r="T133" s="21" t="str">
        <f aca="false">IF(B133="","",MAX(0,MIN(Settings!$C$7,IF(AND(O133&lt;&gt;"",O133&lt;=Settings!$C$7),O133-1,Settings!$C$7))-MAX(Settings!$C$6,G133)+1))</f>
        <v/>
      </c>
      <c r="U133" s="24" t="str">
        <f aca="false">IF(OR(B133="",J133=""),"",1-(IF(I133="",Settings!$C$8,I133))^(1/J133))</f>
        <v/>
      </c>
      <c r="V133" s="23" t="str">
        <f aca="false">IF(OR(B133="",J133=""),"",ROUND(MAX(0,MIN(IF(L133="WDV",(S133+R133)*U133,H133*(1-IF(I133="",Settings!$C$8,I133))/J133)*T133/Settings!$C$9,(S133+R133)-H133*IF(I133="",Settings!$C$8,I133))),0))</f>
        <v/>
      </c>
      <c r="W133" s="23" t="str">
        <f aca="false">IF(B133="","",IF(AND(O133&lt;&gt;"",O133&gt;=Settings!$C$6,O133&lt;=Settings!$C$7),H133,0))</f>
        <v/>
      </c>
      <c r="X133" s="23" t="str">
        <f aca="false">IF(B133="","",IF(W133&gt;0,N(N133)+V133,0))</f>
        <v/>
      </c>
      <c r="Y133" s="23" t="str">
        <f aca="false">IF(B133="","",Q133+R133-W133)</f>
        <v/>
      </c>
      <c r="Z133" s="23" t="str">
        <f aca="false">IF(B133="","",N(N133)+N(V133)-X133)</f>
        <v/>
      </c>
      <c r="AA133" s="25" t="str">
        <f aca="false">IF(B133="","",Y133-Z133)</f>
        <v/>
      </c>
      <c r="AB133" s="23" t="str">
        <f aca="false">IF(B133="","",IF(W133&gt;0,N(P133)-(W133-X133),0))</f>
        <v/>
      </c>
      <c r="AC133" s="7" t="str">
        <f aca="false">IF(B133="","",IF(AND(R133&gt;0,Settings!$C$7-G133+1&lt;180),"Yes","No"))</f>
        <v/>
      </c>
    </row>
    <row r="134" customFormat="false" ht="15" hidden="false" customHeight="false" outlineLevel="0" collapsed="false">
      <c r="B134" s="5"/>
      <c r="C134" s="5"/>
      <c r="D134" s="5"/>
      <c r="E134" s="5"/>
      <c r="F134" s="18"/>
      <c r="G134" s="18"/>
      <c r="H134" s="19"/>
      <c r="I134" s="20"/>
      <c r="J134" s="21" t="str">
        <f aca="false">IF(B134="","",IF(K134&lt;&gt;"",K134,IFERROR(INDEX(Settings!$C$14:$C$31,MATCH(D134,Settings!$B$14:$B$31,0)),"")))</f>
        <v/>
      </c>
      <c r="K134" s="22"/>
      <c r="L134" s="5"/>
      <c r="M134" s="5"/>
      <c r="N134" s="19"/>
      <c r="O134" s="18"/>
      <c r="P134" s="19"/>
      <c r="Q134" s="23" t="str">
        <f aca="false">IF(B134="","",IF(G134&lt;Settings!$C$6,H134,0))</f>
        <v/>
      </c>
      <c r="R134" s="23" t="str">
        <f aca="false">IF(B134="","",IF(AND(G134&gt;=Settings!$C$6,G134&lt;=Settings!$C$7),H134,0))</f>
        <v/>
      </c>
      <c r="S134" s="23" t="str">
        <f aca="false">IF(B134="","",Q134-N(N134))</f>
        <v/>
      </c>
      <c r="T134" s="21" t="str">
        <f aca="false">IF(B134="","",MAX(0,MIN(Settings!$C$7,IF(AND(O134&lt;&gt;"",O134&lt;=Settings!$C$7),O134-1,Settings!$C$7))-MAX(Settings!$C$6,G134)+1))</f>
        <v/>
      </c>
      <c r="U134" s="24" t="str">
        <f aca="false">IF(OR(B134="",J134=""),"",1-(IF(I134="",Settings!$C$8,I134))^(1/J134))</f>
        <v/>
      </c>
      <c r="V134" s="23" t="str">
        <f aca="false">IF(OR(B134="",J134=""),"",ROUND(MAX(0,MIN(IF(L134="WDV",(S134+R134)*U134,H134*(1-IF(I134="",Settings!$C$8,I134))/J134)*T134/Settings!$C$9,(S134+R134)-H134*IF(I134="",Settings!$C$8,I134))),0))</f>
        <v/>
      </c>
      <c r="W134" s="23" t="str">
        <f aca="false">IF(B134="","",IF(AND(O134&lt;&gt;"",O134&gt;=Settings!$C$6,O134&lt;=Settings!$C$7),H134,0))</f>
        <v/>
      </c>
      <c r="X134" s="23" t="str">
        <f aca="false">IF(B134="","",IF(W134&gt;0,N(N134)+V134,0))</f>
        <v/>
      </c>
      <c r="Y134" s="23" t="str">
        <f aca="false">IF(B134="","",Q134+R134-W134)</f>
        <v/>
      </c>
      <c r="Z134" s="23" t="str">
        <f aca="false">IF(B134="","",N(N134)+N(V134)-X134)</f>
        <v/>
      </c>
      <c r="AA134" s="25" t="str">
        <f aca="false">IF(B134="","",Y134-Z134)</f>
        <v/>
      </c>
      <c r="AB134" s="23" t="str">
        <f aca="false">IF(B134="","",IF(W134&gt;0,N(P134)-(W134-X134),0))</f>
        <v/>
      </c>
      <c r="AC134" s="7" t="str">
        <f aca="false">IF(B134="","",IF(AND(R134&gt;0,Settings!$C$7-G134+1&lt;180),"Yes","No"))</f>
        <v/>
      </c>
    </row>
    <row r="135" customFormat="false" ht="15" hidden="false" customHeight="false" outlineLevel="0" collapsed="false">
      <c r="B135" s="5"/>
      <c r="C135" s="5"/>
      <c r="D135" s="5"/>
      <c r="E135" s="5"/>
      <c r="F135" s="18"/>
      <c r="G135" s="18"/>
      <c r="H135" s="19"/>
      <c r="I135" s="20"/>
      <c r="J135" s="21" t="str">
        <f aca="false">IF(B135="","",IF(K135&lt;&gt;"",K135,IFERROR(INDEX(Settings!$C$14:$C$31,MATCH(D135,Settings!$B$14:$B$31,0)),"")))</f>
        <v/>
      </c>
      <c r="K135" s="22"/>
      <c r="L135" s="5"/>
      <c r="M135" s="5"/>
      <c r="N135" s="19"/>
      <c r="O135" s="18"/>
      <c r="P135" s="19"/>
      <c r="Q135" s="23" t="str">
        <f aca="false">IF(B135="","",IF(G135&lt;Settings!$C$6,H135,0))</f>
        <v/>
      </c>
      <c r="R135" s="23" t="str">
        <f aca="false">IF(B135="","",IF(AND(G135&gt;=Settings!$C$6,G135&lt;=Settings!$C$7),H135,0))</f>
        <v/>
      </c>
      <c r="S135" s="23" t="str">
        <f aca="false">IF(B135="","",Q135-N(N135))</f>
        <v/>
      </c>
      <c r="T135" s="21" t="str">
        <f aca="false">IF(B135="","",MAX(0,MIN(Settings!$C$7,IF(AND(O135&lt;&gt;"",O135&lt;=Settings!$C$7),O135-1,Settings!$C$7))-MAX(Settings!$C$6,G135)+1))</f>
        <v/>
      </c>
      <c r="U135" s="24" t="str">
        <f aca="false">IF(OR(B135="",J135=""),"",1-(IF(I135="",Settings!$C$8,I135))^(1/J135))</f>
        <v/>
      </c>
      <c r="V135" s="23" t="str">
        <f aca="false">IF(OR(B135="",J135=""),"",ROUND(MAX(0,MIN(IF(L135="WDV",(S135+R135)*U135,H135*(1-IF(I135="",Settings!$C$8,I135))/J135)*T135/Settings!$C$9,(S135+R135)-H135*IF(I135="",Settings!$C$8,I135))),0))</f>
        <v/>
      </c>
      <c r="W135" s="23" t="str">
        <f aca="false">IF(B135="","",IF(AND(O135&lt;&gt;"",O135&gt;=Settings!$C$6,O135&lt;=Settings!$C$7),H135,0))</f>
        <v/>
      </c>
      <c r="X135" s="23" t="str">
        <f aca="false">IF(B135="","",IF(W135&gt;0,N(N135)+V135,0))</f>
        <v/>
      </c>
      <c r="Y135" s="23" t="str">
        <f aca="false">IF(B135="","",Q135+R135-W135)</f>
        <v/>
      </c>
      <c r="Z135" s="23" t="str">
        <f aca="false">IF(B135="","",N(N135)+N(V135)-X135)</f>
        <v/>
      </c>
      <c r="AA135" s="25" t="str">
        <f aca="false">IF(B135="","",Y135-Z135)</f>
        <v/>
      </c>
      <c r="AB135" s="23" t="str">
        <f aca="false">IF(B135="","",IF(W135&gt;0,N(P135)-(W135-X135),0))</f>
        <v/>
      </c>
      <c r="AC135" s="7" t="str">
        <f aca="false">IF(B135="","",IF(AND(R135&gt;0,Settings!$C$7-G135+1&lt;180),"Yes","No"))</f>
        <v/>
      </c>
    </row>
    <row r="136" customFormat="false" ht="15" hidden="false" customHeight="false" outlineLevel="0" collapsed="false">
      <c r="B136" s="5"/>
      <c r="C136" s="5"/>
      <c r="D136" s="5"/>
      <c r="E136" s="5"/>
      <c r="F136" s="18"/>
      <c r="G136" s="18"/>
      <c r="H136" s="19"/>
      <c r="I136" s="20"/>
      <c r="J136" s="21" t="str">
        <f aca="false">IF(B136="","",IF(K136&lt;&gt;"",K136,IFERROR(INDEX(Settings!$C$14:$C$31,MATCH(D136,Settings!$B$14:$B$31,0)),"")))</f>
        <v/>
      </c>
      <c r="K136" s="22"/>
      <c r="L136" s="5"/>
      <c r="M136" s="5"/>
      <c r="N136" s="19"/>
      <c r="O136" s="18"/>
      <c r="P136" s="19"/>
      <c r="Q136" s="23" t="str">
        <f aca="false">IF(B136="","",IF(G136&lt;Settings!$C$6,H136,0))</f>
        <v/>
      </c>
      <c r="R136" s="23" t="str">
        <f aca="false">IF(B136="","",IF(AND(G136&gt;=Settings!$C$6,G136&lt;=Settings!$C$7),H136,0))</f>
        <v/>
      </c>
      <c r="S136" s="23" t="str">
        <f aca="false">IF(B136="","",Q136-N(N136))</f>
        <v/>
      </c>
      <c r="T136" s="21" t="str">
        <f aca="false">IF(B136="","",MAX(0,MIN(Settings!$C$7,IF(AND(O136&lt;&gt;"",O136&lt;=Settings!$C$7),O136-1,Settings!$C$7))-MAX(Settings!$C$6,G136)+1))</f>
        <v/>
      </c>
      <c r="U136" s="24" t="str">
        <f aca="false">IF(OR(B136="",J136=""),"",1-(IF(I136="",Settings!$C$8,I136))^(1/J136))</f>
        <v/>
      </c>
      <c r="V136" s="23" t="str">
        <f aca="false">IF(OR(B136="",J136=""),"",ROUND(MAX(0,MIN(IF(L136="WDV",(S136+R136)*U136,H136*(1-IF(I136="",Settings!$C$8,I136))/J136)*T136/Settings!$C$9,(S136+R136)-H136*IF(I136="",Settings!$C$8,I136))),0))</f>
        <v/>
      </c>
      <c r="W136" s="23" t="str">
        <f aca="false">IF(B136="","",IF(AND(O136&lt;&gt;"",O136&gt;=Settings!$C$6,O136&lt;=Settings!$C$7),H136,0))</f>
        <v/>
      </c>
      <c r="X136" s="23" t="str">
        <f aca="false">IF(B136="","",IF(W136&gt;0,N(N136)+V136,0))</f>
        <v/>
      </c>
      <c r="Y136" s="23" t="str">
        <f aca="false">IF(B136="","",Q136+R136-W136)</f>
        <v/>
      </c>
      <c r="Z136" s="23" t="str">
        <f aca="false">IF(B136="","",N(N136)+N(V136)-X136)</f>
        <v/>
      </c>
      <c r="AA136" s="25" t="str">
        <f aca="false">IF(B136="","",Y136-Z136)</f>
        <v/>
      </c>
      <c r="AB136" s="23" t="str">
        <f aca="false">IF(B136="","",IF(W136&gt;0,N(P136)-(W136-X136),0))</f>
        <v/>
      </c>
      <c r="AC136" s="7" t="str">
        <f aca="false">IF(B136="","",IF(AND(R136&gt;0,Settings!$C$7-G136+1&lt;180),"Yes","No"))</f>
        <v/>
      </c>
    </row>
    <row r="137" customFormat="false" ht="15" hidden="false" customHeight="false" outlineLevel="0" collapsed="false">
      <c r="B137" s="5"/>
      <c r="C137" s="5"/>
      <c r="D137" s="5"/>
      <c r="E137" s="5"/>
      <c r="F137" s="18"/>
      <c r="G137" s="18"/>
      <c r="H137" s="19"/>
      <c r="I137" s="20"/>
      <c r="J137" s="21" t="str">
        <f aca="false">IF(B137="","",IF(K137&lt;&gt;"",K137,IFERROR(INDEX(Settings!$C$14:$C$31,MATCH(D137,Settings!$B$14:$B$31,0)),"")))</f>
        <v/>
      </c>
      <c r="K137" s="22"/>
      <c r="L137" s="5"/>
      <c r="M137" s="5"/>
      <c r="N137" s="19"/>
      <c r="O137" s="18"/>
      <c r="P137" s="19"/>
      <c r="Q137" s="23" t="str">
        <f aca="false">IF(B137="","",IF(G137&lt;Settings!$C$6,H137,0))</f>
        <v/>
      </c>
      <c r="R137" s="23" t="str">
        <f aca="false">IF(B137="","",IF(AND(G137&gt;=Settings!$C$6,G137&lt;=Settings!$C$7),H137,0))</f>
        <v/>
      </c>
      <c r="S137" s="23" t="str">
        <f aca="false">IF(B137="","",Q137-N(N137))</f>
        <v/>
      </c>
      <c r="T137" s="21" t="str">
        <f aca="false">IF(B137="","",MAX(0,MIN(Settings!$C$7,IF(AND(O137&lt;&gt;"",O137&lt;=Settings!$C$7),O137-1,Settings!$C$7))-MAX(Settings!$C$6,G137)+1))</f>
        <v/>
      </c>
      <c r="U137" s="24" t="str">
        <f aca="false">IF(OR(B137="",J137=""),"",1-(IF(I137="",Settings!$C$8,I137))^(1/J137))</f>
        <v/>
      </c>
      <c r="V137" s="23" t="str">
        <f aca="false">IF(OR(B137="",J137=""),"",ROUND(MAX(0,MIN(IF(L137="WDV",(S137+R137)*U137,H137*(1-IF(I137="",Settings!$C$8,I137))/J137)*T137/Settings!$C$9,(S137+R137)-H137*IF(I137="",Settings!$C$8,I137))),0))</f>
        <v/>
      </c>
      <c r="W137" s="23" t="str">
        <f aca="false">IF(B137="","",IF(AND(O137&lt;&gt;"",O137&gt;=Settings!$C$6,O137&lt;=Settings!$C$7),H137,0))</f>
        <v/>
      </c>
      <c r="X137" s="23" t="str">
        <f aca="false">IF(B137="","",IF(W137&gt;0,N(N137)+V137,0))</f>
        <v/>
      </c>
      <c r="Y137" s="23" t="str">
        <f aca="false">IF(B137="","",Q137+R137-W137)</f>
        <v/>
      </c>
      <c r="Z137" s="23" t="str">
        <f aca="false">IF(B137="","",N(N137)+N(V137)-X137)</f>
        <v/>
      </c>
      <c r="AA137" s="25" t="str">
        <f aca="false">IF(B137="","",Y137-Z137)</f>
        <v/>
      </c>
      <c r="AB137" s="23" t="str">
        <f aca="false">IF(B137="","",IF(W137&gt;0,N(P137)-(W137-X137),0))</f>
        <v/>
      </c>
      <c r="AC137" s="7" t="str">
        <f aca="false">IF(B137="","",IF(AND(R137&gt;0,Settings!$C$7-G137+1&lt;180),"Yes","No"))</f>
        <v/>
      </c>
    </row>
    <row r="138" customFormat="false" ht="15" hidden="false" customHeight="false" outlineLevel="0" collapsed="false">
      <c r="B138" s="5"/>
      <c r="C138" s="5"/>
      <c r="D138" s="5"/>
      <c r="E138" s="5"/>
      <c r="F138" s="18"/>
      <c r="G138" s="18"/>
      <c r="H138" s="19"/>
      <c r="I138" s="20"/>
      <c r="J138" s="21" t="str">
        <f aca="false">IF(B138="","",IF(K138&lt;&gt;"",K138,IFERROR(INDEX(Settings!$C$14:$C$31,MATCH(D138,Settings!$B$14:$B$31,0)),"")))</f>
        <v/>
      </c>
      <c r="K138" s="22"/>
      <c r="L138" s="5"/>
      <c r="M138" s="5"/>
      <c r="N138" s="19"/>
      <c r="O138" s="18"/>
      <c r="P138" s="19"/>
      <c r="Q138" s="23" t="str">
        <f aca="false">IF(B138="","",IF(G138&lt;Settings!$C$6,H138,0))</f>
        <v/>
      </c>
      <c r="R138" s="23" t="str">
        <f aca="false">IF(B138="","",IF(AND(G138&gt;=Settings!$C$6,G138&lt;=Settings!$C$7),H138,0))</f>
        <v/>
      </c>
      <c r="S138" s="23" t="str">
        <f aca="false">IF(B138="","",Q138-N(N138))</f>
        <v/>
      </c>
      <c r="T138" s="21" t="str">
        <f aca="false">IF(B138="","",MAX(0,MIN(Settings!$C$7,IF(AND(O138&lt;&gt;"",O138&lt;=Settings!$C$7),O138-1,Settings!$C$7))-MAX(Settings!$C$6,G138)+1))</f>
        <v/>
      </c>
      <c r="U138" s="24" t="str">
        <f aca="false">IF(OR(B138="",J138=""),"",1-(IF(I138="",Settings!$C$8,I138))^(1/J138))</f>
        <v/>
      </c>
      <c r="V138" s="23" t="str">
        <f aca="false">IF(OR(B138="",J138=""),"",ROUND(MAX(0,MIN(IF(L138="WDV",(S138+R138)*U138,H138*(1-IF(I138="",Settings!$C$8,I138))/J138)*T138/Settings!$C$9,(S138+R138)-H138*IF(I138="",Settings!$C$8,I138))),0))</f>
        <v/>
      </c>
      <c r="W138" s="23" t="str">
        <f aca="false">IF(B138="","",IF(AND(O138&lt;&gt;"",O138&gt;=Settings!$C$6,O138&lt;=Settings!$C$7),H138,0))</f>
        <v/>
      </c>
      <c r="X138" s="23" t="str">
        <f aca="false">IF(B138="","",IF(W138&gt;0,N(N138)+V138,0))</f>
        <v/>
      </c>
      <c r="Y138" s="23" t="str">
        <f aca="false">IF(B138="","",Q138+R138-W138)</f>
        <v/>
      </c>
      <c r="Z138" s="23" t="str">
        <f aca="false">IF(B138="","",N(N138)+N(V138)-X138)</f>
        <v/>
      </c>
      <c r="AA138" s="25" t="str">
        <f aca="false">IF(B138="","",Y138-Z138)</f>
        <v/>
      </c>
      <c r="AB138" s="23" t="str">
        <f aca="false">IF(B138="","",IF(W138&gt;0,N(P138)-(W138-X138),0))</f>
        <v/>
      </c>
      <c r="AC138" s="7" t="str">
        <f aca="false">IF(B138="","",IF(AND(R138&gt;0,Settings!$C$7-G138+1&lt;180),"Yes","No"))</f>
        <v/>
      </c>
    </row>
    <row r="139" customFormat="false" ht="15" hidden="false" customHeight="false" outlineLevel="0" collapsed="false">
      <c r="B139" s="5"/>
      <c r="C139" s="5"/>
      <c r="D139" s="5"/>
      <c r="E139" s="5"/>
      <c r="F139" s="18"/>
      <c r="G139" s="18"/>
      <c r="H139" s="19"/>
      <c r="I139" s="20"/>
      <c r="J139" s="21" t="str">
        <f aca="false">IF(B139="","",IF(K139&lt;&gt;"",K139,IFERROR(INDEX(Settings!$C$14:$C$31,MATCH(D139,Settings!$B$14:$B$31,0)),"")))</f>
        <v/>
      </c>
      <c r="K139" s="22"/>
      <c r="L139" s="5"/>
      <c r="M139" s="5"/>
      <c r="N139" s="19"/>
      <c r="O139" s="18"/>
      <c r="P139" s="19"/>
      <c r="Q139" s="23" t="str">
        <f aca="false">IF(B139="","",IF(G139&lt;Settings!$C$6,H139,0))</f>
        <v/>
      </c>
      <c r="R139" s="23" t="str">
        <f aca="false">IF(B139="","",IF(AND(G139&gt;=Settings!$C$6,G139&lt;=Settings!$C$7),H139,0))</f>
        <v/>
      </c>
      <c r="S139" s="23" t="str">
        <f aca="false">IF(B139="","",Q139-N(N139))</f>
        <v/>
      </c>
      <c r="T139" s="21" t="str">
        <f aca="false">IF(B139="","",MAX(0,MIN(Settings!$C$7,IF(AND(O139&lt;&gt;"",O139&lt;=Settings!$C$7),O139-1,Settings!$C$7))-MAX(Settings!$C$6,G139)+1))</f>
        <v/>
      </c>
      <c r="U139" s="24" t="str">
        <f aca="false">IF(OR(B139="",J139=""),"",1-(IF(I139="",Settings!$C$8,I139))^(1/J139))</f>
        <v/>
      </c>
      <c r="V139" s="23" t="str">
        <f aca="false">IF(OR(B139="",J139=""),"",ROUND(MAX(0,MIN(IF(L139="WDV",(S139+R139)*U139,H139*(1-IF(I139="",Settings!$C$8,I139))/J139)*T139/Settings!$C$9,(S139+R139)-H139*IF(I139="",Settings!$C$8,I139))),0))</f>
        <v/>
      </c>
      <c r="W139" s="23" t="str">
        <f aca="false">IF(B139="","",IF(AND(O139&lt;&gt;"",O139&gt;=Settings!$C$6,O139&lt;=Settings!$C$7),H139,0))</f>
        <v/>
      </c>
      <c r="X139" s="23" t="str">
        <f aca="false">IF(B139="","",IF(W139&gt;0,N(N139)+V139,0))</f>
        <v/>
      </c>
      <c r="Y139" s="23" t="str">
        <f aca="false">IF(B139="","",Q139+R139-W139)</f>
        <v/>
      </c>
      <c r="Z139" s="23" t="str">
        <f aca="false">IF(B139="","",N(N139)+N(V139)-X139)</f>
        <v/>
      </c>
      <c r="AA139" s="25" t="str">
        <f aca="false">IF(B139="","",Y139-Z139)</f>
        <v/>
      </c>
      <c r="AB139" s="23" t="str">
        <f aca="false">IF(B139="","",IF(W139&gt;0,N(P139)-(W139-X139),0))</f>
        <v/>
      </c>
      <c r="AC139" s="7" t="str">
        <f aca="false">IF(B139="","",IF(AND(R139&gt;0,Settings!$C$7-G139+1&lt;180),"Yes","No"))</f>
        <v/>
      </c>
    </row>
    <row r="140" customFormat="false" ht="15" hidden="false" customHeight="false" outlineLevel="0" collapsed="false">
      <c r="B140" s="5"/>
      <c r="C140" s="5"/>
      <c r="D140" s="5"/>
      <c r="E140" s="5"/>
      <c r="F140" s="18"/>
      <c r="G140" s="18"/>
      <c r="H140" s="19"/>
      <c r="I140" s="20"/>
      <c r="J140" s="21" t="str">
        <f aca="false">IF(B140="","",IF(K140&lt;&gt;"",K140,IFERROR(INDEX(Settings!$C$14:$C$31,MATCH(D140,Settings!$B$14:$B$31,0)),"")))</f>
        <v/>
      </c>
      <c r="K140" s="22"/>
      <c r="L140" s="5"/>
      <c r="M140" s="5"/>
      <c r="N140" s="19"/>
      <c r="O140" s="18"/>
      <c r="P140" s="19"/>
      <c r="Q140" s="23" t="str">
        <f aca="false">IF(B140="","",IF(G140&lt;Settings!$C$6,H140,0))</f>
        <v/>
      </c>
      <c r="R140" s="23" t="str">
        <f aca="false">IF(B140="","",IF(AND(G140&gt;=Settings!$C$6,G140&lt;=Settings!$C$7),H140,0))</f>
        <v/>
      </c>
      <c r="S140" s="23" t="str">
        <f aca="false">IF(B140="","",Q140-N(N140))</f>
        <v/>
      </c>
      <c r="T140" s="21" t="str">
        <f aca="false">IF(B140="","",MAX(0,MIN(Settings!$C$7,IF(AND(O140&lt;&gt;"",O140&lt;=Settings!$C$7),O140-1,Settings!$C$7))-MAX(Settings!$C$6,G140)+1))</f>
        <v/>
      </c>
      <c r="U140" s="24" t="str">
        <f aca="false">IF(OR(B140="",J140=""),"",1-(IF(I140="",Settings!$C$8,I140))^(1/J140))</f>
        <v/>
      </c>
      <c r="V140" s="23" t="str">
        <f aca="false">IF(OR(B140="",J140=""),"",ROUND(MAX(0,MIN(IF(L140="WDV",(S140+R140)*U140,H140*(1-IF(I140="",Settings!$C$8,I140))/J140)*T140/Settings!$C$9,(S140+R140)-H140*IF(I140="",Settings!$C$8,I140))),0))</f>
        <v/>
      </c>
      <c r="W140" s="23" t="str">
        <f aca="false">IF(B140="","",IF(AND(O140&lt;&gt;"",O140&gt;=Settings!$C$6,O140&lt;=Settings!$C$7),H140,0))</f>
        <v/>
      </c>
      <c r="X140" s="23" t="str">
        <f aca="false">IF(B140="","",IF(W140&gt;0,N(N140)+V140,0))</f>
        <v/>
      </c>
      <c r="Y140" s="23" t="str">
        <f aca="false">IF(B140="","",Q140+R140-W140)</f>
        <v/>
      </c>
      <c r="Z140" s="23" t="str">
        <f aca="false">IF(B140="","",N(N140)+N(V140)-X140)</f>
        <v/>
      </c>
      <c r="AA140" s="25" t="str">
        <f aca="false">IF(B140="","",Y140-Z140)</f>
        <v/>
      </c>
      <c r="AB140" s="23" t="str">
        <f aca="false">IF(B140="","",IF(W140&gt;0,N(P140)-(W140-X140),0))</f>
        <v/>
      </c>
      <c r="AC140" s="7" t="str">
        <f aca="false">IF(B140="","",IF(AND(R140&gt;0,Settings!$C$7-G140+1&lt;180),"Yes","No"))</f>
        <v/>
      </c>
    </row>
    <row r="141" customFormat="false" ht="15" hidden="false" customHeight="false" outlineLevel="0" collapsed="false">
      <c r="B141" s="5"/>
      <c r="C141" s="5"/>
      <c r="D141" s="5"/>
      <c r="E141" s="5"/>
      <c r="F141" s="18"/>
      <c r="G141" s="18"/>
      <c r="H141" s="19"/>
      <c r="I141" s="20"/>
      <c r="J141" s="21" t="str">
        <f aca="false">IF(B141="","",IF(K141&lt;&gt;"",K141,IFERROR(INDEX(Settings!$C$14:$C$31,MATCH(D141,Settings!$B$14:$B$31,0)),"")))</f>
        <v/>
      </c>
      <c r="K141" s="22"/>
      <c r="L141" s="5"/>
      <c r="M141" s="5"/>
      <c r="N141" s="19"/>
      <c r="O141" s="18"/>
      <c r="P141" s="19"/>
      <c r="Q141" s="23" t="str">
        <f aca="false">IF(B141="","",IF(G141&lt;Settings!$C$6,H141,0))</f>
        <v/>
      </c>
      <c r="R141" s="23" t="str">
        <f aca="false">IF(B141="","",IF(AND(G141&gt;=Settings!$C$6,G141&lt;=Settings!$C$7),H141,0))</f>
        <v/>
      </c>
      <c r="S141" s="23" t="str">
        <f aca="false">IF(B141="","",Q141-N(N141))</f>
        <v/>
      </c>
      <c r="T141" s="21" t="str">
        <f aca="false">IF(B141="","",MAX(0,MIN(Settings!$C$7,IF(AND(O141&lt;&gt;"",O141&lt;=Settings!$C$7),O141-1,Settings!$C$7))-MAX(Settings!$C$6,G141)+1))</f>
        <v/>
      </c>
      <c r="U141" s="24" t="str">
        <f aca="false">IF(OR(B141="",J141=""),"",1-(IF(I141="",Settings!$C$8,I141))^(1/J141))</f>
        <v/>
      </c>
      <c r="V141" s="23" t="str">
        <f aca="false">IF(OR(B141="",J141=""),"",ROUND(MAX(0,MIN(IF(L141="WDV",(S141+R141)*U141,H141*(1-IF(I141="",Settings!$C$8,I141))/J141)*T141/Settings!$C$9,(S141+R141)-H141*IF(I141="",Settings!$C$8,I141))),0))</f>
        <v/>
      </c>
      <c r="W141" s="23" t="str">
        <f aca="false">IF(B141="","",IF(AND(O141&lt;&gt;"",O141&gt;=Settings!$C$6,O141&lt;=Settings!$C$7),H141,0))</f>
        <v/>
      </c>
      <c r="X141" s="23" t="str">
        <f aca="false">IF(B141="","",IF(W141&gt;0,N(N141)+V141,0))</f>
        <v/>
      </c>
      <c r="Y141" s="23" t="str">
        <f aca="false">IF(B141="","",Q141+R141-W141)</f>
        <v/>
      </c>
      <c r="Z141" s="23" t="str">
        <f aca="false">IF(B141="","",N(N141)+N(V141)-X141)</f>
        <v/>
      </c>
      <c r="AA141" s="25" t="str">
        <f aca="false">IF(B141="","",Y141-Z141)</f>
        <v/>
      </c>
      <c r="AB141" s="23" t="str">
        <f aca="false">IF(B141="","",IF(W141&gt;0,N(P141)-(W141-X141),0))</f>
        <v/>
      </c>
      <c r="AC141" s="7" t="str">
        <f aca="false">IF(B141="","",IF(AND(R141&gt;0,Settings!$C$7-G141+1&lt;180),"Yes","No"))</f>
        <v/>
      </c>
    </row>
    <row r="142" customFormat="false" ht="15" hidden="false" customHeight="false" outlineLevel="0" collapsed="false">
      <c r="B142" s="5"/>
      <c r="C142" s="5"/>
      <c r="D142" s="5"/>
      <c r="E142" s="5"/>
      <c r="F142" s="18"/>
      <c r="G142" s="18"/>
      <c r="H142" s="19"/>
      <c r="I142" s="20"/>
      <c r="J142" s="21" t="str">
        <f aca="false">IF(B142="","",IF(K142&lt;&gt;"",K142,IFERROR(INDEX(Settings!$C$14:$C$31,MATCH(D142,Settings!$B$14:$B$31,0)),"")))</f>
        <v/>
      </c>
      <c r="K142" s="22"/>
      <c r="L142" s="5"/>
      <c r="M142" s="5"/>
      <c r="N142" s="19"/>
      <c r="O142" s="18"/>
      <c r="P142" s="19"/>
      <c r="Q142" s="23" t="str">
        <f aca="false">IF(B142="","",IF(G142&lt;Settings!$C$6,H142,0))</f>
        <v/>
      </c>
      <c r="R142" s="23" t="str">
        <f aca="false">IF(B142="","",IF(AND(G142&gt;=Settings!$C$6,G142&lt;=Settings!$C$7),H142,0))</f>
        <v/>
      </c>
      <c r="S142" s="23" t="str">
        <f aca="false">IF(B142="","",Q142-N(N142))</f>
        <v/>
      </c>
      <c r="T142" s="21" t="str">
        <f aca="false">IF(B142="","",MAX(0,MIN(Settings!$C$7,IF(AND(O142&lt;&gt;"",O142&lt;=Settings!$C$7),O142-1,Settings!$C$7))-MAX(Settings!$C$6,G142)+1))</f>
        <v/>
      </c>
      <c r="U142" s="24" t="str">
        <f aca="false">IF(OR(B142="",J142=""),"",1-(IF(I142="",Settings!$C$8,I142))^(1/J142))</f>
        <v/>
      </c>
      <c r="V142" s="23" t="str">
        <f aca="false">IF(OR(B142="",J142=""),"",ROUND(MAX(0,MIN(IF(L142="WDV",(S142+R142)*U142,H142*(1-IF(I142="",Settings!$C$8,I142))/J142)*T142/Settings!$C$9,(S142+R142)-H142*IF(I142="",Settings!$C$8,I142))),0))</f>
        <v/>
      </c>
      <c r="W142" s="23" t="str">
        <f aca="false">IF(B142="","",IF(AND(O142&lt;&gt;"",O142&gt;=Settings!$C$6,O142&lt;=Settings!$C$7),H142,0))</f>
        <v/>
      </c>
      <c r="X142" s="23" t="str">
        <f aca="false">IF(B142="","",IF(W142&gt;0,N(N142)+V142,0))</f>
        <v/>
      </c>
      <c r="Y142" s="23" t="str">
        <f aca="false">IF(B142="","",Q142+R142-W142)</f>
        <v/>
      </c>
      <c r="Z142" s="23" t="str">
        <f aca="false">IF(B142="","",N(N142)+N(V142)-X142)</f>
        <v/>
      </c>
      <c r="AA142" s="25" t="str">
        <f aca="false">IF(B142="","",Y142-Z142)</f>
        <v/>
      </c>
      <c r="AB142" s="23" t="str">
        <f aca="false">IF(B142="","",IF(W142&gt;0,N(P142)-(W142-X142),0))</f>
        <v/>
      </c>
      <c r="AC142" s="7" t="str">
        <f aca="false">IF(B142="","",IF(AND(R142&gt;0,Settings!$C$7-G142+1&lt;180),"Yes","No"))</f>
        <v/>
      </c>
    </row>
    <row r="143" customFormat="false" ht="15" hidden="false" customHeight="false" outlineLevel="0" collapsed="false">
      <c r="B143" s="5"/>
      <c r="C143" s="5"/>
      <c r="D143" s="5"/>
      <c r="E143" s="5"/>
      <c r="F143" s="18"/>
      <c r="G143" s="18"/>
      <c r="H143" s="19"/>
      <c r="I143" s="20"/>
      <c r="J143" s="21" t="str">
        <f aca="false">IF(B143="","",IF(K143&lt;&gt;"",K143,IFERROR(INDEX(Settings!$C$14:$C$31,MATCH(D143,Settings!$B$14:$B$31,0)),"")))</f>
        <v/>
      </c>
      <c r="K143" s="22"/>
      <c r="L143" s="5"/>
      <c r="M143" s="5"/>
      <c r="N143" s="19"/>
      <c r="O143" s="18"/>
      <c r="P143" s="19"/>
      <c r="Q143" s="23" t="str">
        <f aca="false">IF(B143="","",IF(G143&lt;Settings!$C$6,H143,0))</f>
        <v/>
      </c>
      <c r="R143" s="23" t="str">
        <f aca="false">IF(B143="","",IF(AND(G143&gt;=Settings!$C$6,G143&lt;=Settings!$C$7),H143,0))</f>
        <v/>
      </c>
      <c r="S143" s="23" t="str">
        <f aca="false">IF(B143="","",Q143-N(N143))</f>
        <v/>
      </c>
      <c r="T143" s="21" t="str">
        <f aca="false">IF(B143="","",MAX(0,MIN(Settings!$C$7,IF(AND(O143&lt;&gt;"",O143&lt;=Settings!$C$7),O143-1,Settings!$C$7))-MAX(Settings!$C$6,G143)+1))</f>
        <v/>
      </c>
      <c r="U143" s="24" t="str">
        <f aca="false">IF(OR(B143="",J143=""),"",1-(IF(I143="",Settings!$C$8,I143))^(1/J143))</f>
        <v/>
      </c>
      <c r="V143" s="23" t="str">
        <f aca="false">IF(OR(B143="",J143=""),"",ROUND(MAX(0,MIN(IF(L143="WDV",(S143+R143)*U143,H143*(1-IF(I143="",Settings!$C$8,I143))/J143)*T143/Settings!$C$9,(S143+R143)-H143*IF(I143="",Settings!$C$8,I143))),0))</f>
        <v/>
      </c>
      <c r="W143" s="23" t="str">
        <f aca="false">IF(B143="","",IF(AND(O143&lt;&gt;"",O143&gt;=Settings!$C$6,O143&lt;=Settings!$C$7),H143,0))</f>
        <v/>
      </c>
      <c r="X143" s="23" t="str">
        <f aca="false">IF(B143="","",IF(W143&gt;0,N(N143)+V143,0))</f>
        <v/>
      </c>
      <c r="Y143" s="23" t="str">
        <f aca="false">IF(B143="","",Q143+R143-W143)</f>
        <v/>
      </c>
      <c r="Z143" s="23" t="str">
        <f aca="false">IF(B143="","",N(N143)+N(V143)-X143)</f>
        <v/>
      </c>
      <c r="AA143" s="25" t="str">
        <f aca="false">IF(B143="","",Y143-Z143)</f>
        <v/>
      </c>
      <c r="AB143" s="23" t="str">
        <f aca="false">IF(B143="","",IF(W143&gt;0,N(P143)-(W143-X143),0))</f>
        <v/>
      </c>
      <c r="AC143" s="7" t="str">
        <f aca="false">IF(B143="","",IF(AND(R143&gt;0,Settings!$C$7-G143+1&lt;180),"Yes","No"))</f>
        <v/>
      </c>
    </row>
    <row r="144" customFormat="false" ht="15" hidden="false" customHeight="false" outlineLevel="0" collapsed="false">
      <c r="B144" s="5"/>
      <c r="C144" s="5"/>
      <c r="D144" s="5"/>
      <c r="E144" s="5"/>
      <c r="F144" s="18"/>
      <c r="G144" s="18"/>
      <c r="H144" s="19"/>
      <c r="I144" s="20"/>
      <c r="J144" s="21" t="str">
        <f aca="false">IF(B144="","",IF(K144&lt;&gt;"",K144,IFERROR(INDEX(Settings!$C$14:$C$31,MATCH(D144,Settings!$B$14:$B$31,0)),"")))</f>
        <v/>
      </c>
      <c r="K144" s="22"/>
      <c r="L144" s="5"/>
      <c r="M144" s="5"/>
      <c r="N144" s="19"/>
      <c r="O144" s="18"/>
      <c r="P144" s="19"/>
      <c r="Q144" s="23" t="str">
        <f aca="false">IF(B144="","",IF(G144&lt;Settings!$C$6,H144,0))</f>
        <v/>
      </c>
      <c r="R144" s="23" t="str">
        <f aca="false">IF(B144="","",IF(AND(G144&gt;=Settings!$C$6,G144&lt;=Settings!$C$7),H144,0))</f>
        <v/>
      </c>
      <c r="S144" s="23" t="str">
        <f aca="false">IF(B144="","",Q144-N(N144))</f>
        <v/>
      </c>
      <c r="T144" s="21" t="str">
        <f aca="false">IF(B144="","",MAX(0,MIN(Settings!$C$7,IF(AND(O144&lt;&gt;"",O144&lt;=Settings!$C$7),O144-1,Settings!$C$7))-MAX(Settings!$C$6,G144)+1))</f>
        <v/>
      </c>
      <c r="U144" s="24" t="str">
        <f aca="false">IF(OR(B144="",J144=""),"",1-(IF(I144="",Settings!$C$8,I144))^(1/J144))</f>
        <v/>
      </c>
      <c r="V144" s="23" t="str">
        <f aca="false">IF(OR(B144="",J144=""),"",ROUND(MAX(0,MIN(IF(L144="WDV",(S144+R144)*U144,H144*(1-IF(I144="",Settings!$C$8,I144))/J144)*T144/Settings!$C$9,(S144+R144)-H144*IF(I144="",Settings!$C$8,I144))),0))</f>
        <v/>
      </c>
      <c r="W144" s="23" t="str">
        <f aca="false">IF(B144="","",IF(AND(O144&lt;&gt;"",O144&gt;=Settings!$C$6,O144&lt;=Settings!$C$7),H144,0))</f>
        <v/>
      </c>
      <c r="X144" s="23" t="str">
        <f aca="false">IF(B144="","",IF(W144&gt;0,N(N144)+V144,0))</f>
        <v/>
      </c>
      <c r="Y144" s="23" t="str">
        <f aca="false">IF(B144="","",Q144+R144-W144)</f>
        <v/>
      </c>
      <c r="Z144" s="23" t="str">
        <f aca="false">IF(B144="","",N(N144)+N(V144)-X144)</f>
        <v/>
      </c>
      <c r="AA144" s="25" t="str">
        <f aca="false">IF(B144="","",Y144-Z144)</f>
        <v/>
      </c>
      <c r="AB144" s="23" t="str">
        <f aca="false">IF(B144="","",IF(W144&gt;0,N(P144)-(W144-X144),0))</f>
        <v/>
      </c>
      <c r="AC144" s="7" t="str">
        <f aca="false">IF(B144="","",IF(AND(R144&gt;0,Settings!$C$7-G144+1&lt;180),"Yes","No"))</f>
        <v/>
      </c>
    </row>
    <row r="145" customFormat="false" ht="15" hidden="false" customHeight="false" outlineLevel="0" collapsed="false">
      <c r="B145" s="5"/>
      <c r="C145" s="5"/>
      <c r="D145" s="5"/>
      <c r="E145" s="5"/>
      <c r="F145" s="18"/>
      <c r="G145" s="18"/>
      <c r="H145" s="19"/>
      <c r="I145" s="20"/>
      <c r="J145" s="21" t="str">
        <f aca="false">IF(B145="","",IF(K145&lt;&gt;"",K145,IFERROR(INDEX(Settings!$C$14:$C$31,MATCH(D145,Settings!$B$14:$B$31,0)),"")))</f>
        <v/>
      </c>
      <c r="K145" s="22"/>
      <c r="L145" s="5"/>
      <c r="M145" s="5"/>
      <c r="N145" s="19"/>
      <c r="O145" s="18"/>
      <c r="P145" s="19"/>
      <c r="Q145" s="23" t="str">
        <f aca="false">IF(B145="","",IF(G145&lt;Settings!$C$6,H145,0))</f>
        <v/>
      </c>
      <c r="R145" s="23" t="str">
        <f aca="false">IF(B145="","",IF(AND(G145&gt;=Settings!$C$6,G145&lt;=Settings!$C$7),H145,0))</f>
        <v/>
      </c>
      <c r="S145" s="23" t="str">
        <f aca="false">IF(B145="","",Q145-N(N145))</f>
        <v/>
      </c>
      <c r="T145" s="21" t="str">
        <f aca="false">IF(B145="","",MAX(0,MIN(Settings!$C$7,IF(AND(O145&lt;&gt;"",O145&lt;=Settings!$C$7),O145-1,Settings!$C$7))-MAX(Settings!$C$6,G145)+1))</f>
        <v/>
      </c>
      <c r="U145" s="24" t="str">
        <f aca="false">IF(OR(B145="",J145=""),"",1-(IF(I145="",Settings!$C$8,I145))^(1/J145))</f>
        <v/>
      </c>
      <c r="V145" s="23" t="str">
        <f aca="false">IF(OR(B145="",J145=""),"",ROUND(MAX(0,MIN(IF(L145="WDV",(S145+R145)*U145,H145*(1-IF(I145="",Settings!$C$8,I145))/J145)*T145/Settings!$C$9,(S145+R145)-H145*IF(I145="",Settings!$C$8,I145))),0))</f>
        <v/>
      </c>
      <c r="W145" s="23" t="str">
        <f aca="false">IF(B145="","",IF(AND(O145&lt;&gt;"",O145&gt;=Settings!$C$6,O145&lt;=Settings!$C$7),H145,0))</f>
        <v/>
      </c>
      <c r="X145" s="23" t="str">
        <f aca="false">IF(B145="","",IF(W145&gt;0,N(N145)+V145,0))</f>
        <v/>
      </c>
      <c r="Y145" s="23" t="str">
        <f aca="false">IF(B145="","",Q145+R145-W145)</f>
        <v/>
      </c>
      <c r="Z145" s="23" t="str">
        <f aca="false">IF(B145="","",N(N145)+N(V145)-X145)</f>
        <v/>
      </c>
      <c r="AA145" s="25" t="str">
        <f aca="false">IF(B145="","",Y145-Z145)</f>
        <v/>
      </c>
      <c r="AB145" s="23" t="str">
        <f aca="false">IF(B145="","",IF(W145&gt;0,N(P145)-(W145-X145),0))</f>
        <v/>
      </c>
      <c r="AC145" s="7" t="str">
        <f aca="false">IF(B145="","",IF(AND(R145&gt;0,Settings!$C$7-G145+1&lt;180),"Yes","No"))</f>
        <v/>
      </c>
    </row>
    <row r="146" customFormat="false" ht="15" hidden="false" customHeight="false" outlineLevel="0" collapsed="false">
      <c r="B146" s="5"/>
      <c r="C146" s="5"/>
      <c r="D146" s="5"/>
      <c r="E146" s="5"/>
      <c r="F146" s="18"/>
      <c r="G146" s="18"/>
      <c r="H146" s="19"/>
      <c r="I146" s="20"/>
      <c r="J146" s="21" t="str">
        <f aca="false">IF(B146="","",IF(K146&lt;&gt;"",K146,IFERROR(INDEX(Settings!$C$14:$C$31,MATCH(D146,Settings!$B$14:$B$31,0)),"")))</f>
        <v/>
      </c>
      <c r="K146" s="22"/>
      <c r="L146" s="5"/>
      <c r="M146" s="5"/>
      <c r="N146" s="19"/>
      <c r="O146" s="18"/>
      <c r="P146" s="19"/>
      <c r="Q146" s="23" t="str">
        <f aca="false">IF(B146="","",IF(G146&lt;Settings!$C$6,H146,0))</f>
        <v/>
      </c>
      <c r="R146" s="23" t="str">
        <f aca="false">IF(B146="","",IF(AND(G146&gt;=Settings!$C$6,G146&lt;=Settings!$C$7),H146,0))</f>
        <v/>
      </c>
      <c r="S146" s="23" t="str">
        <f aca="false">IF(B146="","",Q146-N(N146))</f>
        <v/>
      </c>
      <c r="T146" s="21" t="str">
        <f aca="false">IF(B146="","",MAX(0,MIN(Settings!$C$7,IF(AND(O146&lt;&gt;"",O146&lt;=Settings!$C$7),O146-1,Settings!$C$7))-MAX(Settings!$C$6,G146)+1))</f>
        <v/>
      </c>
      <c r="U146" s="24" t="str">
        <f aca="false">IF(OR(B146="",J146=""),"",1-(IF(I146="",Settings!$C$8,I146))^(1/J146))</f>
        <v/>
      </c>
      <c r="V146" s="23" t="str">
        <f aca="false">IF(OR(B146="",J146=""),"",ROUND(MAX(0,MIN(IF(L146="WDV",(S146+R146)*U146,H146*(1-IF(I146="",Settings!$C$8,I146))/J146)*T146/Settings!$C$9,(S146+R146)-H146*IF(I146="",Settings!$C$8,I146))),0))</f>
        <v/>
      </c>
      <c r="W146" s="23" t="str">
        <f aca="false">IF(B146="","",IF(AND(O146&lt;&gt;"",O146&gt;=Settings!$C$6,O146&lt;=Settings!$C$7),H146,0))</f>
        <v/>
      </c>
      <c r="X146" s="23" t="str">
        <f aca="false">IF(B146="","",IF(W146&gt;0,N(N146)+V146,0))</f>
        <v/>
      </c>
      <c r="Y146" s="23" t="str">
        <f aca="false">IF(B146="","",Q146+R146-W146)</f>
        <v/>
      </c>
      <c r="Z146" s="23" t="str">
        <f aca="false">IF(B146="","",N(N146)+N(V146)-X146)</f>
        <v/>
      </c>
      <c r="AA146" s="25" t="str">
        <f aca="false">IF(B146="","",Y146-Z146)</f>
        <v/>
      </c>
      <c r="AB146" s="23" t="str">
        <f aca="false">IF(B146="","",IF(W146&gt;0,N(P146)-(W146-X146),0))</f>
        <v/>
      </c>
      <c r="AC146" s="7" t="str">
        <f aca="false">IF(B146="","",IF(AND(R146&gt;0,Settings!$C$7-G146+1&lt;180),"Yes","No"))</f>
        <v/>
      </c>
    </row>
    <row r="147" customFormat="false" ht="15" hidden="false" customHeight="false" outlineLevel="0" collapsed="false">
      <c r="B147" s="5"/>
      <c r="C147" s="5"/>
      <c r="D147" s="5"/>
      <c r="E147" s="5"/>
      <c r="F147" s="18"/>
      <c r="G147" s="18"/>
      <c r="H147" s="19"/>
      <c r="I147" s="20"/>
      <c r="J147" s="21" t="str">
        <f aca="false">IF(B147="","",IF(K147&lt;&gt;"",K147,IFERROR(INDEX(Settings!$C$14:$C$31,MATCH(D147,Settings!$B$14:$B$31,0)),"")))</f>
        <v/>
      </c>
      <c r="K147" s="22"/>
      <c r="L147" s="5"/>
      <c r="M147" s="5"/>
      <c r="N147" s="19"/>
      <c r="O147" s="18"/>
      <c r="P147" s="19"/>
      <c r="Q147" s="23" t="str">
        <f aca="false">IF(B147="","",IF(G147&lt;Settings!$C$6,H147,0))</f>
        <v/>
      </c>
      <c r="R147" s="23" t="str">
        <f aca="false">IF(B147="","",IF(AND(G147&gt;=Settings!$C$6,G147&lt;=Settings!$C$7),H147,0))</f>
        <v/>
      </c>
      <c r="S147" s="23" t="str">
        <f aca="false">IF(B147="","",Q147-N(N147))</f>
        <v/>
      </c>
      <c r="T147" s="21" t="str">
        <f aca="false">IF(B147="","",MAX(0,MIN(Settings!$C$7,IF(AND(O147&lt;&gt;"",O147&lt;=Settings!$C$7),O147-1,Settings!$C$7))-MAX(Settings!$C$6,G147)+1))</f>
        <v/>
      </c>
      <c r="U147" s="24" t="str">
        <f aca="false">IF(OR(B147="",J147=""),"",1-(IF(I147="",Settings!$C$8,I147))^(1/J147))</f>
        <v/>
      </c>
      <c r="V147" s="23" t="str">
        <f aca="false">IF(OR(B147="",J147=""),"",ROUND(MAX(0,MIN(IF(L147="WDV",(S147+R147)*U147,H147*(1-IF(I147="",Settings!$C$8,I147))/J147)*T147/Settings!$C$9,(S147+R147)-H147*IF(I147="",Settings!$C$8,I147))),0))</f>
        <v/>
      </c>
      <c r="W147" s="23" t="str">
        <f aca="false">IF(B147="","",IF(AND(O147&lt;&gt;"",O147&gt;=Settings!$C$6,O147&lt;=Settings!$C$7),H147,0))</f>
        <v/>
      </c>
      <c r="X147" s="23" t="str">
        <f aca="false">IF(B147="","",IF(W147&gt;0,N(N147)+V147,0))</f>
        <v/>
      </c>
      <c r="Y147" s="23" t="str">
        <f aca="false">IF(B147="","",Q147+R147-W147)</f>
        <v/>
      </c>
      <c r="Z147" s="23" t="str">
        <f aca="false">IF(B147="","",N(N147)+N(V147)-X147)</f>
        <v/>
      </c>
      <c r="AA147" s="25" t="str">
        <f aca="false">IF(B147="","",Y147-Z147)</f>
        <v/>
      </c>
      <c r="AB147" s="23" t="str">
        <f aca="false">IF(B147="","",IF(W147&gt;0,N(P147)-(W147-X147),0))</f>
        <v/>
      </c>
      <c r="AC147" s="7" t="str">
        <f aca="false">IF(B147="","",IF(AND(R147&gt;0,Settings!$C$7-G147+1&lt;180),"Yes","No"))</f>
        <v/>
      </c>
    </row>
    <row r="148" customFormat="false" ht="15" hidden="false" customHeight="false" outlineLevel="0" collapsed="false">
      <c r="B148" s="5"/>
      <c r="C148" s="5"/>
      <c r="D148" s="5"/>
      <c r="E148" s="5"/>
      <c r="F148" s="18"/>
      <c r="G148" s="18"/>
      <c r="H148" s="19"/>
      <c r="I148" s="20"/>
      <c r="J148" s="21" t="str">
        <f aca="false">IF(B148="","",IF(K148&lt;&gt;"",K148,IFERROR(INDEX(Settings!$C$14:$C$31,MATCH(D148,Settings!$B$14:$B$31,0)),"")))</f>
        <v/>
      </c>
      <c r="K148" s="22"/>
      <c r="L148" s="5"/>
      <c r="M148" s="5"/>
      <c r="N148" s="19"/>
      <c r="O148" s="18"/>
      <c r="P148" s="19"/>
      <c r="Q148" s="23" t="str">
        <f aca="false">IF(B148="","",IF(G148&lt;Settings!$C$6,H148,0))</f>
        <v/>
      </c>
      <c r="R148" s="23" t="str">
        <f aca="false">IF(B148="","",IF(AND(G148&gt;=Settings!$C$6,G148&lt;=Settings!$C$7),H148,0))</f>
        <v/>
      </c>
      <c r="S148" s="23" t="str">
        <f aca="false">IF(B148="","",Q148-N(N148))</f>
        <v/>
      </c>
      <c r="T148" s="21" t="str">
        <f aca="false">IF(B148="","",MAX(0,MIN(Settings!$C$7,IF(AND(O148&lt;&gt;"",O148&lt;=Settings!$C$7),O148-1,Settings!$C$7))-MAX(Settings!$C$6,G148)+1))</f>
        <v/>
      </c>
      <c r="U148" s="24" t="str">
        <f aca="false">IF(OR(B148="",J148=""),"",1-(IF(I148="",Settings!$C$8,I148))^(1/J148))</f>
        <v/>
      </c>
      <c r="V148" s="23" t="str">
        <f aca="false">IF(OR(B148="",J148=""),"",ROUND(MAX(0,MIN(IF(L148="WDV",(S148+R148)*U148,H148*(1-IF(I148="",Settings!$C$8,I148))/J148)*T148/Settings!$C$9,(S148+R148)-H148*IF(I148="",Settings!$C$8,I148))),0))</f>
        <v/>
      </c>
      <c r="W148" s="23" t="str">
        <f aca="false">IF(B148="","",IF(AND(O148&lt;&gt;"",O148&gt;=Settings!$C$6,O148&lt;=Settings!$C$7),H148,0))</f>
        <v/>
      </c>
      <c r="X148" s="23" t="str">
        <f aca="false">IF(B148="","",IF(W148&gt;0,N(N148)+V148,0))</f>
        <v/>
      </c>
      <c r="Y148" s="23" t="str">
        <f aca="false">IF(B148="","",Q148+R148-W148)</f>
        <v/>
      </c>
      <c r="Z148" s="23" t="str">
        <f aca="false">IF(B148="","",N(N148)+N(V148)-X148)</f>
        <v/>
      </c>
      <c r="AA148" s="25" t="str">
        <f aca="false">IF(B148="","",Y148-Z148)</f>
        <v/>
      </c>
      <c r="AB148" s="23" t="str">
        <f aca="false">IF(B148="","",IF(W148&gt;0,N(P148)-(W148-X148),0))</f>
        <v/>
      </c>
      <c r="AC148" s="7" t="str">
        <f aca="false">IF(B148="","",IF(AND(R148&gt;0,Settings!$C$7-G148+1&lt;180),"Yes","No"))</f>
        <v/>
      </c>
    </row>
    <row r="149" customFormat="false" ht="15" hidden="false" customHeight="false" outlineLevel="0" collapsed="false">
      <c r="B149" s="5"/>
      <c r="C149" s="5"/>
      <c r="D149" s="5"/>
      <c r="E149" s="5"/>
      <c r="F149" s="18"/>
      <c r="G149" s="18"/>
      <c r="H149" s="19"/>
      <c r="I149" s="20"/>
      <c r="J149" s="21" t="str">
        <f aca="false">IF(B149="","",IF(K149&lt;&gt;"",K149,IFERROR(INDEX(Settings!$C$14:$C$31,MATCH(D149,Settings!$B$14:$B$31,0)),"")))</f>
        <v/>
      </c>
      <c r="K149" s="22"/>
      <c r="L149" s="5"/>
      <c r="M149" s="5"/>
      <c r="N149" s="19"/>
      <c r="O149" s="18"/>
      <c r="P149" s="19"/>
      <c r="Q149" s="23" t="str">
        <f aca="false">IF(B149="","",IF(G149&lt;Settings!$C$6,H149,0))</f>
        <v/>
      </c>
      <c r="R149" s="23" t="str">
        <f aca="false">IF(B149="","",IF(AND(G149&gt;=Settings!$C$6,G149&lt;=Settings!$C$7),H149,0))</f>
        <v/>
      </c>
      <c r="S149" s="23" t="str">
        <f aca="false">IF(B149="","",Q149-N(N149))</f>
        <v/>
      </c>
      <c r="T149" s="21" t="str">
        <f aca="false">IF(B149="","",MAX(0,MIN(Settings!$C$7,IF(AND(O149&lt;&gt;"",O149&lt;=Settings!$C$7),O149-1,Settings!$C$7))-MAX(Settings!$C$6,G149)+1))</f>
        <v/>
      </c>
      <c r="U149" s="24" t="str">
        <f aca="false">IF(OR(B149="",J149=""),"",1-(IF(I149="",Settings!$C$8,I149))^(1/J149))</f>
        <v/>
      </c>
      <c r="V149" s="23" t="str">
        <f aca="false">IF(OR(B149="",J149=""),"",ROUND(MAX(0,MIN(IF(L149="WDV",(S149+R149)*U149,H149*(1-IF(I149="",Settings!$C$8,I149))/J149)*T149/Settings!$C$9,(S149+R149)-H149*IF(I149="",Settings!$C$8,I149))),0))</f>
        <v/>
      </c>
      <c r="W149" s="23" t="str">
        <f aca="false">IF(B149="","",IF(AND(O149&lt;&gt;"",O149&gt;=Settings!$C$6,O149&lt;=Settings!$C$7),H149,0))</f>
        <v/>
      </c>
      <c r="X149" s="23" t="str">
        <f aca="false">IF(B149="","",IF(W149&gt;0,N(N149)+V149,0))</f>
        <v/>
      </c>
      <c r="Y149" s="23" t="str">
        <f aca="false">IF(B149="","",Q149+R149-W149)</f>
        <v/>
      </c>
      <c r="Z149" s="23" t="str">
        <f aca="false">IF(B149="","",N(N149)+N(V149)-X149)</f>
        <v/>
      </c>
      <c r="AA149" s="25" t="str">
        <f aca="false">IF(B149="","",Y149-Z149)</f>
        <v/>
      </c>
      <c r="AB149" s="23" t="str">
        <f aca="false">IF(B149="","",IF(W149&gt;0,N(P149)-(W149-X149),0))</f>
        <v/>
      </c>
      <c r="AC149" s="7" t="str">
        <f aca="false">IF(B149="","",IF(AND(R149&gt;0,Settings!$C$7-G149+1&lt;180),"Yes","No"))</f>
        <v/>
      </c>
    </row>
    <row r="150" customFormat="false" ht="15" hidden="false" customHeight="false" outlineLevel="0" collapsed="false">
      <c r="B150" s="5"/>
      <c r="C150" s="5"/>
      <c r="D150" s="5"/>
      <c r="E150" s="5"/>
      <c r="F150" s="18"/>
      <c r="G150" s="18"/>
      <c r="H150" s="19"/>
      <c r="I150" s="20"/>
      <c r="J150" s="21" t="str">
        <f aca="false">IF(B150="","",IF(K150&lt;&gt;"",K150,IFERROR(INDEX(Settings!$C$14:$C$31,MATCH(D150,Settings!$B$14:$B$31,0)),"")))</f>
        <v/>
      </c>
      <c r="K150" s="22"/>
      <c r="L150" s="5"/>
      <c r="M150" s="5"/>
      <c r="N150" s="19"/>
      <c r="O150" s="18"/>
      <c r="P150" s="19"/>
      <c r="Q150" s="23" t="str">
        <f aca="false">IF(B150="","",IF(G150&lt;Settings!$C$6,H150,0))</f>
        <v/>
      </c>
      <c r="R150" s="23" t="str">
        <f aca="false">IF(B150="","",IF(AND(G150&gt;=Settings!$C$6,G150&lt;=Settings!$C$7),H150,0))</f>
        <v/>
      </c>
      <c r="S150" s="23" t="str">
        <f aca="false">IF(B150="","",Q150-N(N150))</f>
        <v/>
      </c>
      <c r="T150" s="21" t="str">
        <f aca="false">IF(B150="","",MAX(0,MIN(Settings!$C$7,IF(AND(O150&lt;&gt;"",O150&lt;=Settings!$C$7),O150-1,Settings!$C$7))-MAX(Settings!$C$6,G150)+1))</f>
        <v/>
      </c>
      <c r="U150" s="24" t="str">
        <f aca="false">IF(OR(B150="",J150=""),"",1-(IF(I150="",Settings!$C$8,I150))^(1/J150))</f>
        <v/>
      </c>
      <c r="V150" s="23" t="str">
        <f aca="false">IF(OR(B150="",J150=""),"",ROUND(MAX(0,MIN(IF(L150="WDV",(S150+R150)*U150,H150*(1-IF(I150="",Settings!$C$8,I150))/J150)*T150/Settings!$C$9,(S150+R150)-H150*IF(I150="",Settings!$C$8,I150))),0))</f>
        <v/>
      </c>
      <c r="W150" s="23" t="str">
        <f aca="false">IF(B150="","",IF(AND(O150&lt;&gt;"",O150&gt;=Settings!$C$6,O150&lt;=Settings!$C$7),H150,0))</f>
        <v/>
      </c>
      <c r="X150" s="23" t="str">
        <f aca="false">IF(B150="","",IF(W150&gt;0,N(N150)+V150,0))</f>
        <v/>
      </c>
      <c r="Y150" s="23" t="str">
        <f aca="false">IF(B150="","",Q150+R150-W150)</f>
        <v/>
      </c>
      <c r="Z150" s="23" t="str">
        <f aca="false">IF(B150="","",N(N150)+N(V150)-X150)</f>
        <v/>
      </c>
      <c r="AA150" s="25" t="str">
        <f aca="false">IF(B150="","",Y150-Z150)</f>
        <v/>
      </c>
      <c r="AB150" s="23" t="str">
        <f aca="false">IF(B150="","",IF(W150&gt;0,N(P150)-(W150-X150),0))</f>
        <v/>
      </c>
      <c r="AC150" s="7" t="str">
        <f aca="false">IF(B150="","",IF(AND(R150&gt;0,Settings!$C$7-G150+1&lt;180),"Yes","No"))</f>
        <v/>
      </c>
    </row>
    <row r="151" customFormat="false" ht="15" hidden="false" customHeight="false" outlineLevel="0" collapsed="false">
      <c r="B151" s="5"/>
      <c r="C151" s="5"/>
      <c r="D151" s="5"/>
      <c r="E151" s="5"/>
      <c r="F151" s="18"/>
      <c r="G151" s="18"/>
      <c r="H151" s="19"/>
      <c r="I151" s="20"/>
      <c r="J151" s="21" t="str">
        <f aca="false">IF(B151="","",IF(K151&lt;&gt;"",K151,IFERROR(INDEX(Settings!$C$14:$C$31,MATCH(D151,Settings!$B$14:$B$31,0)),"")))</f>
        <v/>
      </c>
      <c r="K151" s="22"/>
      <c r="L151" s="5"/>
      <c r="M151" s="5"/>
      <c r="N151" s="19"/>
      <c r="O151" s="18"/>
      <c r="P151" s="19"/>
      <c r="Q151" s="23" t="str">
        <f aca="false">IF(B151="","",IF(G151&lt;Settings!$C$6,H151,0))</f>
        <v/>
      </c>
      <c r="R151" s="23" t="str">
        <f aca="false">IF(B151="","",IF(AND(G151&gt;=Settings!$C$6,G151&lt;=Settings!$C$7),H151,0))</f>
        <v/>
      </c>
      <c r="S151" s="23" t="str">
        <f aca="false">IF(B151="","",Q151-N(N151))</f>
        <v/>
      </c>
      <c r="T151" s="21" t="str">
        <f aca="false">IF(B151="","",MAX(0,MIN(Settings!$C$7,IF(AND(O151&lt;&gt;"",O151&lt;=Settings!$C$7),O151-1,Settings!$C$7))-MAX(Settings!$C$6,G151)+1))</f>
        <v/>
      </c>
      <c r="U151" s="24" t="str">
        <f aca="false">IF(OR(B151="",J151=""),"",1-(IF(I151="",Settings!$C$8,I151))^(1/J151))</f>
        <v/>
      </c>
      <c r="V151" s="23" t="str">
        <f aca="false">IF(OR(B151="",J151=""),"",ROUND(MAX(0,MIN(IF(L151="WDV",(S151+R151)*U151,H151*(1-IF(I151="",Settings!$C$8,I151))/J151)*T151/Settings!$C$9,(S151+R151)-H151*IF(I151="",Settings!$C$8,I151))),0))</f>
        <v/>
      </c>
      <c r="W151" s="23" t="str">
        <f aca="false">IF(B151="","",IF(AND(O151&lt;&gt;"",O151&gt;=Settings!$C$6,O151&lt;=Settings!$C$7),H151,0))</f>
        <v/>
      </c>
      <c r="X151" s="23" t="str">
        <f aca="false">IF(B151="","",IF(W151&gt;0,N(N151)+V151,0))</f>
        <v/>
      </c>
      <c r="Y151" s="23" t="str">
        <f aca="false">IF(B151="","",Q151+R151-W151)</f>
        <v/>
      </c>
      <c r="Z151" s="23" t="str">
        <f aca="false">IF(B151="","",N(N151)+N(V151)-X151)</f>
        <v/>
      </c>
      <c r="AA151" s="25" t="str">
        <f aca="false">IF(B151="","",Y151-Z151)</f>
        <v/>
      </c>
      <c r="AB151" s="23" t="str">
        <f aca="false">IF(B151="","",IF(W151&gt;0,N(P151)-(W151-X151),0))</f>
        <v/>
      </c>
      <c r="AC151" s="7" t="str">
        <f aca="false">IF(B151="","",IF(AND(R151&gt;0,Settings!$C$7-G151+1&lt;180),"Yes","No"))</f>
        <v/>
      </c>
    </row>
    <row r="152" customFormat="false" ht="15" hidden="false" customHeight="false" outlineLevel="0" collapsed="false">
      <c r="B152" s="5"/>
      <c r="C152" s="5"/>
      <c r="D152" s="5"/>
      <c r="E152" s="5"/>
      <c r="F152" s="18"/>
      <c r="G152" s="18"/>
      <c r="H152" s="19"/>
      <c r="I152" s="20"/>
      <c r="J152" s="21" t="str">
        <f aca="false">IF(B152="","",IF(K152&lt;&gt;"",K152,IFERROR(INDEX(Settings!$C$14:$C$31,MATCH(D152,Settings!$B$14:$B$31,0)),"")))</f>
        <v/>
      </c>
      <c r="K152" s="22"/>
      <c r="L152" s="5"/>
      <c r="M152" s="5"/>
      <c r="N152" s="19"/>
      <c r="O152" s="18"/>
      <c r="P152" s="19"/>
      <c r="Q152" s="23" t="str">
        <f aca="false">IF(B152="","",IF(G152&lt;Settings!$C$6,H152,0))</f>
        <v/>
      </c>
      <c r="R152" s="23" t="str">
        <f aca="false">IF(B152="","",IF(AND(G152&gt;=Settings!$C$6,G152&lt;=Settings!$C$7),H152,0))</f>
        <v/>
      </c>
      <c r="S152" s="23" t="str">
        <f aca="false">IF(B152="","",Q152-N(N152))</f>
        <v/>
      </c>
      <c r="T152" s="21" t="str">
        <f aca="false">IF(B152="","",MAX(0,MIN(Settings!$C$7,IF(AND(O152&lt;&gt;"",O152&lt;=Settings!$C$7),O152-1,Settings!$C$7))-MAX(Settings!$C$6,G152)+1))</f>
        <v/>
      </c>
      <c r="U152" s="24" t="str">
        <f aca="false">IF(OR(B152="",J152=""),"",1-(IF(I152="",Settings!$C$8,I152))^(1/J152))</f>
        <v/>
      </c>
      <c r="V152" s="23" t="str">
        <f aca="false">IF(OR(B152="",J152=""),"",ROUND(MAX(0,MIN(IF(L152="WDV",(S152+R152)*U152,H152*(1-IF(I152="",Settings!$C$8,I152))/J152)*T152/Settings!$C$9,(S152+R152)-H152*IF(I152="",Settings!$C$8,I152))),0))</f>
        <v/>
      </c>
      <c r="W152" s="23" t="str">
        <f aca="false">IF(B152="","",IF(AND(O152&lt;&gt;"",O152&gt;=Settings!$C$6,O152&lt;=Settings!$C$7),H152,0))</f>
        <v/>
      </c>
      <c r="X152" s="23" t="str">
        <f aca="false">IF(B152="","",IF(W152&gt;0,N(N152)+V152,0))</f>
        <v/>
      </c>
      <c r="Y152" s="23" t="str">
        <f aca="false">IF(B152="","",Q152+R152-W152)</f>
        <v/>
      </c>
      <c r="Z152" s="23" t="str">
        <f aca="false">IF(B152="","",N(N152)+N(V152)-X152)</f>
        <v/>
      </c>
      <c r="AA152" s="25" t="str">
        <f aca="false">IF(B152="","",Y152-Z152)</f>
        <v/>
      </c>
      <c r="AB152" s="23" t="str">
        <f aca="false">IF(B152="","",IF(W152&gt;0,N(P152)-(W152-X152),0))</f>
        <v/>
      </c>
      <c r="AC152" s="7" t="str">
        <f aca="false">IF(B152="","",IF(AND(R152&gt;0,Settings!$C$7-G152+1&lt;180),"Yes","No"))</f>
        <v/>
      </c>
    </row>
    <row r="153" customFormat="false" ht="15" hidden="false" customHeight="false" outlineLevel="0" collapsed="false">
      <c r="B153" s="5"/>
      <c r="C153" s="5"/>
      <c r="D153" s="5"/>
      <c r="E153" s="5"/>
      <c r="F153" s="18"/>
      <c r="G153" s="18"/>
      <c r="H153" s="19"/>
      <c r="I153" s="20"/>
      <c r="J153" s="21" t="str">
        <f aca="false">IF(B153="","",IF(K153&lt;&gt;"",K153,IFERROR(INDEX(Settings!$C$14:$C$31,MATCH(D153,Settings!$B$14:$B$31,0)),"")))</f>
        <v/>
      </c>
      <c r="K153" s="22"/>
      <c r="L153" s="5"/>
      <c r="M153" s="5"/>
      <c r="N153" s="19"/>
      <c r="O153" s="18"/>
      <c r="P153" s="19"/>
      <c r="Q153" s="23" t="str">
        <f aca="false">IF(B153="","",IF(G153&lt;Settings!$C$6,H153,0))</f>
        <v/>
      </c>
      <c r="R153" s="23" t="str">
        <f aca="false">IF(B153="","",IF(AND(G153&gt;=Settings!$C$6,G153&lt;=Settings!$C$7),H153,0))</f>
        <v/>
      </c>
      <c r="S153" s="23" t="str">
        <f aca="false">IF(B153="","",Q153-N(N153))</f>
        <v/>
      </c>
      <c r="T153" s="21" t="str">
        <f aca="false">IF(B153="","",MAX(0,MIN(Settings!$C$7,IF(AND(O153&lt;&gt;"",O153&lt;=Settings!$C$7),O153-1,Settings!$C$7))-MAX(Settings!$C$6,G153)+1))</f>
        <v/>
      </c>
      <c r="U153" s="24" t="str">
        <f aca="false">IF(OR(B153="",J153=""),"",1-(IF(I153="",Settings!$C$8,I153))^(1/J153))</f>
        <v/>
      </c>
      <c r="V153" s="23" t="str">
        <f aca="false">IF(OR(B153="",J153=""),"",ROUND(MAX(0,MIN(IF(L153="WDV",(S153+R153)*U153,H153*(1-IF(I153="",Settings!$C$8,I153))/J153)*T153/Settings!$C$9,(S153+R153)-H153*IF(I153="",Settings!$C$8,I153))),0))</f>
        <v/>
      </c>
      <c r="W153" s="23" t="str">
        <f aca="false">IF(B153="","",IF(AND(O153&lt;&gt;"",O153&gt;=Settings!$C$6,O153&lt;=Settings!$C$7),H153,0))</f>
        <v/>
      </c>
      <c r="X153" s="23" t="str">
        <f aca="false">IF(B153="","",IF(W153&gt;0,N(N153)+V153,0))</f>
        <v/>
      </c>
      <c r="Y153" s="23" t="str">
        <f aca="false">IF(B153="","",Q153+R153-W153)</f>
        <v/>
      </c>
      <c r="Z153" s="23" t="str">
        <f aca="false">IF(B153="","",N(N153)+N(V153)-X153)</f>
        <v/>
      </c>
      <c r="AA153" s="25" t="str">
        <f aca="false">IF(B153="","",Y153-Z153)</f>
        <v/>
      </c>
      <c r="AB153" s="23" t="str">
        <f aca="false">IF(B153="","",IF(W153&gt;0,N(P153)-(W153-X153),0))</f>
        <v/>
      </c>
      <c r="AC153" s="7" t="str">
        <f aca="false">IF(B153="","",IF(AND(R153&gt;0,Settings!$C$7-G153+1&lt;180),"Yes","No"))</f>
        <v/>
      </c>
    </row>
    <row r="154" customFormat="false" ht="15" hidden="false" customHeight="false" outlineLevel="0" collapsed="false">
      <c r="B154" s="5"/>
      <c r="C154" s="5"/>
      <c r="D154" s="5"/>
      <c r="E154" s="5"/>
      <c r="F154" s="18"/>
      <c r="G154" s="18"/>
      <c r="H154" s="19"/>
      <c r="I154" s="20"/>
      <c r="J154" s="21" t="str">
        <f aca="false">IF(B154="","",IF(K154&lt;&gt;"",K154,IFERROR(INDEX(Settings!$C$14:$C$31,MATCH(D154,Settings!$B$14:$B$31,0)),"")))</f>
        <v/>
      </c>
      <c r="K154" s="22"/>
      <c r="L154" s="5"/>
      <c r="M154" s="5"/>
      <c r="N154" s="19"/>
      <c r="O154" s="18"/>
      <c r="P154" s="19"/>
      <c r="Q154" s="23" t="str">
        <f aca="false">IF(B154="","",IF(G154&lt;Settings!$C$6,H154,0))</f>
        <v/>
      </c>
      <c r="R154" s="23" t="str">
        <f aca="false">IF(B154="","",IF(AND(G154&gt;=Settings!$C$6,G154&lt;=Settings!$C$7),H154,0))</f>
        <v/>
      </c>
      <c r="S154" s="23" t="str">
        <f aca="false">IF(B154="","",Q154-N(N154))</f>
        <v/>
      </c>
      <c r="T154" s="21" t="str">
        <f aca="false">IF(B154="","",MAX(0,MIN(Settings!$C$7,IF(AND(O154&lt;&gt;"",O154&lt;=Settings!$C$7),O154-1,Settings!$C$7))-MAX(Settings!$C$6,G154)+1))</f>
        <v/>
      </c>
      <c r="U154" s="24" t="str">
        <f aca="false">IF(OR(B154="",J154=""),"",1-(IF(I154="",Settings!$C$8,I154))^(1/J154))</f>
        <v/>
      </c>
      <c r="V154" s="23" t="str">
        <f aca="false">IF(OR(B154="",J154=""),"",ROUND(MAX(0,MIN(IF(L154="WDV",(S154+R154)*U154,H154*(1-IF(I154="",Settings!$C$8,I154))/J154)*T154/Settings!$C$9,(S154+R154)-H154*IF(I154="",Settings!$C$8,I154))),0))</f>
        <v/>
      </c>
      <c r="W154" s="23" t="str">
        <f aca="false">IF(B154="","",IF(AND(O154&lt;&gt;"",O154&gt;=Settings!$C$6,O154&lt;=Settings!$C$7),H154,0))</f>
        <v/>
      </c>
      <c r="X154" s="23" t="str">
        <f aca="false">IF(B154="","",IF(W154&gt;0,N(N154)+V154,0))</f>
        <v/>
      </c>
      <c r="Y154" s="23" t="str">
        <f aca="false">IF(B154="","",Q154+R154-W154)</f>
        <v/>
      </c>
      <c r="Z154" s="23" t="str">
        <f aca="false">IF(B154="","",N(N154)+N(V154)-X154)</f>
        <v/>
      </c>
      <c r="AA154" s="25" t="str">
        <f aca="false">IF(B154="","",Y154-Z154)</f>
        <v/>
      </c>
      <c r="AB154" s="23" t="str">
        <f aca="false">IF(B154="","",IF(W154&gt;0,N(P154)-(W154-X154),0))</f>
        <v/>
      </c>
      <c r="AC154" s="7" t="str">
        <f aca="false">IF(B154="","",IF(AND(R154&gt;0,Settings!$C$7-G154+1&lt;180),"Yes","No"))</f>
        <v/>
      </c>
    </row>
    <row r="155" customFormat="false" ht="15" hidden="false" customHeight="false" outlineLevel="0" collapsed="false">
      <c r="B155" s="5"/>
      <c r="C155" s="5"/>
      <c r="D155" s="5"/>
      <c r="E155" s="5"/>
      <c r="F155" s="18"/>
      <c r="G155" s="18"/>
      <c r="H155" s="19"/>
      <c r="I155" s="20"/>
      <c r="J155" s="21" t="str">
        <f aca="false">IF(B155="","",IF(K155&lt;&gt;"",K155,IFERROR(INDEX(Settings!$C$14:$C$31,MATCH(D155,Settings!$B$14:$B$31,0)),"")))</f>
        <v/>
      </c>
      <c r="K155" s="22"/>
      <c r="L155" s="5"/>
      <c r="M155" s="5"/>
      <c r="N155" s="19"/>
      <c r="O155" s="18"/>
      <c r="P155" s="19"/>
      <c r="Q155" s="23" t="str">
        <f aca="false">IF(B155="","",IF(G155&lt;Settings!$C$6,H155,0))</f>
        <v/>
      </c>
      <c r="R155" s="23" t="str">
        <f aca="false">IF(B155="","",IF(AND(G155&gt;=Settings!$C$6,G155&lt;=Settings!$C$7),H155,0))</f>
        <v/>
      </c>
      <c r="S155" s="23" t="str">
        <f aca="false">IF(B155="","",Q155-N(N155))</f>
        <v/>
      </c>
      <c r="T155" s="21" t="str">
        <f aca="false">IF(B155="","",MAX(0,MIN(Settings!$C$7,IF(AND(O155&lt;&gt;"",O155&lt;=Settings!$C$7),O155-1,Settings!$C$7))-MAX(Settings!$C$6,G155)+1))</f>
        <v/>
      </c>
      <c r="U155" s="24" t="str">
        <f aca="false">IF(OR(B155="",J155=""),"",1-(IF(I155="",Settings!$C$8,I155))^(1/J155))</f>
        <v/>
      </c>
      <c r="V155" s="23" t="str">
        <f aca="false">IF(OR(B155="",J155=""),"",ROUND(MAX(0,MIN(IF(L155="WDV",(S155+R155)*U155,H155*(1-IF(I155="",Settings!$C$8,I155))/J155)*T155/Settings!$C$9,(S155+R155)-H155*IF(I155="",Settings!$C$8,I155))),0))</f>
        <v/>
      </c>
      <c r="W155" s="23" t="str">
        <f aca="false">IF(B155="","",IF(AND(O155&lt;&gt;"",O155&gt;=Settings!$C$6,O155&lt;=Settings!$C$7),H155,0))</f>
        <v/>
      </c>
      <c r="X155" s="23" t="str">
        <f aca="false">IF(B155="","",IF(W155&gt;0,N(N155)+V155,0))</f>
        <v/>
      </c>
      <c r="Y155" s="23" t="str">
        <f aca="false">IF(B155="","",Q155+R155-W155)</f>
        <v/>
      </c>
      <c r="Z155" s="23" t="str">
        <f aca="false">IF(B155="","",N(N155)+N(V155)-X155)</f>
        <v/>
      </c>
      <c r="AA155" s="25" t="str">
        <f aca="false">IF(B155="","",Y155-Z155)</f>
        <v/>
      </c>
      <c r="AB155" s="23" t="str">
        <f aca="false">IF(B155="","",IF(W155&gt;0,N(P155)-(W155-X155),0))</f>
        <v/>
      </c>
      <c r="AC155" s="7" t="str">
        <f aca="false">IF(B155="","",IF(AND(R155&gt;0,Settings!$C$7-G155+1&lt;180),"Yes","No"))</f>
        <v/>
      </c>
    </row>
    <row r="156" customFormat="false" ht="15" hidden="false" customHeight="false" outlineLevel="0" collapsed="false">
      <c r="B156" s="26" t="s">
        <v>80</v>
      </c>
      <c r="H156" s="27" t="n">
        <f aca="false">SUM(H6:H155)</f>
        <v>1740000</v>
      </c>
      <c r="N156" s="27" t="n">
        <f aca="false">SUM(N6:N155)</f>
        <v>140074</v>
      </c>
      <c r="P156" s="27" t="n">
        <f aca="false">SUM(P6:P155)</f>
        <v>6000</v>
      </c>
      <c r="Q156" s="27" t="n">
        <f aca="false">SUM(Q6:Q155)</f>
        <v>370000</v>
      </c>
      <c r="R156" s="27" t="n">
        <f aca="false">SUM(R6:R155)</f>
        <v>1370000</v>
      </c>
      <c r="S156" s="27" t="n">
        <f aca="false">SUM(S6:S155)</f>
        <v>229926</v>
      </c>
      <c r="V156" s="27" t="n">
        <f aca="false">SUM(V6:V155)</f>
        <v>231180</v>
      </c>
      <c r="W156" s="27" t="n">
        <f aca="false">SUM(W6:W155)</f>
        <v>45000</v>
      </c>
      <c r="X156" s="27" t="n">
        <f aca="false">SUM(X6:X155)</f>
        <v>37763</v>
      </c>
      <c r="Y156" s="27" t="n">
        <f aca="false">SUM(Y6:Y155)</f>
        <v>1695000</v>
      </c>
      <c r="Z156" s="27" t="n">
        <f aca="false">SUM(Z6:Z155)</f>
        <v>333491</v>
      </c>
      <c r="AA156" s="27" t="n">
        <f aca="false">SUM(AA6:AA155)</f>
        <v>1361509</v>
      </c>
      <c r="AB156" s="27" t="n">
        <f aca="false">SUM(AB6:AB155)</f>
        <v>-1237</v>
      </c>
    </row>
  </sheetData>
  <dataValidations count="3">
    <dataValidation allowBlank="true" errorStyle="stop" operator="between" showDropDown="false" showErrorMessage="false" showInputMessage="false" sqref="D6:D155" type="list">
      <formula1>Settings!$B$14:$B$31</formula1>
      <formula2>0</formula2>
    </dataValidation>
    <dataValidation allowBlank="true" errorStyle="stop" operator="between" showDropDown="false" showErrorMessage="false" showInputMessage="false" sqref="L6:L155" type="list">
      <formula1>"SLM,WDV"</formula1>
      <formula2>0</formula2>
    </dataValidation>
    <dataValidation allowBlank="true" errorStyle="stop" operator="between" showDropDown="false" showErrorMessage="false" showInputMessage="false" sqref="M6:M155" type="list">
      <formula1>Settings!$E$14:$E$20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12" min="3" style="0" width="13"/>
  </cols>
  <sheetData>
    <row r="2" customFormat="false" ht="19.7" hidden="false" customHeight="false" outlineLevel="0" collapsed="false">
      <c r="B2" s="1" t="s">
        <v>81</v>
      </c>
    </row>
    <row r="3" customFormat="false" ht="15" hidden="false" customHeight="false" outlineLevel="0" collapsed="false">
      <c r="B3" s="2" t="s">
        <v>82</v>
      </c>
    </row>
    <row r="5" customFormat="false" ht="30" hidden="false" customHeight="true" outlineLevel="0" collapsed="false">
      <c r="B5" s="16" t="s">
        <v>83</v>
      </c>
      <c r="C5" s="17" t="s">
        <v>46</v>
      </c>
      <c r="D5" s="17" t="s">
        <v>47</v>
      </c>
      <c r="E5" s="17" t="s">
        <v>84</v>
      </c>
      <c r="F5" s="17" t="s">
        <v>54</v>
      </c>
      <c r="G5" s="17" t="s">
        <v>85</v>
      </c>
      <c r="H5" s="17" t="s">
        <v>86</v>
      </c>
      <c r="I5" s="17" t="s">
        <v>87</v>
      </c>
      <c r="J5" s="17" t="s">
        <v>55</v>
      </c>
      <c r="K5" s="17" t="s">
        <v>56</v>
      </c>
      <c r="L5" s="17" t="s">
        <v>48</v>
      </c>
    </row>
    <row r="6" customFormat="false" ht="15" hidden="false" customHeight="false" outlineLevel="0" collapsed="false">
      <c r="B6" s="7" t="str">
        <f aca="false">IF(Settings!$B$14="","",Settings!$B$14)</f>
        <v>Buildings (other than factory) — RCC frame</v>
      </c>
      <c r="C6" s="23" t="n">
        <f aca="false">SUMIFS('Asset Register'!$Q$6:$Q$155,'Asset Register'!$D$6:$D$155,$B6)</f>
        <v>0</v>
      </c>
      <c r="D6" s="23" t="n">
        <f aca="false">SUMIFS('Asset Register'!$R$6:$R$155,'Asset Register'!$D$6:$D$155,$B6)</f>
        <v>0</v>
      </c>
      <c r="E6" s="23" t="n">
        <f aca="false">SUMIFS('Asset Register'!$W$6:$W$155,'Asset Register'!$D$6:$D$155,$B6)</f>
        <v>0</v>
      </c>
      <c r="F6" s="23" t="n">
        <f aca="false">C6+D6-E6</f>
        <v>0</v>
      </c>
      <c r="G6" s="23" t="n">
        <f aca="false">SUMIFS('Asset Register'!$N$6:$N$155,'Asset Register'!$D$6:$D$155,$B6,'Asset Register'!$Q$6:$Q$155,"&gt;0")</f>
        <v>0</v>
      </c>
      <c r="H6" s="23" t="n">
        <f aca="false">SUMIFS('Asset Register'!$V$6:$V$155,'Asset Register'!$D$6:$D$155,$B6)</f>
        <v>0</v>
      </c>
      <c r="I6" s="23" t="n">
        <f aca="false">SUMIFS('Asset Register'!$X$6:$X$155,'Asset Register'!$D$6:$D$155,$B6)</f>
        <v>0</v>
      </c>
      <c r="J6" s="23" t="n">
        <f aca="false">G6+H6-I6</f>
        <v>0</v>
      </c>
      <c r="K6" s="23" t="n">
        <f aca="false">F6-J6</f>
        <v>0</v>
      </c>
      <c r="L6" s="23" t="n">
        <f aca="false">C6-G6</f>
        <v>0</v>
      </c>
    </row>
    <row r="7" customFormat="false" ht="15" hidden="false" customHeight="false" outlineLevel="0" collapsed="false">
      <c r="B7" s="7" t="str">
        <f aca="false">IF(Settings!$B$15="","",Settings!$B$15)</f>
        <v>Buildings — non-RCC frame</v>
      </c>
      <c r="C7" s="23" t="n">
        <f aca="false">SUMIFS('Asset Register'!$Q$6:$Q$155,'Asset Register'!$D$6:$D$155,$B7)</f>
        <v>0</v>
      </c>
      <c r="D7" s="23" t="n">
        <f aca="false">SUMIFS('Asset Register'!$R$6:$R$155,'Asset Register'!$D$6:$D$155,$B7)</f>
        <v>0</v>
      </c>
      <c r="E7" s="23" t="n">
        <f aca="false">SUMIFS('Asset Register'!$W$6:$W$155,'Asset Register'!$D$6:$D$155,$B7)</f>
        <v>0</v>
      </c>
      <c r="F7" s="23" t="n">
        <f aca="false">C7+D7-E7</f>
        <v>0</v>
      </c>
      <c r="G7" s="23" t="n">
        <f aca="false">SUMIFS('Asset Register'!$N$6:$N$155,'Asset Register'!$D$6:$D$155,$B7,'Asset Register'!$Q$6:$Q$155,"&gt;0")</f>
        <v>0</v>
      </c>
      <c r="H7" s="23" t="n">
        <f aca="false">SUMIFS('Asset Register'!$V$6:$V$155,'Asset Register'!$D$6:$D$155,$B7)</f>
        <v>0</v>
      </c>
      <c r="I7" s="23" t="n">
        <f aca="false">SUMIFS('Asset Register'!$X$6:$X$155,'Asset Register'!$D$6:$D$155,$B7)</f>
        <v>0</v>
      </c>
      <c r="J7" s="23" t="n">
        <f aca="false">G7+H7-I7</f>
        <v>0</v>
      </c>
      <c r="K7" s="23" t="n">
        <f aca="false">F7-J7</f>
        <v>0</v>
      </c>
      <c r="L7" s="23" t="n">
        <f aca="false">C7-G7</f>
        <v>0</v>
      </c>
    </row>
    <row r="8" customFormat="false" ht="15" hidden="false" customHeight="false" outlineLevel="0" collapsed="false">
      <c r="B8" s="7" t="str">
        <f aca="false">IF(Settings!$B$16="","",Settings!$B$16)</f>
        <v>Factory buildings</v>
      </c>
      <c r="C8" s="23" t="n">
        <f aca="false">SUMIFS('Asset Register'!$Q$6:$Q$155,'Asset Register'!$D$6:$D$155,$B8)</f>
        <v>0</v>
      </c>
      <c r="D8" s="23" t="n">
        <f aca="false">SUMIFS('Asset Register'!$R$6:$R$155,'Asset Register'!$D$6:$D$155,$B8)</f>
        <v>0</v>
      </c>
      <c r="E8" s="23" t="n">
        <f aca="false">SUMIFS('Asset Register'!$W$6:$W$155,'Asset Register'!$D$6:$D$155,$B8)</f>
        <v>0</v>
      </c>
      <c r="F8" s="23" t="n">
        <f aca="false">C8+D8-E8</f>
        <v>0</v>
      </c>
      <c r="G8" s="23" t="n">
        <f aca="false">SUMIFS('Asset Register'!$N$6:$N$155,'Asset Register'!$D$6:$D$155,$B8,'Asset Register'!$Q$6:$Q$155,"&gt;0")</f>
        <v>0</v>
      </c>
      <c r="H8" s="23" t="n">
        <f aca="false">SUMIFS('Asset Register'!$V$6:$V$155,'Asset Register'!$D$6:$D$155,$B8)</f>
        <v>0</v>
      </c>
      <c r="I8" s="23" t="n">
        <f aca="false">SUMIFS('Asset Register'!$X$6:$X$155,'Asset Register'!$D$6:$D$155,$B8)</f>
        <v>0</v>
      </c>
      <c r="J8" s="23" t="n">
        <f aca="false">G8+H8-I8</f>
        <v>0</v>
      </c>
      <c r="K8" s="23" t="n">
        <f aca="false">F8-J8</f>
        <v>0</v>
      </c>
      <c r="L8" s="23" t="n">
        <f aca="false">C8-G8</f>
        <v>0</v>
      </c>
    </row>
    <row r="9" customFormat="false" ht="15" hidden="false" customHeight="false" outlineLevel="0" collapsed="false">
      <c r="B9" s="7" t="str">
        <f aca="false">IF(Settings!$B$17="","",Settings!$B$17)</f>
        <v>Plant &amp; machinery — general</v>
      </c>
      <c r="C9" s="23" t="n">
        <f aca="false">SUMIFS('Asset Register'!$Q$6:$Q$155,'Asset Register'!$D$6:$D$155,$B9)</f>
        <v>0</v>
      </c>
      <c r="D9" s="23" t="n">
        <f aca="false">SUMIFS('Asset Register'!$R$6:$R$155,'Asset Register'!$D$6:$D$155,$B9)</f>
        <v>0</v>
      </c>
      <c r="E9" s="23" t="n">
        <f aca="false">SUMIFS('Asset Register'!$W$6:$W$155,'Asset Register'!$D$6:$D$155,$B9)</f>
        <v>0</v>
      </c>
      <c r="F9" s="23" t="n">
        <f aca="false">C9+D9-E9</f>
        <v>0</v>
      </c>
      <c r="G9" s="23" t="n">
        <f aca="false">SUMIFS('Asset Register'!$N$6:$N$155,'Asset Register'!$D$6:$D$155,$B9,'Asset Register'!$Q$6:$Q$155,"&gt;0")</f>
        <v>0</v>
      </c>
      <c r="H9" s="23" t="n">
        <f aca="false">SUMIFS('Asset Register'!$V$6:$V$155,'Asset Register'!$D$6:$D$155,$B9)</f>
        <v>0</v>
      </c>
      <c r="I9" s="23" t="n">
        <f aca="false">SUMIFS('Asset Register'!$X$6:$X$155,'Asset Register'!$D$6:$D$155,$B9)</f>
        <v>0</v>
      </c>
      <c r="J9" s="23" t="n">
        <f aca="false">G9+H9-I9</f>
        <v>0</v>
      </c>
      <c r="K9" s="23" t="n">
        <f aca="false">F9-J9</f>
        <v>0</v>
      </c>
      <c r="L9" s="23" t="n">
        <f aca="false">C9-G9</f>
        <v>0</v>
      </c>
    </row>
    <row r="10" customFormat="false" ht="15" hidden="false" customHeight="false" outlineLevel="0" collapsed="false">
      <c r="B10" s="7" t="str">
        <f aca="false">IF(Settings!$B$18="","",Settings!$B$18)</f>
        <v>Furniture &amp; fittings</v>
      </c>
      <c r="C10" s="23" t="n">
        <f aca="false">SUMIFS('Asset Register'!$Q$6:$Q$155,'Asset Register'!$D$6:$D$155,$B10)</f>
        <v>240000</v>
      </c>
      <c r="D10" s="23" t="n">
        <f aca="false">SUMIFS('Asset Register'!$R$6:$R$155,'Asset Register'!$D$6:$D$155,$B10)</f>
        <v>0</v>
      </c>
      <c r="E10" s="23" t="n">
        <f aca="false">SUMIFS('Asset Register'!$W$6:$W$155,'Asset Register'!$D$6:$D$155,$B10)</f>
        <v>0</v>
      </c>
      <c r="F10" s="23" t="n">
        <f aca="false">C10+D10-E10</f>
        <v>240000</v>
      </c>
      <c r="G10" s="23" t="n">
        <f aca="false">SUMIFS('Asset Register'!$N$6:$N$155,'Asset Register'!$D$6:$D$155,$B10,'Asset Register'!$Q$6:$Q$155,"&gt;0")</f>
        <v>58050</v>
      </c>
      <c r="H10" s="23" t="n">
        <f aca="false">SUMIFS('Asset Register'!$V$6:$V$155,'Asset Register'!$D$6:$D$155,$B10)</f>
        <v>47101</v>
      </c>
      <c r="I10" s="23" t="n">
        <f aca="false">SUMIFS('Asset Register'!$X$6:$X$155,'Asset Register'!$D$6:$D$155,$B10)</f>
        <v>0</v>
      </c>
      <c r="J10" s="23" t="n">
        <f aca="false">G10+H10-I10</f>
        <v>105151</v>
      </c>
      <c r="K10" s="23" t="n">
        <f aca="false">F10-J10</f>
        <v>134849</v>
      </c>
      <c r="L10" s="23" t="n">
        <f aca="false">C10-G10</f>
        <v>181950</v>
      </c>
    </row>
    <row r="11" customFormat="false" ht="15" hidden="false" customHeight="false" outlineLevel="0" collapsed="false">
      <c r="B11" s="7" t="str">
        <f aca="false">IF(Settings!$B$19="","",Settings!$B$19)</f>
        <v>Office equipment</v>
      </c>
      <c r="C11" s="23" t="n">
        <f aca="false">SUMIFS('Asset Register'!$Q$6:$Q$155,'Asset Register'!$D$6:$D$155,$B11)</f>
        <v>45000</v>
      </c>
      <c r="D11" s="23" t="n">
        <f aca="false">SUMIFS('Asset Register'!$R$6:$R$155,'Asset Register'!$D$6:$D$155,$B11)</f>
        <v>0</v>
      </c>
      <c r="E11" s="23" t="n">
        <f aca="false">SUMIFS('Asset Register'!$W$6:$W$155,'Asset Register'!$D$6:$D$155,$B11)</f>
        <v>45000</v>
      </c>
      <c r="F11" s="23" t="n">
        <f aca="false">C11+D11-E11</f>
        <v>0</v>
      </c>
      <c r="G11" s="23" t="n">
        <f aca="false">SUMIFS('Asset Register'!$N$6:$N$155,'Asset Register'!$D$6:$D$155,$B11,'Asset Register'!$Q$6:$Q$155,"&gt;0")</f>
        <v>33500</v>
      </c>
      <c r="H11" s="23" t="n">
        <f aca="false">SUMIFS('Asset Register'!$V$6:$V$155,'Asset Register'!$D$6:$D$155,$B11)</f>
        <v>4263</v>
      </c>
      <c r="I11" s="23" t="n">
        <f aca="false">SUMIFS('Asset Register'!$X$6:$X$155,'Asset Register'!$D$6:$D$155,$B11)</f>
        <v>37763</v>
      </c>
      <c r="J11" s="23" t="n">
        <f aca="false">G11+H11-I11</f>
        <v>0</v>
      </c>
      <c r="K11" s="23" t="n">
        <f aca="false">F11-J11</f>
        <v>0</v>
      </c>
      <c r="L11" s="23" t="n">
        <f aca="false">C11-G11</f>
        <v>11500</v>
      </c>
    </row>
    <row r="12" customFormat="false" ht="15" hidden="false" customHeight="false" outlineLevel="0" collapsed="false">
      <c r="B12" s="7" t="str">
        <f aca="false">IF(Settings!$B$20="","",Settings!$B$20)</f>
        <v>Computers — end-user devices (desktops, laptops)</v>
      </c>
      <c r="C12" s="23" t="n">
        <f aca="false">SUMIFS('Asset Register'!$Q$6:$Q$155,'Asset Register'!$D$6:$D$155,$B12)</f>
        <v>85000</v>
      </c>
      <c r="D12" s="23" t="n">
        <f aca="false">SUMIFS('Asset Register'!$R$6:$R$155,'Asset Register'!$D$6:$D$155,$B12)</f>
        <v>0</v>
      </c>
      <c r="E12" s="23" t="n">
        <f aca="false">SUMIFS('Asset Register'!$W$6:$W$155,'Asset Register'!$D$6:$D$155,$B12)</f>
        <v>0</v>
      </c>
      <c r="F12" s="23" t="n">
        <f aca="false">C12+D12-E12</f>
        <v>85000</v>
      </c>
      <c r="G12" s="23" t="n">
        <f aca="false">SUMIFS('Asset Register'!$N$6:$N$155,'Asset Register'!$D$6:$D$155,$B12,'Asset Register'!$Q$6:$Q$155,"&gt;0")</f>
        <v>48524</v>
      </c>
      <c r="H12" s="23" t="n">
        <f aca="false">SUMIFS('Asset Register'!$V$6:$V$155,'Asset Register'!$D$6:$D$155,$B12)</f>
        <v>26917</v>
      </c>
      <c r="I12" s="23" t="n">
        <f aca="false">SUMIFS('Asset Register'!$X$6:$X$155,'Asset Register'!$D$6:$D$155,$B12)</f>
        <v>0</v>
      </c>
      <c r="J12" s="23" t="n">
        <f aca="false">G12+H12-I12</f>
        <v>75441</v>
      </c>
      <c r="K12" s="23" t="n">
        <f aca="false">F12-J12</f>
        <v>9559</v>
      </c>
      <c r="L12" s="23" t="n">
        <f aca="false">C12-G12</f>
        <v>36476</v>
      </c>
    </row>
    <row r="13" customFormat="false" ht="15" hidden="false" customHeight="false" outlineLevel="0" collapsed="false">
      <c r="B13" s="7" t="str">
        <f aca="false">IF(Settings!$B$21="","",Settings!$B$21)</f>
        <v>Computers — servers &amp; networks</v>
      </c>
      <c r="C13" s="23" t="n">
        <f aca="false">SUMIFS('Asset Register'!$Q$6:$Q$155,'Asset Register'!$D$6:$D$155,$B13)</f>
        <v>0</v>
      </c>
      <c r="D13" s="23" t="n">
        <f aca="false">SUMIFS('Asset Register'!$R$6:$R$155,'Asset Register'!$D$6:$D$155,$B13)</f>
        <v>320000</v>
      </c>
      <c r="E13" s="23" t="n">
        <f aca="false">SUMIFS('Asset Register'!$W$6:$W$155,'Asset Register'!$D$6:$D$155,$B13)</f>
        <v>0</v>
      </c>
      <c r="F13" s="23" t="n">
        <f aca="false">C13+D13-E13</f>
        <v>320000</v>
      </c>
      <c r="G13" s="23" t="n">
        <f aca="false">SUMIFS('Asset Register'!$N$6:$N$155,'Asset Register'!$D$6:$D$155,$B13,'Asset Register'!$Q$6:$Q$155,"&gt;0")</f>
        <v>0</v>
      </c>
      <c r="H13" s="23" t="n">
        <f aca="false">SUMIFS('Asset Register'!$V$6:$V$155,'Asset Register'!$D$6:$D$155,$B13)</f>
        <v>36091</v>
      </c>
      <c r="I13" s="23" t="n">
        <f aca="false">SUMIFS('Asset Register'!$X$6:$X$155,'Asset Register'!$D$6:$D$155,$B13)</f>
        <v>0</v>
      </c>
      <c r="J13" s="23" t="n">
        <f aca="false">G13+H13-I13</f>
        <v>36091</v>
      </c>
      <c r="K13" s="23" t="n">
        <f aca="false">F13-J13</f>
        <v>283909</v>
      </c>
      <c r="L13" s="23" t="n">
        <f aca="false">C13-G13</f>
        <v>0</v>
      </c>
    </row>
    <row r="14" customFormat="false" ht="15" hidden="false" customHeight="false" outlineLevel="0" collapsed="false">
      <c r="B14" s="7" t="str">
        <f aca="false">IF(Settings!$B$22="","",Settings!$B$22)</f>
        <v>Electrical installations &amp; equipment</v>
      </c>
      <c r="C14" s="23" t="n">
        <f aca="false">SUMIFS('Asset Register'!$Q$6:$Q$155,'Asset Register'!$D$6:$D$155,$B14)</f>
        <v>0</v>
      </c>
      <c r="D14" s="23" t="n">
        <f aca="false">SUMIFS('Asset Register'!$R$6:$R$155,'Asset Register'!$D$6:$D$155,$B14)</f>
        <v>0</v>
      </c>
      <c r="E14" s="23" t="n">
        <f aca="false">SUMIFS('Asset Register'!$W$6:$W$155,'Asset Register'!$D$6:$D$155,$B14)</f>
        <v>0</v>
      </c>
      <c r="F14" s="23" t="n">
        <f aca="false">C14+D14-E14</f>
        <v>0</v>
      </c>
      <c r="G14" s="23" t="n">
        <f aca="false">SUMIFS('Asset Register'!$N$6:$N$155,'Asset Register'!$D$6:$D$155,$B14,'Asset Register'!$Q$6:$Q$155,"&gt;0")</f>
        <v>0</v>
      </c>
      <c r="H14" s="23" t="n">
        <f aca="false">SUMIFS('Asset Register'!$V$6:$V$155,'Asset Register'!$D$6:$D$155,$B14)</f>
        <v>0</v>
      </c>
      <c r="I14" s="23" t="n">
        <f aca="false">SUMIFS('Asset Register'!$X$6:$X$155,'Asset Register'!$D$6:$D$155,$B14)</f>
        <v>0</v>
      </c>
      <c r="J14" s="23" t="n">
        <f aca="false">G14+H14-I14</f>
        <v>0</v>
      </c>
      <c r="K14" s="23" t="n">
        <f aca="false">F14-J14</f>
        <v>0</v>
      </c>
      <c r="L14" s="23" t="n">
        <f aca="false">C14-G14</f>
        <v>0</v>
      </c>
    </row>
    <row r="15" customFormat="false" ht="15" hidden="false" customHeight="false" outlineLevel="0" collapsed="false">
      <c r="B15" s="7" t="str">
        <f aca="false">IF(Settings!$B$23="","",Settings!$B$23)</f>
        <v>Motor cars</v>
      </c>
      <c r="C15" s="23" t="n">
        <f aca="false">SUMIFS('Asset Register'!$Q$6:$Q$155,'Asset Register'!$D$6:$D$155,$B15)</f>
        <v>0</v>
      </c>
      <c r="D15" s="23" t="n">
        <f aca="false">SUMIFS('Asset Register'!$R$6:$R$155,'Asset Register'!$D$6:$D$155,$B15)</f>
        <v>1050000</v>
      </c>
      <c r="E15" s="23" t="n">
        <f aca="false">SUMIFS('Asset Register'!$W$6:$W$155,'Asset Register'!$D$6:$D$155,$B15)</f>
        <v>0</v>
      </c>
      <c r="F15" s="23" t="n">
        <f aca="false">C15+D15-E15</f>
        <v>1050000</v>
      </c>
      <c r="G15" s="23" t="n">
        <f aca="false">SUMIFS('Asset Register'!$N$6:$N$155,'Asset Register'!$D$6:$D$155,$B15,'Asset Register'!$Q$6:$Q$155,"&gt;0")</f>
        <v>0</v>
      </c>
      <c r="H15" s="23" t="n">
        <f aca="false">SUMIFS('Asset Register'!$V$6:$V$155,'Asset Register'!$D$6:$D$155,$B15)</f>
        <v>116808</v>
      </c>
      <c r="I15" s="23" t="n">
        <f aca="false">SUMIFS('Asset Register'!$X$6:$X$155,'Asset Register'!$D$6:$D$155,$B15)</f>
        <v>0</v>
      </c>
      <c r="J15" s="23" t="n">
        <f aca="false">G15+H15-I15</f>
        <v>116808</v>
      </c>
      <c r="K15" s="23" t="n">
        <f aca="false">F15-J15</f>
        <v>933192</v>
      </c>
      <c r="L15" s="23" t="n">
        <f aca="false">C15-G15</f>
        <v>0</v>
      </c>
    </row>
    <row r="16" customFormat="false" ht="15" hidden="false" customHeight="false" outlineLevel="0" collapsed="false">
      <c r="B16" s="7" t="str">
        <f aca="false">IF(Settings!$B$24="","",Settings!$B$24)</f>
        <v>Motor cycles &amp; scooters</v>
      </c>
      <c r="C16" s="23" t="n">
        <f aca="false">SUMIFS('Asset Register'!$Q$6:$Q$155,'Asset Register'!$D$6:$D$155,$B16)</f>
        <v>0</v>
      </c>
      <c r="D16" s="23" t="n">
        <f aca="false">SUMIFS('Asset Register'!$R$6:$R$155,'Asset Register'!$D$6:$D$155,$B16)</f>
        <v>0</v>
      </c>
      <c r="E16" s="23" t="n">
        <f aca="false">SUMIFS('Asset Register'!$W$6:$W$155,'Asset Register'!$D$6:$D$155,$B16)</f>
        <v>0</v>
      </c>
      <c r="F16" s="23" t="n">
        <f aca="false">C16+D16-E16</f>
        <v>0</v>
      </c>
      <c r="G16" s="23" t="n">
        <f aca="false">SUMIFS('Asset Register'!$N$6:$N$155,'Asset Register'!$D$6:$D$155,$B16,'Asset Register'!$Q$6:$Q$155,"&gt;0")</f>
        <v>0</v>
      </c>
      <c r="H16" s="23" t="n">
        <f aca="false">SUMIFS('Asset Register'!$V$6:$V$155,'Asset Register'!$D$6:$D$155,$B16)</f>
        <v>0</v>
      </c>
      <c r="I16" s="23" t="n">
        <f aca="false">SUMIFS('Asset Register'!$X$6:$X$155,'Asset Register'!$D$6:$D$155,$B16)</f>
        <v>0</v>
      </c>
      <c r="J16" s="23" t="n">
        <f aca="false">G16+H16-I16</f>
        <v>0</v>
      </c>
      <c r="K16" s="23" t="n">
        <f aca="false">F16-J16</f>
        <v>0</v>
      </c>
      <c r="L16" s="23" t="n">
        <f aca="false">C16-G16</f>
        <v>0</v>
      </c>
    </row>
    <row r="17" customFormat="false" ht="15" hidden="false" customHeight="false" outlineLevel="0" collapsed="false">
      <c r="B17" s="7" t="str">
        <f aca="false">IF(Settings!$B$25="","",Settings!$B$25)</f>
        <v>Laboratory equipment</v>
      </c>
      <c r="C17" s="23" t="n">
        <f aca="false">SUMIFS('Asset Register'!$Q$6:$Q$155,'Asset Register'!$D$6:$D$155,$B17)</f>
        <v>0</v>
      </c>
      <c r="D17" s="23" t="n">
        <f aca="false">SUMIFS('Asset Register'!$R$6:$R$155,'Asset Register'!$D$6:$D$155,$B17)</f>
        <v>0</v>
      </c>
      <c r="E17" s="23" t="n">
        <f aca="false">SUMIFS('Asset Register'!$W$6:$W$155,'Asset Register'!$D$6:$D$155,$B17)</f>
        <v>0</v>
      </c>
      <c r="F17" s="23" t="n">
        <f aca="false">C17+D17-E17</f>
        <v>0</v>
      </c>
      <c r="G17" s="23" t="n">
        <f aca="false">SUMIFS('Asset Register'!$N$6:$N$155,'Asset Register'!$D$6:$D$155,$B17,'Asset Register'!$Q$6:$Q$155,"&gt;0")</f>
        <v>0</v>
      </c>
      <c r="H17" s="23" t="n">
        <f aca="false">SUMIFS('Asset Register'!$V$6:$V$155,'Asset Register'!$D$6:$D$155,$B17)</f>
        <v>0</v>
      </c>
      <c r="I17" s="23" t="n">
        <f aca="false">SUMIFS('Asset Register'!$X$6:$X$155,'Asset Register'!$D$6:$D$155,$B17)</f>
        <v>0</v>
      </c>
      <c r="J17" s="23" t="n">
        <f aca="false">G17+H17-I17</f>
        <v>0</v>
      </c>
      <c r="K17" s="23" t="n">
        <f aca="false">F17-J17</f>
        <v>0</v>
      </c>
      <c r="L17" s="23" t="n">
        <f aca="false">C17-G17</f>
        <v>0</v>
      </c>
    </row>
    <row r="18" customFormat="false" ht="15" hidden="false" customHeight="false" outlineLevel="0" collapsed="false">
      <c r="B18" s="7" t="str">
        <f aca="false">IF(Settings!$B$26="","",Settings!$B$26)</f>
        <v>Computer software (intangible)</v>
      </c>
      <c r="C18" s="23" t="n">
        <f aca="false">SUMIFS('Asset Register'!$Q$6:$Q$155,'Asset Register'!$D$6:$D$155,$B18)</f>
        <v>0</v>
      </c>
      <c r="D18" s="23" t="n">
        <f aca="false">SUMIFS('Asset Register'!$R$6:$R$155,'Asset Register'!$D$6:$D$155,$B18)</f>
        <v>0</v>
      </c>
      <c r="E18" s="23" t="n">
        <f aca="false">SUMIFS('Asset Register'!$W$6:$W$155,'Asset Register'!$D$6:$D$155,$B18)</f>
        <v>0</v>
      </c>
      <c r="F18" s="23" t="n">
        <f aca="false">C18+D18-E18</f>
        <v>0</v>
      </c>
      <c r="G18" s="23" t="n">
        <f aca="false">SUMIFS('Asset Register'!$N$6:$N$155,'Asset Register'!$D$6:$D$155,$B18,'Asset Register'!$Q$6:$Q$155,"&gt;0")</f>
        <v>0</v>
      </c>
      <c r="H18" s="23" t="n">
        <f aca="false">SUMIFS('Asset Register'!$V$6:$V$155,'Asset Register'!$D$6:$D$155,$B18)</f>
        <v>0</v>
      </c>
      <c r="I18" s="23" t="n">
        <f aca="false">SUMIFS('Asset Register'!$X$6:$X$155,'Asset Register'!$D$6:$D$155,$B18)</f>
        <v>0</v>
      </c>
      <c r="J18" s="23" t="n">
        <f aca="false">G18+H18-I18</f>
        <v>0</v>
      </c>
      <c r="K18" s="23" t="n">
        <f aca="false">F18-J18</f>
        <v>0</v>
      </c>
      <c r="L18" s="23" t="n">
        <f aca="false">C18-G18</f>
        <v>0</v>
      </c>
    </row>
    <row r="19" customFormat="false" ht="15" hidden="false" customHeight="false" outlineLevel="0" collapsed="false">
      <c r="B19" s="7" t="str">
        <f aca="false">IF(Settings!$B$27="","",Settings!$B$27)</f>
        <v/>
      </c>
      <c r="C19" s="23" t="n">
        <f aca="false">SUMIFS('Asset Register'!$Q$6:$Q$155,'Asset Register'!$D$6:$D$155,$B19)</f>
        <v>0</v>
      </c>
      <c r="D19" s="23" t="n">
        <f aca="false">SUMIFS('Asset Register'!$R$6:$R$155,'Asset Register'!$D$6:$D$155,$B19)</f>
        <v>0</v>
      </c>
      <c r="E19" s="23" t="n">
        <f aca="false">SUMIFS('Asset Register'!$W$6:$W$155,'Asset Register'!$D$6:$D$155,$B19)</f>
        <v>0</v>
      </c>
      <c r="F19" s="23" t="n">
        <f aca="false">C19+D19-E19</f>
        <v>0</v>
      </c>
      <c r="G19" s="23" t="n">
        <f aca="false">SUMIFS('Asset Register'!$N$6:$N$155,'Asset Register'!$D$6:$D$155,$B19,'Asset Register'!$Q$6:$Q$155,"&gt;0")</f>
        <v>0</v>
      </c>
      <c r="H19" s="23" t="n">
        <f aca="false">SUMIFS('Asset Register'!$V$6:$V$155,'Asset Register'!$D$6:$D$155,$B19)</f>
        <v>0</v>
      </c>
      <c r="I19" s="23" t="n">
        <f aca="false">SUMIFS('Asset Register'!$X$6:$X$155,'Asset Register'!$D$6:$D$155,$B19)</f>
        <v>0</v>
      </c>
      <c r="J19" s="23" t="n">
        <f aca="false">G19+H19-I19</f>
        <v>0</v>
      </c>
      <c r="K19" s="23" t="n">
        <f aca="false">F19-J19</f>
        <v>0</v>
      </c>
      <c r="L19" s="23" t="n">
        <f aca="false">C19-G19</f>
        <v>0</v>
      </c>
    </row>
    <row r="20" customFormat="false" ht="15" hidden="false" customHeight="false" outlineLevel="0" collapsed="false">
      <c r="B20" s="7" t="str">
        <f aca="false">IF(Settings!$B$28="","",Settings!$B$28)</f>
        <v/>
      </c>
      <c r="C20" s="23" t="n">
        <f aca="false">SUMIFS('Asset Register'!$Q$6:$Q$155,'Asset Register'!$D$6:$D$155,$B20)</f>
        <v>0</v>
      </c>
      <c r="D20" s="23" t="n">
        <f aca="false">SUMIFS('Asset Register'!$R$6:$R$155,'Asset Register'!$D$6:$D$155,$B20)</f>
        <v>0</v>
      </c>
      <c r="E20" s="23" t="n">
        <f aca="false">SUMIFS('Asset Register'!$W$6:$W$155,'Asset Register'!$D$6:$D$155,$B20)</f>
        <v>0</v>
      </c>
      <c r="F20" s="23" t="n">
        <f aca="false">C20+D20-E20</f>
        <v>0</v>
      </c>
      <c r="G20" s="23" t="n">
        <f aca="false">SUMIFS('Asset Register'!$N$6:$N$155,'Asset Register'!$D$6:$D$155,$B20,'Asset Register'!$Q$6:$Q$155,"&gt;0")</f>
        <v>0</v>
      </c>
      <c r="H20" s="23" t="n">
        <f aca="false">SUMIFS('Asset Register'!$V$6:$V$155,'Asset Register'!$D$6:$D$155,$B20)</f>
        <v>0</v>
      </c>
      <c r="I20" s="23" t="n">
        <f aca="false">SUMIFS('Asset Register'!$X$6:$X$155,'Asset Register'!$D$6:$D$155,$B20)</f>
        <v>0</v>
      </c>
      <c r="J20" s="23" t="n">
        <f aca="false">G20+H20-I20</f>
        <v>0</v>
      </c>
      <c r="K20" s="23" t="n">
        <f aca="false">F20-J20</f>
        <v>0</v>
      </c>
      <c r="L20" s="23" t="n">
        <f aca="false">C20-G20</f>
        <v>0</v>
      </c>
    </row>
    <row r="21" customFormat="false" ht="15" hidden="false" customHeight="false" outlineLevel="0" collapsed="false">
      <c r="B21" s="7" t="str">
        <f aca="false">IF(Settings!$B$29="","",Settings!$B$29)</f>
        <v/>
      </c>
      <c r="C21" s="23" t="n">
        <f aca="false">SUMIFS('Asset Register'!$Q$6:$Q$155,'Asset Register'!$D$6:$D$155,$B21)</f>
        <v>0</v>
      </c>
      <c r="D21" s="23" t="n">
        <f aca="false">SUMIFS('Asset Register'!$R$6:$R$155,'Asset Register'!$D$6:$D$155,$B21)</f>
        <v>0</v>
      </c>
      <c r="E21" s="23" t="n">
        <f aca="false">SUMIFS('Asset Register'!$W$6:$W$155,'Asset Register'!$D$6:$D$155,$B21)</f>
        <v>0</v>
      </c>
      <c r="F21" s="23" t="n">
        <f aca="false">C21+D21-E21</f>
        <v>0</v>
      </c>
      <c r="G21" s="23" t="n">
        <f aca="false">SUMIFS('Asset Register'!$N$6:$N$155,'Asset Register'!$D$6:$D$155,$B21,'Asset Register'!$Q$6:$Q$155,"&gt;0")</f>
        <v>0</v>
      </c>
      <c r="H21" s="23" t="n">
        <f aca="false">SUMIFS('Asset Register'!$V$6:$V$155,'Asset Register'!$D$6:$D$155,$B21)</f>
        <v>0</v>
      </c>
      <c r="I21" s="23" t="n">
        <f aca="false">SUMIFS('Asset Register'!$X$6:$X$155,'Asset Register'!$D$6:$D$155,$B21)</f>
        <v>0</v>
      </c>
      <c r="J21" s="23" t="n">
        <f aca="false">G21+H21-I21</f>
        <v>0</v>
      </c>
      <c r="K21" s="23" t="n">
        <f aca="false">F21-J21</f>
        <v>0</v>
      </c>
      <c r="L21" s="23" t="n">
        <f aca="false">C21-G21</f>
        <v>0</v>
      </c>
    </row>
    <row r="22" customFormat="false" ht="15" hidden="false" customHeight="false" outlineLevel="0" collapsed="false">
      <c r="B22" s="7" t="str">
        <f aca="false">IF(Settings!$B$30="","",Settings!$B$30)</f>
        <v/>
      </c>
      <c r="C22" s="23" t="n">
        <f aca="false">SUMIFS('Asset Register'!$Q$6:$Q$155,'Asset Register'!$D$6:$D$155,$B22)</f>
        <v>0</v>
      </c>
      <c r="D22" s="23" t="n">
        <f aca="false">SUMIFS('Asset Register'!$R$6:$R$155,'Asset Register'!$D$6:$D$155,$B22)</f>
        <v>0</v>
      </c>
      <c r="E22" s="23" t="n">
        <f aca="false">SUMIFS('Asset Register'!$W$6:$W$155,'Asset Register'!$D$6:$D$155,$B22)</f>
        <v>0</v>
      </c>
      <c r="F22" s="23" t="n">
        <f aca="false">C22+D22-E22</f>
        <v>0</v>
      </c>
      <c r="G22" s="23" t="n">
        <f aca="false">SUMIFS('Asset Register'!$N$6:$N$155,'Asset Register'!$D$6:$D$155,$B22,'Asset Register'!$Q$6:$Q$155,"&gt;0")</f>
        <v>0</v>
      </c>
      <c r="H22" s="23" t="n">
        <f aca="false">SUMIFS('Asset Register'!$V$6:$V$155,'Asset Register'!$D$6:$D$155,$B22)</f>
        <v>0</v>
      </c>
      <c r="I22" s="23" t="n">
        <f aca="false">SUMIFS('Asset Register'!$X$6:$X$155,'Asset Register'!$D$6:$D$155,$B22)</f>
        <v>0</v>
      </c>
      <c r="J22" s="23" t="n">
        <f aca="false">G22+H22-I22</f>
        <v>0</v>
      </c>
      <c r="K22" s="23" t="n">
        <f aca="false">F22-J22</f>
        <v>0</v>
      </c>
      <c r="L22" s="23" t="n">
        <f aca="false">C22-G22</f>
        <v>0</v>
      </c>
    </row>
    <row r="23" customFormat="false" ht="15" hidden="false" customHeight="false" outlineLevel="0" collapsed="false">
      <c r="B23" s="7" t="str">
        <f aca="false">IF(Settings!$B$31="","",Settings!$B$31)</f>
        <v/>
      </c>
      <c r="C23" s="23" t="n">
        <f aca="false">SUMIFS('Asset Register'!$Q$6:$Q$155,'Asset Register'!$D$6:$D$155,$B23)</f>
        <v>0</v>
      </c>
      <c r="D23" s="23" t="n">
        <f aca="false">SUMIFS('Asset Register'!$R$6:$R$155,'Asset Register'!$D$6:$D$155,$B23)</f>
        <v>0</v>
      </c>
      <c r="E23" s="23" t="n">
        <f aca="false">SUMIFS('Asset Register'!$W$6:$W$155,'Asset Register'!$D$6:$D$155,$B23)</f>
        <v>0</v>
      </c>
      <c r="F23" s="23" t="n">
        <f aca="false">C23+D23-E23</f>
        <v>0</v>
      </c>
      <c r="G23" s="23" t="n">
        <f aca="false">SUMIFS('Asset Register'!$N$6:$N$155,'Asset Register'!$D$6:$D$155,$B23,'Asset Register'!$Q$6:$Q$155,"&gt;0")</f>
        <v>0</v>
      </c>
      <c r="H23" s="23" t="n">
        <f aca="false">SUMIFS('Asset Register'!$V$6:$V$155,'Asset Register'!$D$6:$D$155,$B23)</f>
        <v>0</v>
      </c>
      <c r="I23" s="23" t="n">
        <f aca="false">SUMIFS('Asset Register'!$X$6:$X$155,'Asset Register'!$D$6:$D$155,$B23)</f>
        <v>0</v>
      </c>
      <c r="J23" s="23" t="n">
        <f aca="false">G23+H23-I23</f>
        <v>0</v>
      </c>
      <c r="K23" s="23" t="n">
        <f aca="false">F23-J23</f>
        <v>0</v>
      </c>
      <c r="L23" s="23" t="n">
        <f aca="false">C23-G23</f>
        <v>0</v>
      </c>
    </row>
    <row r="24" customFormat="false" ht="15" hidden="false" customHeight="false" outlineLevel="0" collapsed="false">
      <c r="B24" s="26" t="s">
        <v>80</v>
      </c>
      <c r="C24" s="27" t="n">
        <f aca="false">SUM(C6:C23)</f>
        <v>370000</v>
      </c>
      <c r="D24" s="27" t="n">
        <f aca="false">SUM(D6:D23)</f>
        <v>1370000</v>
      </c>
      <c r="E24" s="27" t="n">
        <f aca="false">SUM(E6:E23)</f>
        <v>45000</v>
      </c>
      <c r="F24" s="27" t="n">
        <f aca="false">SUM(F6:F23)</f>
        <v>1695000</v>
      </c>
      <c r="G24" s="27" t="n">
        <f aca="false">SUM(G6:G23)</f>
        <v>140074</v>
      </c>
      <c r="H24" s="27" t="n">
        <f aca="false">SUM(H6:H23)</f>
        <v>231180</v>
      </c>
      <c r="I24" s="27" t="n">
        <f aca="false">SUM(I6:I23)</f>
        <v>37763</v>
      </c>
      <c r="J24" s="27" t="n">
        <f aca="false">SUM(J6:J23)</f>
        <v>333491</v>
      </c>
      <c r="K24" s="27" t="n">
        <f aca="false">SUM(K6:K23)</f>
        <v>1361509</v>
      </c>
      <c r="L24" s="27" t="n">
        <f aca="false">SUM(L6:L23)</f>
        <v>229926</v>
      </c>
    </row>
    <row r="26" customFormat="false" ht="15" hidden="false" customHeight="false" outlineLevel="0" collapsed="false">
      <c r="B26" s="7" t="s">
        <v>88</v>
      </c>
      <c r="C26" s="25" t="n">
        <f aca="false">K24-'Asset Register'!AA156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10" min="4" style="0" width="14"/>
  </cols>
  <sheetData>
    <row r="2" customFormat="false" ht="19.7" hidden="false" customHeight="false" outlineLevel="0" collapsed="false">
      <c r="B2" s="1" t="s">
        <v>89</v>
      </c>
    </row>
    <row r="3" customFormat="false" ht="15" hidden="false" customHeight="false" outlineLevel="0" collapsed="false">
      <c r="B3" s="2" t="s">
        <v>90</v>
      </c>
    </row>
    <row r="5" customFormat="false" ht="30" hidden="false" customHeight="true" outlineLevel="0" collapsed="false">
      <c r="B5" s="16" t="s">
        <v>91</v>
      </c>
      <c r="C5" s="17" t="s">
        <v>92</v>
      </c>
      <c r="D5" s="17" t="s">
        <v>93</v>
      </c>
      <c r="E5" s="17" t="s">
        <v>94</v>
      </c>
      <c r="F5" s="17" t="s">
        <v>95</v>
      </c>
      <c r="G5" s="17" t="s">
        <v>96</v>
      </c>
      <c r="H5" s="17" t="s">
        <v>97</v>
      </c>
      <c r="I5" s="17" t="s">
        <v>98</v>
      </c>
      <c r="J5" s="17" t="s">
        <v>99</v>
      </c>
    </row>
    <row r="6" customFormat="false" ht="15" hidden="false" customHeight="false" outlineLevel="0" collapsed="false">
      <c r="B6" s="7" t="str">
        <f aca="false">Settings!$E$14</f>
        <v>Building — residential</v>
      </c>
      <c r="C6" s="28" t="n">
        <f aca="false">Settings!$F$14</f>
        <v>0.05</v>
      </c>
      <c r="D6" s="19" t="n">
        <v>0</v>
      </c>
      <c r="E6" s="23" t="n">
        <f aca="false">SUMIFS('Asset Register'!$R$6:$R$155,'Asset Register'!$M$6:$M$155,$B6,'Asset Register'!$AC$6:$AC$155,"No")</f>
        <v>0</v>
      </c>
      <c r="F6" s="23" t="n">
        <f aca="false">SUMIFS('Asset Register'!$R$6:$R$155,'Asset Register'!$M$6:$M$155,$B6,'Asset Register'!$AC$6:$AC$155,"Yes")</f>
        <v>0</v>
      </c>
      <c r="G6" s="23" t="n">
        <f aca="false">SUMIFS('Asset Register'!$P$6:$P$155,'Asset Register'!$M$6:$M$155,$B6,'Asset Register'!$W$6:$W$155,"&gt;0")</f>
        <v>0</v>
      </c>
      <c r="H6" s="23" t="n">
        <f aca="false">D6+E6+F6-G6</f>
        <v>0</v>
      </c>
      <c r="I6" s="25" t="n">
        <f aca="false">IF(H6&lt;=0,0,ROUND(MAX(0,D6+E6-G6)*C6+MIN(F6,H6)*C6/2,0))</f>
        <v>0</v>
      </c>
      <c r="J6" s="23" t="n">
        <f aca="false">MAX(0,H6)-I6</f>
        <v>0</v>
      </c>
    </row>
    <row r="7" customFormat="false" ht="15" hidden="false" customHeight="false" outlineLevel="0" collapsed="false">
      <c r="B7" s="7" t="str">
        <f aca="false">Settings!$E$15</f>
        <v>Building — other</v>
      </c>
      <c r="C7" s="28" t="n">
        <f aca="false">Settings!$F$15</f>
        <v>0.1</v>
      </c>
      <c r="D7" s="19" t="n">
        <v>0</v>
      </c>
      <c r="E7" s="23" t="n">
        <f aca="false">SUMIFS('Asset Register'!$R$6:$R$155,'Asset Register'!$M$6:$M$155,$B7,'Asset Register'!$AC$6:$AC$155,"No")</f>
        <v>0</v>
      </c>
      <c r="F7" s="23" t="n">
        <f aca="false">SUMIFS('Asset Register'!$R$6:$R$155,'Asset Register'!$M$6:$M$155,$B7,'Asset Register'!$AC$6:$AC$155,"Yes")</f>
        <v>0</v>
      </c>
      <c r="G7" s="23" t="n">
        <f aca="false">SUMIFS('Asset Register'!$P$6:$P$155,'Asset Register'!$M$6:$M$155,$B7,'Asset Register'!$W$6:$W$155,"&gt;0")</f>
        <v>0</v>
      </c>
      <c r="H7" s="23" t="n">
        <f aca="false">D7+E7+F7-G7</f>
        <v>0</v>
      </c>
      <c r="I7" s="25" t="n">
        <f aca="false">IF(H7&lt;=0,0,ROUND(MAX(0,D7+E7-G7)*C7+MIN(F7,H7)*C7/2,0))</f>
        <v>0</v>
      </c>
      <c r="J7" s="23" t="n">
        <f aca="false">MAX(0,H7)-I7</f>
        <v>0</v>
      </c>
    </row>
    <row r="8" customFormat="false" ht="15" hidden="false" customHeight="false" outlineLevel="0" collapsed="false">
      <c r="B8" s="7" t="str">
        <f aca="false">Settings!$E$16</f>
        <v>Furniture &amp; fittings</v>
      </c>
      <c r="C8" s="28" t="n">
        <f aca="false">Settings!$F$16</f>
        <v>0.1</v>
      </c>
      <c r="D8" s="19" t="n">
        <v>216000</v>
      </c>
      <c r="E8" s="23" t="n">
        <f aca="false">SUMIFS('Asset Register'!$R$6:$R$155,'Asset Register'!$M$6:$M$155,$B8,'Asset Register'!$AC$6:$AC$155,"No")</f>
        <v>0</v>
      </c>
      <c r="F8" s="23" t="n">
        <f aca="false">SUMIFS('Asset Register'!$R$6:$R$155,'Asset Register'!$M$6:$M$155,$B8,'Asset Register'!$AC$6:$AC$155,"Yes")</f>
        <v>0</v>
      </c>
      <c r="G8" s="23" t="n">
        <f aca="false">SUMIFS('Asset Register'!$P$6:$P$155,'Asset Register'!$M$6:$M$155,$B8,'Asset Register'!$W$6:$W$155,"&gt;0")</f>
        <v>0</v>
      </c>
      <c r="H8" s="23" t="n">
        <f aca="false">D8+E8+F8-G8</f>
        <v>216000</v>
      </c>
      <c r="I8" s="25" t="n">
        <f aca="false">IF(H8&lt;=0,0,ROUND(MAX(0,D8+E8-G8)*C8+MIN(F8,H8)*C8/2,0))</f>
        <v>21600</v>
      </c>
      <c r="J8" s="23" t="n">
        <f aca="false">MAX(0,H8)-I8</f>
        <v>194400</v>
      </c>
    </row>
    <row r="9" customFormat="false" ht="15" hidden="false" customHeight="false" outlineLevel="0" collapsed="false">
      <c r="B9" s="7" t="str">
        <f aca="false">Settings!$E$17</f>
        <v>Plant &amp; machinery — general</v>
      </c>
      <c r="C9" s="28" t="n">
        <f aca="false">Settings!$F$17</f>
        <v>0.15</v>
      </c>
      <c r="D9" s="19" t="n">
        <v>23490</v>
      </c>
      <c r="E9" s="23" t="n">
        <f aca="false">SUMIFS('Asset Register'!$R$6:$R$155,'Asset Register'!$M$6:$M$155,$B9,'Asset Register'!$AC$6:$AC$155,"No")</f>
        <v>0</v>
      </c>
      <c r="F9" s="23" t="n">
        <f aca="false">SUMIFS('Asset Register'!$R$6:$R$155,'Asset Register'!$M$6:$M$155,$B9,'Asset Register'!$AC$6:$AC$155,"Yes")</f>
        <v>0</v>
      </c>
      <c r="G9" s="23" t="n">
        <f aca="false">SUMIFS('Asset Register'!$P$6:$P$155,'Asset Register'!$M$6:$M$155,$B9,'Asset Register'!$W$6:$W$155,"&gt;0")</f>
        <v>6000</v>
      </c>
      <c r="H9" s="23" t="n">
        <f aca="false">D9+E9+F9-G9</f>
        <v>17490</v>
      </c>
      <c r="I9" s="25" t="n">
        <f aca="false">IF(H9&lt;=0,0,ROUND(MAX(0,D9+E9-G9)*C9+MIN(F9,H9)*C9/2,0))</f>
        <v>2624</v>
      </c>
      <c r="J9" s="23" t="n">
        <f aca="false">MAX(0,H9)-I9</f>
        <v>14866</v>
      </c>
    </row>
    <row r="10" customFormat="false" ht="15" hidden="false" customHeight="false" outlineLevel="0" collapsed="false">
      <c r="B10" s="7" t="str">
        <f aca="false">Settings!$E$18</f>
        <v>Motor cars (not for hire)</v>
      </c>
      <c r="C10" s="28" t="n">
        <f aca="false">Settings!$F$18</f>
        <v>0.15</v>
      </c>
      <c r="D10" s="19" t="n">
        <v>0</v>
      </c>
      <c r="E10" s="23" t="n">
        <f aca="false">SUMIFS('Asset Register'!$R$6:$R$155,'Asset Register'!$M$6:$M$155,$B10,'Asset Register'!$AC$6:$AC$155,"No")</f>
        <v>0</v>
      </c>
      <c r="F10" s="23" t="n">
        <f aca="false">SUMIFS('Asset Register'!$R$6:$R$155,'Asset Register'!$M$6:$M$155,$B10,'Asset Register'!$AC$6:$AC$155,"Yes")</f>
        <v>1050000</v>
      </c>
      <c r="G10" s="23" t="n">
        <f aca="false">SUMIFS('Asset Register'!$P$6:$P$155,'Asset Register'!$M$6:$M$155,$B10,'Asset Register'!$W$6:$W$155,"&gt;0")</f>
        <v>0</v>
      </c>
      <c r="H10" s="23" t="n">
        <f aca="false">D10+E10+F10-G10</f>
        <v>1050000</v>
      </c>
      <c r="I10" s="25" t="n">
        <f aca="false">IF(H10&lt;=0,0,ROUND(MAX(0,D10+E10-G10)*C10+MIN(F10,H10)*C10/2,0))</f>
        <v>78750</v>
      </c>
      <c r="J10" s="23" t="n">
        <f aca="false">MAX(0,H10)-I10</f>
        <v>971250</v>
      </c>
    </row>
    <row r="11" customFormat="false" ht="15" hidden="false" customHeight="false" outlineLevel="0" collapsed="false">
      <c r="B11" s="7" t="str">
        <f aca="false">Settings!$E$19</f>
        <v>Computers &amp; software</v>
      </c>
      <c r="C11" s="28" t="n">
        <f aca="false">Settings!$F$19</f>
        <v>0.4</v>
      </c>
      <c r="D11" s="19" t="n">
        <v>30600</v>
      </c>
      <c r="E11" s="23" t="n">
        <f aca="false">SUMIFS('Asset Register'!$R$6:$R$155,'Asset Register'!$M$6:$M$155,$B11,'Asset Register'!$AC$6:$AC$155,"No")</f>
        <v>320000</v>
      </c>
      <c r="F11" s="23" t="n">
        <f aca="false">SUMIFS('Asset Register'!$R$6:$R$155,'Asset Register'!$M$6:$M$155,$B11,'Asset Register'!$AC$6:$AC$155,"Yes")</f>
        <v>0</v>
      </c>
      <c r="G11" s="23" t="n">
        <f aca="false">SUMIFS('Asset Register'!$P$6:$P$155,'Asset Register'!$M$6:$M$155,$B11,'Asset Register'!$W$6:$W$155,"&gt;0")</f>
        <v>0</v>
      </c>
      <c r="H11" s="23" t="n">
        <f aca="false">D11+E11+F11-G11</f>
        <v>350600</v>
      </c>
      <c r="I11" s="25" t="n">
        <f aca="false">IF(H11&lt;=0,0,ROUND(MAX(0,D11+E11-G11)*C11+MIN(F11,H11)*C11/2,0))</f>
        <v>140240</v>
      </c>
      <c r="J11" s="23" t="n">
        <f aca="false">MAX(0,H11)-I11</f>
        <v>210360</v>
      </c>
    </row>
    <row r="12" customFormat="false" ht="15" hidden="false" customHeight="false" outlineLevel="0" collapsed="false">
      <c r="B12" s="7" t="str">
        <f aca="false">Settings!$E$20</f>
        <v>Intangible assets</v>
      </c>
      <c r="C12" s="28" t="n">
        <f aca="false">Settings!$F$20</f>
        <v>0.25</v>
      </c>
      <c r="D12" s="19" t="n">
        <v>0</v>
      </c>
      <c r="E12" s="23" t="n">
        <f aca="false">SUMIFS('Asset Register'!$R$6:$R$155,'Asset Register'!$M$6:$M$155,$B12,'Asset Register'!$AC$6:$AC$155,"No")</f>
        <v>0</v>
      </c>
      <c r="F12" s="23" t="n">
        <f aca="false">SUMIFS('Asset Register'!$R$6:$R$155,'Asset Register'!$M$6:$M$155,$B12,'Asset Register'!$AC$6:$AC$155,"Yes")</f>
        <v>0</v>
      </c>
      <c r="G12" s="23" t="n">
        <f aca="false">SUMIFS('Asset Register'!$P$6:$P$155,'Asset Register'!$M$6:$M$155,$B12,'Asset Register'!$W$6:$W$155,"&gt;0")</f>
        <v>0</v>
      </c>
      <c r="H12" s="23" t="n">
        <f aca="false">D12+E12+F12-G12</f>
        <v>0</v>
      </c>
      <c r="I12" s="25" t="n">
        <f aca="false">IF(H12&lt;=0,0,ROUND(MAX(0,D12+E12-G12)*C12+MIN(F12,H12)*C12/2,0))</f>
        <v>0</v>
      </c>
      <c r="J12" s="23" t="n">
        <f aca="false">MAX(0,H12)-I12</f>
        <v>0</v>
      </c>
    </row>
    <row r="13" customFormat="false" ht="15" hidden="false" customHeight="false" outlineLevel="0" collapsed="false">
      <c r="B13" s="26" t="s">
        <v>80</v>
      </c>
      <c r="C13" s="29"/>
      <c r="D13" s="27" t="n">
        <f aca="false">SUM(D6:D12)</f>
        <v>270090</v>
      </c>
      <c r="E13" s="27" t="n">
        <f aca="false">SUM(E6:E12)</f>
        <v>320000</v>
      </c>
      <c r="F13" s="27" t="n">
        <f aca="false">SUM(F6:F12)</f>
        <v>1050000</v>
      </c>
      <c r="G13" s="27" t="n">
        <f aca="false">SUM(G6:G12)</f>
        <v>6000</v>
      </c>
      <c r="H13" s="27" t="n">
        <f aca="false">SUM(H6:H12)</f>
        <v>1634090</v>
      </c>
      <c r="I13" s="27" t="n">
        <f aca="false">SUM(I6:I12)</f>
        <v>243214</v>
      </c>
      <c r="J13" s="27" t="n">
        <f aca="false">SUM(J6:J12)</f>
        <v>1390876</v>
      </c>
    </row>
    <row r="15" customFormat="false" ht="15" hidden="false" customHeight="false" outlineLevel="0" collapsed="false">
      <c r="B15" s="3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5" min="5" style="0" width="34"/>
    <col collapsed="false" customWidth="true" hidden="false" outlineLevel="0" max="6" min="6" style="0" width="10"/>
  </cols>
  <sheetData>
    <row r="2" customFormat="false" ht="19.7" hidden="false" customHeight="false" outlineLevel="0" collapsed="false">
      <c r="B2" s="1" t="s">
        <v>101</v>
      </c>
    </row>
    <row r="3" customFormat="false" ht="15" hidden="false" customHeight="false" outlineLevel="0" collapsed="false">
      <c r="B3" s="2"/>
    </row>
    <row r="5" customFormat="false" ht="15" hidden="false" customHeight="false" outlineLevel="0" collapsed="false">
      <c r="B5" s="31" t="s">
        <v>102</v>
      </c>
      <c r="C5" s="5" t="s">
        <v>103</v>
      </c>
    </row>
    <row r="6" customFormat="false" ht="15" hidden="false" customHeight="false" outlineLevel="0" collapsed="false">
      <c r="B6" s="31" t="s">
        <v>104</v>
      </c>
      <c r="C6" s="18" t="n">
        <v>46113</v>
      </c>
    </row>
    <row r="7" customFormat="false" ht="15" hidden="false" customHeight="false" outlineLevel="0" collapsed="false">
      <c r="B7" s="31" t="s">
        <v>105</v>
      </c>
      <c r="C7" s="18" t="n">
        <v>46477</v>
      </c>
    </row>
    <row r="8" customFormat="false" ht="15" hidden="false" customHeight="false" outlineLevel="0" collapsed="false">
      <c r="B8" s="31" t="s">
        <v>106</v>
      </c>
      <c r="C8" s="20" t="n">
        <v>0.05</v>
      </c>
    </row>
    <row r="9" customFormat="false" ht="15" hidden="false" customHeight="false" outlineLevel="0" collapsed="false">
      <c r="B9" s="31" t="s">
        <v>107</v>
      </c>
      <c r="C9" s="21" t="n">
        <f aca="false">C7-C6+1</f>
        <v>365</v>
      </c>
    </row>
    <row r="12" customFormat="false" ht="15" hidden="false" customHeight="false" outlineLevel="0" collapsed="false">
      <c r="B12" s="3" t="s">
        <v>108</v>
      </c>
      <c r="E12" s="3" t="s">
        <v>109</v>
      </c>
    </row>
    <row r="13" customFormat="false" ht="30" hidden="false" customHeight="true" outlineLevel="0" collapsed="false">
      <c r="B13" s="16" t="s">
        <v>83</v>
      </c>
      <c r="C13" s="17" t="s">
        <v>110</v>
      </c>
      <c r="E13" s="16" t="s">
        <v>91</v>
      </c>
      <c r="F13" s="17" t="s">
        <v>92</v>
      </c>
    </row>
    <row r="14" customFormat="false" ht="15" hidden="false" customHeight="false" outlineLevel="0" collapsed="false">
      <c r="B14" s="5" t="s">
        <v>111</v>
      </c>
      <c r="C14" s="22" t="n">
        <v>60</v>
      </c>
      <c r="E14" s="5" t="s">
        <v>112</v>
      </c>
      <c r="F14" s="20" t="n">
        <v>0.05</v>
      </c>
    </row>
    <row r="15" customFormat="false" ht="15" hidden="false" customHeight="false" outlineLevel="0" collapsed="false">
      <c r="B15" s="5" t="s">
        <v>113</v>
      </c>
      <c r="C15" s="22" t="n">
        <v>30</v>
      </c>
      <c r="E15" s="5" t="s">
        <v>114</v>
      </c>
      <c r="F15" s="20" t="n">
        <v>0.1</v>
      </c>
    </row>
    <row r="16" customFormat="false" ht="15" hidden="false" customHeight="false" outlineLevel="0" collapsed="false">
      <c r="B16" s="5" t="s">
        <v>115</v>
      </c>
      <c r="C16" s="22" t="n">
        <v>30</v>
      </c>
      <c r="E16" s="5" t="s">
        <v>67</v>
      </c>
      <c r="F16" s="20" t="n">
        <v>0.1</v>
      </c>
    </row>
    <row r="17" customFormat="false" ht="15" hidden="false" customHeight="false" outlineLevel="0" collapsed="false">
      <c r="B17" s="5" t="s">
        <v>79</v>
      </c>
      <c r="C17" s="22" t="n">
        <v>15</v>
      </c>
      <c r="E17" s="5" t="s">
        <v>79</v>
      </c>
      <c r="F17" s="20" t="n">
        <v>0.15</v>
      </c>
    </row>
    <row r="18" customFormat="false" ht="15" hidden="false" customHeight="false" outlineLevel="0" collapsed="false">
      <c r="B18" s="5" t="s">
        <v>67</v>
      </c>
      <c r="C18" s="22" t="n">
        <v>10</v>
      </c>
      <c r="E18" s="5" t="s">
        <v>75</v>
      </c>
      <c r="F18" s="20" t="n">
        <v>0.15</v>
      </c>
    </row>
    <row r="19" customFormat="false" ht="15" hidden="false" customHeight="false" outlineLevel="0" collapsed="false">
      <c r="B19" s="5" t="s">
        <v>78</v>
      </c>
      <c r="C19" s="22" t="n">
        <v>5</v>
      </c>
      <c r="E19" s="5" t="s">
        <v>64</v>
      </c>
      <c r="F19" s="20" t="n">
        <v>0.4</v>
      </c>
    </row>
    <row r="20" customFormat="false" ht="15" hidden="false" customHeight="false" outlineLevel="0" collapsed="false">
      <c r="B20" s="5" t="s">
        <v>61</v>
      </c>
      <c r="C20" s="22" t="n">
        <v>3</v>
      </c>
      <c r="E20" s="5" t="s">
        <v>116</v>
      </c>
      <c r="F20" s="20" t="n">
        <v>0.25</v>
      </c>
    </row>
    <row r="21" customFormat="false" ht="15" hidden="false" customHeight="false" outlineLevel="0" collapsed="false">
      <c r="B21" s="5" t="s">
        <v>71</v>
      </c>
      <c r="C21" s="22" t="n">
        <v>6</v>
      </c>
    </row>
    <row r="22" customFormat="false" ht="15" hidden="false" customHeight="false" outlineLevel="0" collapsed="false">
      <c r="B22" s="5" t="s">
        <v>117</v>
      </c>
      <c r="C22" s="22" t="n">
        <v>10</v>
      </c>
    </row>
    <row r="23" customFormat="false" ht="15" hidden="false" customHeight="false" outlineLevel="0" collapsed="false">
      <c r="B23" s="5" t="s">
        <v>74</v>
      </c>
      <c r="C23" s="22" t="n">
        <v>8</v>
      </c>
    </row>
    <row r="24" customFormat="false" ht="15" hidden="false" customHeight="false" outlineLevel="0" collapsed="false">
      <c r="B24" s="5" t="s">
        <v>118</v>
      </c>
      <c r="C24" s="22" t="n">
        <v>10</v>
      </c>
    </row>
    <row r="25" customFormat="false" ht="15" hidden="false" customHeight="false" outlineLevel="0" collapsed="false">
      <c r="B25" s="5" t="s">
        <v>119</v>
      </c>
      <c r="C25" s="22" t="n">
        <v>10</v>
      </c>
    </row>
    <row r="26" customFormat="false" ht="15" hidden="false" customHeight="false" outlineLevel="0" collapsed="false">
      <c r="B26" s="5" t="s">
        <v>120</v>
      </c>
      <c r="C26" s="22" t="n">
        <v>5</v>
      </c>
    </row>
    <row r="27" customFormat="false" ht="15" hidden="false" customHeight="false" outlineLevel="0" collapsed="false">
      <c r="B27" s="5"/>
      <c r="C27" s="22"/>
    </row>
    <row r="28" customFormat="false" ht="15" hidden="false" customHeight="false" outlineLevel="0" collapsed="false">
      <c r="B28" s="5"/>
      <c r="C28" s="22"/>
    </row>
    <row r="29" customFormat="false" ht="15" hidden="false" customHeight="false" outlineLevel="0" collapsed="false">
      <c r="B29" s="5"/>
      <c r="C29" s="22"/>
    </row>
    <row r="30" customFormat="false" ht="15" hidden="false" customHeight="false" outlineLevel="0" collapsed="false">
      <c r="B30" s="5"/>
      <c r="C30" s="22"/>
    </row>
    <row r="31" customFormat="false" ht="15" hidden="false" customHeight="false" outlineLevel="0" collapsed="false">
      <c r="B31" s="5"/>
      <c r="C3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2026-10-26T18:06:13Z</dcterms:created>
  <dc:creator>openpyxl</dc:creator>
  <dc:description/>
  <dc:language>en-US</dc:language>
  <cp:lastModifiedBy/>
  <dcterms:modified xsi:type="dcterms:W3CDTF">2026-10-26T18:06:14Z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