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Cash Flow Statement" sheetId="2" state="visible" r:id="rId4"/>
    <sheet name="Balance Sheet" sheetId="3" state="visible" r:id="rId5"/>
    <sheet name="P&amp;L &amp; Other Inf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<sst xmlns="http://schemas.openxmlformats.org/spreadsheetml/2006/main" count="116" uniqueCount="108">
  <si>
    <t xml:space="preserve">MyFinMantra — Cash Flow Statement (Indirect Method)</t>
  </si>
  <si>
    <t xml:space="preserve">Client service format · Clear books. Confident business.</t>
  </si>
  <si>
    <t xml:space="preserve">Purpose</t>
  </si>
  <si>
    <t xml:space="preserve">Prepares the cash flow statement under the indirect method (AS 3 / Ind AS 7 format) from two balance sheets and a few profit and loss figures, with a built-in check that the computed closing cash agrees with the balance sheet.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</si>
  <si>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</si>
  <si>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</si>
  <si>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</si>
  <si>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</si>
  <si>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</si>
  <si>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</si>
  <si>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</si>
  <si>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</si>
  <si>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</si>
  <si>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'Balance Sheet', enter the previous year and current year figures. The check row must show 0.</t>
  </si>
  <si>
    <t xml:space="preserve">Step 2</t>
  </si>
  <si>
    <t xml:space="preserve">On 'P&amp;L &amp; Other Info', enter profit before tax, depreciation, finance costs, interest income, tax paid and the other items listed.</t>
  </si>
  <si>
    <t xml:space="preserve">Step 3</t>
  </si>
  <si>
    <t xml:space="preserve">Open 'Cash Flow Statement'. Operating, investing and financing activities calculate automatically.</t>
  </si>
  <si>
    <t xml:space="preserve">Step 4</t>
  </si>
  <si>
    <t xml:space="preserve">The final check compares computed closing cash with the balance sheet. If it isn't 0, look at the reserves check on 'P&amp;L &amp; Other Info' and any items not covered (e.g. revaluation, bonus shares).</t>
  </si>
  <si>
    <t xml:space="preserve">Notes</t>
  </si>
  <si>
    <t xml:space="preserve">Purchase of PPE is derived: closing net PPE − opening net PPE + depreciation + book value of PPE sold.</t>
  </si>
  <si>
    <t xml:space="preserve">Interest paid is taken as equal to finance costs and interest received as interest income (no accruals). Changes in investments are treated as purchases / sales for cash.</t>
  </si>
  <si>
    <t xml:space="preserve">Increase in share capital is treated as cash raised; securities premium should be added via reserves only if received in cash.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</si>
  <si>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</si>
  <si>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</si>
  <si>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</si>
  <si>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</si>
  <si>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Indirect method (AS 3 / Ind AS 7) · ₹</t>
  </si>
  <si>
    <t xml:space="preserve">Particulars</t>
  </si>
  <si>
    <t xml:space="preserve">₹</t>
  </si>
  <si>
    <t xml:space="preserve">A. Cash flow from operating activities</t>
  </si>
  <si>
    <t xml:space="preserve">Profit before tax</t>
  </si>
  <si>
    <t xml:space="preserve">Adjustments for:</t>
  </si>
  <si>
    <t xml:space="preserve">Depreciation and amortisation</t>
  </si>
  <si>
    <t xml:space="preserve">Finance costs</t>
  </si>
  <si>
    <t xml:space="preserve">Interest income</t>
  </si>
  <si>
    <t xml:space="preserve">Dividend income</t>
  </si>
  <si>
    <t xml:space="preserve">(Profit) / loss on sale of PPE</t>
  </si>
  <si>
    <t xml:space="preserve">Operating profit before working capital changes</t>
  </si>
  <si>
    <t xml:space="preserve">Changes in working capital:</t>
  </si>
  <si>
    <t xml:space="preserve">(Increase) / decrease in inventories</t>
  </si>
  <si>
    <t xml:space="preserve">(Increase) / decrease in trade receivables</t>
  </si>
  <si>
    <t xml:space="preserve">(Increase) / decrease in short-term loans and advances</t>
  </si>
  <si>
    <t xml:space="preserve">(Increase) / decrease in other current assets</t>
  </si>
  <si>
    <t xml:space="preserve">Increase / (decrease) in trade payables</t>
  </si>
  <si>
    <t xml:space="preserve">Increase / (decrease) in other current liabilities</t>
  </si>
  <si>
    <t xml:space="preserve">Increase / (decrease) in short-term provisions</t>
  </si>
  <si>
    <t xml:space="preserve">Cash generated from operations</t>
  </si>
  <si>
    <t xml:space="preserve">Income tax paid (net)</t>
  </si>
  <si>
    <t xml:space="preserve">Net cash from operating activities (A)</t>
  </si>
  <si>
    <t xml:space="preserve">B. Cash flow from investing activities</t>
  </si>
  <si>
    <t xml:space="preserve">Purchase of property, plant and equipment</t>
  </si>
  <si>
    <t xml:space="preserve">Proceeds from sale of PPE</t>
  </si>
  <si>
    <t xml:space="preserve">(Purchase) / sale of investments (net)</t>
  </si>
  <si>
    <t xml:space="preserve">Interest received</t>
  </si>
  <si>
    <t xml:space="preserve">Dividend received</t>
  </si>
  <si>
    <t xml:space="preserve">Net cash used in investing activities (B)</t>
  </si>
  <si>
    <t xml:space="preserve">C. Cash flow from financing activities</t>
  </si>
  <si>
    <t xml:space="preserve">Proceeds from issue of share capital</t>
  </si>
  <si>
    <t xml:space="preserve">Proceeds from / (repayment of) long-term borrowings (net)</t>
  </si>
  <si>
    <t xml:space="preserve">Proceeds from / (repayment of) short-term borrowings (net)</t>
  </si>
  <si>
    <t xml:space="preserve">Finance costs paid</t>
  </si>
  <si>
    <t xml:space="preserve">Dividends paid</t>
  </si>
  <si>
    <t xml:space="preserve">Net cash from / (used in) financing activities (C)</t>
  </si>
  <si>
    <t xml:space="preserve">Net increase / (decrease) in cash and cash equivalents (A + B + C)</t>
  </si>
  <si>
    <t xml:space="preserve">Cash and cash equivalents at the beginning of the year</t>
  </si>
  <si>
    <t xml:space="preserve">Cash and cash equivalents at the end of the year</t>
  </si>
  <si>
    <t xml:space="preserve">Cash and cash equivalents as per balance sheet</t>
  </si>
  <si>
    <t xml:space="preserve">Difference (should be 0)</t>
  </si>
  <si>
    <t xml:space="preserve">Balance sheet</t>
  </si>
  <si>
    <t xml:space="preserve">Enter figures as per the financial statements (₹)</t>
  </si>
  <si>
    <t xml:space="preserve">Particulars (₹)</t>
  </si>
  <si>
    <t xml:space="preserve">Previous year</t>
  </si>
  <si>
    <t xml:space="preserve">Current year</t>
  </si>
  <si>
    <t xml:space="preserve">Equity and liabilities</t>
  </si>
  <si>
    <t xml:space="preserve">Share capital</t>
  </si>
  <si>
    <t xml:space="preserve">Reserves and surplus (other equity)</t>
  </si>
  <si>
    <t xml:space="preserve">Long-term borrowings</t>
  </si>
  <si>
    <t xml:space="preserve">Short-term borrowings</t>
  </si>
  <si>
    <t xml:space="preserve">Trade payables</t>
  </si>
  <si>
    <t xml:space="preserve">Other current liabilities</t>
  </si>
  <si>
    <t xml:space="preserve">Short-term provisions (excl. tax)</t>
  </si>
  <si>
    <t xml:space="preserve">Current tax liabilities (net)</t>
  </si>
  <si>
    <t xml:space="preserve">Total equity and liabilities</t>
  </si>
  <si>
    <t xml:space="preserve">Assets</t>
  </si>
  <si>
    <t xml:space="preserve">Property, plant and equipment (net)</t>
  </si>
  <si>
    <t xml:space="preserve">Non-current investments</t>
  </si>
  <si>
    <t xml:space="preserve">Inventories</t>
  </si>
  <si>
    <t xml:space="preserve">Trade receivables</t>
  </si>
  <si>
    <t xml:space="preserve">Short-term loans and advances</t>
  </si>
  <si>
    <t xml:space="preserve">Other current assets</t>
  </si>
  <si>
    <t xml:space="preserve">Cash and cash equivalents</t>
  </si>
  <si>
    <t xml:space="preserve">Total assets</t>
  </si>
  <si>
    <t xml:space="preserve">Check: assets − liabilities (should be 0)</t>
  </si>
  <si>
    <t xml:space="preserve">Profit &amp; loss and other information</t>
  </si>
  <si>
    <t xml:space="preserve">Current year figures (₹)</t>
  </si>
  <si>
    <t xml:space="preserve">Tax expense (current + deferred)</t>
  </si>
  <si>
    <t xml:space="preserve">Profit / (loss) on sale of PPE</t>
  </si>
  <si>
    <t xml:space="preserve">Enter a loss as a negative number</t>
  </si>
  <si>
    <t xml:space="preserve">Sale proceeds of PPE</t>
  </si>
  <si>
    <t xml:space="preserve">Income tax paid (cash)</t>
  </si>
  <si>
    <t xml:space="preserve">Advance tax + self-assessment tax paid, net of refunds</t>
  </si>
  <si>
    <t xml:space="preserve">Reserves check</t>
  </si>
  <si>
    <t xml:space="preserve">Profit after tax</t>
  </si>
  <si>
    <t xml:space="preserve">Less: dividends paid</t>
  </si>
  <si>
    <t xml:space="preserve">Expected increase in reserves</t>
  </si>
  <si>
    <t xml:space="preserve">Actual increase in reserves (balance sheet)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</si>
</sst>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&gt;=10000000]##\,##\,##\,##0;[&gt;=100000]##\,##\,##0;#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0F2E3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4F7F6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D7A59"/>
      </font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7D6"/>
      <rgbColor rgb="FFF4F7F6"/>
      <rgbColor rgb="FF660066"/>
      <rgbColor rgb="FFFF8080"/>
      <rgbColor rgb="FF0066CC"/>
      <rgbColor rgb="FFD7E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6A"/>
      <rgbColor rgb="FF999999"/>
      <rgbColor rgb="FF0F2E35"/>
      <rgbColor rgb="FF2D7A59"/>
      <rgbColor rgb="FF003300"/>
      <rgbColor rgb="FF333300"/>
      <rgbColor rgb="FFC0392B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30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6" customFormat="false" ht="30" hidden="false" customHeight="true" outlineLevel="0" collapsed="false">
      <c r="B16" s="9" t="s">
        <v>18</v>
      </c>
      <c r="C16" s="10" t="s">
        <v>19</v>
      </c>
    </row>
    <row r="18" customFormat="false" ht="15" hidden="false" customHeight="false" outlineLevel="0" collapsed="false">
      <c r="B18" s="3" t="s">
        <v>20</v>
      </c>
    </row>
    <row r="19" customFormat="false" ht="30" hidden="false" customHeight="true" outlineLevel="0" collapsed="false">
      <c r="C19" s="11" t="s">
        <v>21</v>
      </c>
    </row>
    <row r="20" customFormat="false" ht="30" hidden="false" customHeight="true" outlineLevel="0" collapsed="false">
      <c r="C20" s="11" t="s">
        <v>22</v>
      </c>
    </row>
    <row r="21" customFormat="false" ht="30" hidden="false" customHeight="true" outlineLevel="0" collapsed="false">
      <c r="C21" s="11" t="s">
        <v>23</v>
      </c>
    </row>
    <row r="23" customFormat="false" ht="15" hidden="false" customHeight="false" outlineLevel="0" collapsed="false">
      <c r="B23" s="12" t="s">
        <v>24</v>
      </c>
    </row>
    <row r="25" customFormat="false" ht="15" hidden="false" customHeight="false" outlineLevel="0" collapsed="false">
      <c r="B25" s="3" t="s">
        <v>25</v>
      </c>
    </row>
    <row r="26" customFormat="false" ht="15" hidden="false" customHeight="false" outlineLevel="0" collapsed="false">
      <c r="B26" s="13" t="s">
        <v>26</v>
      </c>
    </row>
    <row r="27" customFormat="false" ht="15" hidden="false" customHeight="false" outlineLevel="0" collapsed="false">
      <c r="B27" s="14" t="s">
        <v>27</v>
      </c>
    </row>
  </sheetData>
  <hyperlinks>
    <hyperlink ref="B26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4" min="3" style="0" width="16"/>
    <col collapsed="false" customWidth="true" hidden="false" outlineLevel="0" max="5" min="5" style="0" width="24"/>
  </cols>
  <sheetData>
    <row r="2" customFormat="false" ht="19.7" hidden="false" customHeight="false" outlineLevel="0" collapsed="false">
      <c r="B2" s="1" t="str">
        <f aca="false">"Cash flow statement for the year"</f>
        <v>Cash flow statement for the year</v>
      </c>
    </row>
    <row r="3" customFormat="false" ht="15" hidden="false" customHeight="false" outlineLevel="0" collapsed="false">
      <c r="B3" s="2" t="s">
        <v>28</v>
      </c>
    </row>
    <row r="5" customFormat="false" ht="30" hidden="false" customHeight="true" outlineLevel="0" collapsed="false">
      <c r="B5" s="15" t="s">
        <v>29</v>
      </c>
      <c r="C5" s="16" t="s">
        <v>30</v>
      </c>
      <c r="D5" s="16" t="s">
        <v>30</v>
      </c>
    </row>
    <row r="6" customFormat="false" ht="15" hidden="false" customHeight="false" outlineLevel="0" collapsed="false">
      <c r="B6" s="3" t="s">
        <v>31</v>
      </c>
    </row>
    <row r="7" customFormat="false" ht="15" hidden="false" customHeight="false" outlineLevel="0" collapsed="false">
      <c r="B7" s="17" t="s">
        <v>32</v>
      </c>
      <c r="C7" s="18" t="n">
        <f aca="false">'P&amp;L &amp; Other Info'!$C$5</f>
        <v>1650000</v>
      </c>
      <c r="D7" s="19"/>
    </row>
    <row r="8" customFormat="false" ht="15" hidden="false" customHeight="false" outlineLevel="0" collapsed="false">
      <c r="B8" s="2" t="s">
        <v>33</v>
      </c>
    </row>
    <row r="9" customFormat="false" ht="15" hidden="false" customHeight="false" outlineLevel="0" collapsed="false">
      <c r="B9" s="17" t="s">
        <v>34</v>
      </c>
      <c r="C9" s="18" t="n">
        <f aca="false">'P&amp;L &amp; Other Info'!$C$7</f>
        <v>410000</v>
      </c>
      <c r="D9" s="19"/>
    </row>
    <row r="10" customFormat="false" ht="15" hidden="false" customHeight="false" outlineLevel="0" collapsed="false">
      <c r="B10" s="17" t="s">
        <v>35</v>
      </c>
      <c r="C10" s="18" t="n">
        <f aca="false">'P&amp;L &amp; Other Info'!$C$8</f>
        <v>210000</v>
      </c>
      <c r="D10" s="19"/>
    </row>
    <row r="11" customFormat="false" ht="15" hidden="false" customHeight="false" outlineLevel="0" collapsed="false">
      <c r="B11" s="17" t="s">
        <v>36</v>
      </c>
      <c r="C11" s="18" t="n">
        <f aca="false">-'P&amp;L &amp; Other Info'!$C$9</f>
        <v>-35000</v>
      </c>
      <c r="D11" s="19"/>
    </row>
    <row r="12" customFormat="false" ht="15" hidden="false" customHeight="false" outlineLevel="0" collapsed="false">
      <c r="B12" s="17" t="s">
        <v>37</v>
      </c>
      <c r="C12" s="18" t="n">
        <f aca="false">-'P&amp;L &amp; Other Info'!$C$10</f>
        <v>-0</v>
      </c>
      <c r="D12" s="19"/>
    </row>
    <row r="13" customFormat="false" ht="15" hidden="false" customHeight="false" outlineLevel="0" collapsed="false">
      <c r="B13" s="17" t="s">
        <v>38</v>
      </c>
      <c r="C13" s="18" t="n">
        <f aca="false">-'P&amp;L &amp; Other Info'!$C$11</f>
        <v>-15000</v>
      </c>
      <c r="D13" s="19"/>
    </row>
    <row r="14" customFormat="false" ht="15" hidden="false" customHeight="false" outlineLevel="0" collapsed="false">
      <c r="B14" s="20" t="s">
        <v>39</v>
      </c>
      <c r="C14" s="21"/>
      <c r="D14" s="22" t="n">
        <f aca="false">SUM(C7:C13)</f>
        <v>2220000</v>
      </c>
    </row>
    <row r="15" customFormat="false" ht="15" hidden="false" customHeight="false" outlineLevel="0" collapsed="false">
      <c r="B15" s="2" t="s">
        <v>40</v>
      </c>
    </row>
    <row r="16" customFormat="false" ht="15" hidden="false" customHeight="false" outlineLevel="0" collapsed="false">
      <c r="B16" s="17" t="s">
        <v>41</v>
      </c>
      <c r="C16" s="18" t="n">
        <f aca="false">-('Balance Sheet'!$D$19-'Balance Sheet'!$C$19)</f>
        <v>-150000</v>
      </c>
      <c r="D16" s="19"/>
    </row>
    <row r="17" customFormat="false" ht="15" hidden="false" customHeight="false" outlineLevel="0" collapsed="false">
      <c r="B17" s="17" t="s">
        <v>42</v>
      </c>
      <c r="C17" s="18" t="n">
        <f aca="false">-('Balance Sheet'!$D$20-'Balance Sheet'!$C$20)</f>
        <v>-320000</v>
      </c>
      <c r="D17" s="19"/>
    </row>
    <row r="18" customFormat="false" ht="15" hidden="false" customHeight="false" outlineLevel="0" collapsed="false">
      <c r="B18" s="17" t="s">
        <v>43</v>
      </c>
      <c r="C18" s="18" t="n">
        <f aca="false">-('Balance Sheet'!$D$21-'Balance Sheet'!$C$21)</f>
        <v>20000</v>
      </c>
      <c r="D18" s="19"/>
    </row>
    <row r="19" customFormat="false" ht="15" hidden="false" customHeight="false" outlineLevel="0" collapsed="false">
      <c r="B19" s="17" t="s">
        <v>44</v>
      </c>
      <c r="C19" s="18" t="n">
        <f aca="false">-('Balance Sheet'!$D$22-'Balance Sheet'!$C$22)</f>
        <v>-20000</v>
      </c>
      <c r="D19" s="19"/>
    </row>
    <row r="20" customFormat="false" ht="15" hidden="false" customHeight="false" outlineLevel="0" collapsed="false">
      <c r="B20" s="17" t="s">
        <v>45</v>
      </c>
      <c r="C20" s="18" t="n">
        <f aca="false">('Balance Sheet'!$D$11-'Balance Sheet'!$C$11)</f>
        <v>180000</v>
      </c>
      <c r="D20" s="19"/>
    </row>
    <row r="21" customFormat="false" ht="15" hidden="false" customHeight="false" outlineLevel="0" collapsed="false">
      <c r="B21" s="17" t="s">
        <v>46</v>
      </c>
      <c r="C21" s="18" t="n">
        <f aca="false">('Balance Sheet'!$D$12-'Balance Sheet'!$C$12)</f>
        <v>60000</v>
      </c>
      <c r="D21" s="19"/>
    </row>
    <row r="22" customFormat="false" ht="15" hidden="false" customHeight="false" outlineLevel="0" collapsed="false">
      <c r="B22" s="17" t="s">
        <v>47</v>
      </c>
      <c r="C22" s="18" t="n">
        <f aca="false">('Balance Sheet'!$D$13-'Balance Sheet'!$C$13)</f>
        <v>30000</v>
      </c>
      <c r="D22" s="19"/>
    </row>
    <row r="23" customFormat="false" ht="15" hidden="false" customHeight="false" outlineLevel="0" collapsed="false">
      <c r="B23" s="20" t="s">
        <v>48</v>
      </c>
      <c r="C23" s="21"/>
      <c r="D23" s="22" t="n">
        <f aca="false">D14+SUM(C15:C22)</f>
        <v>2020000</v>
      </c>
    </row>
    <row r="24" customFormat="false" ht="15" hidden="false" customHeight="false" outlineLevel="0" collapsed="false">
      <c r="B24" s="17" t="s">
        <v>49</v>
      </c>
      <c r="C24" s="18" t="n">
        <f aca="false">-'P&amp;L &amp; Other Info'!$C$13</f>
        <v>-410000</v>
      </c>
      <c r="D24" s="19"/>
    </row>
    <row r="25" customFormat="false" ht="15" hidden="false" customHeight="false" outlineLevel="0" collapsed="false">
      <c r="B25" s="20" t="s">
        <v>50</v>
      </c>
      <c r="C25" s="21"/>
      <c r="D25" s="22" t="n">
        <f aca="false">D23+SUM(C24:C24)</f>
        <v>1610000</v>
      </c>
    </row>
    <row r="27" customFormat="false" ht="15" hidden="false" customHeight="false" outlineLevel="0" collapsed="false">
      <c r="B27" s="3" t="s">
        <v>51</v>
      </c>
    </row>
    <row r="28" customFormat="false" ht="15" hidden="false" customHeight="false" outlineLevel="0" collapsed="false">
      <c r="B28" s="17" t="s">
        <v>52</v>
      </c>
      <c r="C28" s="18" t="n">
        <f aca="false">-('Balance Sheet'!$D$17-'Balance Sheet'!$C$17+'P&amp;L &amp; Other Info'!$C$7+('P&amp;L &amp; Other Info'!$C$12-'P&amp;L &amp; Other Info'!$C$11))</f>
        <v>-910000</v>
      </c>
      <c r="D28" s="19"/>
    </row>
    <row r="29" customFormat="false" ht="15" hidden="false" customHeight="false" outlineLevel="0" collapsed="false">
      <c r="B29" s="17" t="s">
        <v>53</v>
      </c>
      <c r="C29" s="18" t="n">
        <f aca="false">'P&amp;L &amp; Other Info'!$C$12</f>
        <v>75000</v>
      </c>
      <c r="D29" s="19"/>
    </row>
    <row r="30" customFormat="false" ht="15" hidden="false" customHeight="false" outlineLevel="0" collapsed="false">
      <c r="B30" s="17" t="s">
        <v>54</v>
      </c>
      <c r="C30" s="18" t="n">
        <f aca="false">-('Balance Sheet'!$D$18-'Balance Sheet'!$C$18)</f>
        <v>-200000</v>
      </c>
      <c r="D30" s="19"/>
    </row>
    <row r="31" customFormat="false" ht="15" hidden="false" customHeight="false" outlineLevel="0" collapsed="false">
      <c r="B31" s="17" t="s">
        <v>55</v>
      </c>
      <c r="C31" s="18" t="n">
        <f aca="false">'P&amp;L &amp; Other Info'!$C$9</f>
        <v>35000</v>
      </c>
      <c r="D31" s="19"/>
    </row>
    <row r="32" customFormat="false" ht="15" hidden="false" customHeight="false" outlineLevel="0" collapsed="false">
      <c r="B32" s="17" t="s">
        <v>56</v>
      </c>
      <c r="C32" s="18" t="n">
        <f aca="false">'P&amp;L &amp; Other Info'!$C$10</f>
        <v>0</v>
      </c>
      <c r="D32" s="19"/>
    </row>
    <row r="33" customFormat="false" ht="15" hidden="false" customHeight="false" outlineLevel="0" collapsed="false">
      <c r="B33" s="20" t="s">
        <v>57</v>
      </c>
      <c r="C33" s="21"/>
      <c r="D33" s="22" t="n">
        <f aca="false">SUM(C28:C32)</f>
        <v>-1000000</v>
      </c>
    </row>
    <row r="35" customFormat="false" ht="15" hidden="false" customHeight="false" outlineLevel="0" collapsed="false">
      <c r="B35" s="3" t="s">
        <v>58</v>
      </c>
    </row>
    <row r="36" customFormat="false" ht="15" hidden="false" customHeight="false" outlineLevel="0" collapsed="false">
      <c r="B36" s="17" t="s">
        <v>59</v>
      </c>
      <c r="C36" s="18" t="n">
        <f aca="false">('Balance Sheet'!$D$7-'Balance Sheet'!$C$7)</f>
        <v>500000</v>
      </c>
      <c r="D36" s="19"/>
    </row>
    <row r="37" customFormat="false" ht="15" hidden="false" customHeight="false" outlineLevel="0" collapsed="false">
      <c r="B37" s="17" t="s">
        <v>60</v>
      </c>
      <c r="C37" s="18" t="n">
        <f aca="false">('Balance Sheet'!$D$9-'Balance Sheet'!$C$9)</f>
        <v>-300000</v>
      </c>
      <c r="D37" s="19"/>
    </row>
    <row r="38" customFormat="false" ht="15" hidden="false" customHeight="false" outlineLevel="0" collapsed="false">
      <c r="B38" s="17" t="s">
        <v>61</v>
      </c>
      <c r="C38" s="18" t="n">
        <f aca="false">('Balance Sheet'!$D$10-'Balance Sheet'!$C$10)</f>
        <v>150000</v>
      </c>
      <c r="D38" s="19"/>
    </row>
    <row r="39" customFormat="false" ht="15" hidden="false" customHeight="false" outlineLevel="0" collapsed="false">
      <c r="B39" s="17" t="s">
        <v>62</v>
      </c>
      <c r="C39" s="18" t="n">
        <f aca="false">-'P&amp;L &amp; Other Info'!$C$8</f>
        <v>-210000</v>
      </c>
      <c r="D39" s="19"/>
    </row>
    <row r="40" customFormat="false" ht="15" hidden="false" customHeight="false" outlineLevel="0" collapsed="false">
      <c r="B40" s="17" t="s">
        <v>63</v>
      </c>
      <c r="C40" s="18" t="n">
        <f aca="false">-'P&amp;L &amp; Other Info'!$C$14</f>
        <v>-350000</v>
      </c>
      <c r="D40" s="19"/>
    </row>
    <row r="41" customFormat="false" ht="15" hidden="false" customHeight="false" outlineLevel="0" collapsed="false">
      <c r="B41" s="20" t="s">
        <v>64</v>
      </c>
      <c r="C41" s="21"/>
      <c r="D41" s="22" t="n">
        <f aca="false">SUM(C36:C40)</f>
        <v>-210000</v>
      </c>
    </row>
    <row r="43" customFormat="false" ht="15" hidden="false" customHeight="false" outlineLevel="0" collapsed="false">
      <c r="B43" s="20" t="s">
        <v>65</v>
      </c>
      <c r="C43" s="21"/>
      <c r="D43" s="22" t="n">
        <f aca="false">D25+D33+D41</f>
        <v>400000</v>
      </c>
    </row>
    <row r="45" customFormat="false" ht="15" hidden="false" customHeight="false" outlineLevel="0" collapsed="false">
      <c r="B45" s="17" t="s">
        <v>66</v>
      </c>
      <c r="C45" s="18" t="n">
        <f aca="false">'Balance Sheet'!$C$23</f>
        <v>450000</v>
      </c>
      <c r="D45" s="19"/>
    </row>
    <row r="46" customFormat="false" ht="15" hidden="false" customHeight="false" outlineLevel="0" collapsed="false">
      <c r="B46" s="20" t="s">
        <v>67</v>
      </c>
      <c r="C46" s="21"/>
      <c r="D46" s="22" t="n">
        <f aca="false">D43+C45</f>
        <v>850000</v>
      </c>
    </row>
    <row r="48" customFormat="false" ht="15" hidden="false" customHeight="false" outlineLevel="0" collapsed="false">
      <c r="B48" s="17" t="s">
        <v>68</v>
      </c>
      <c r="C48" s="18" t="n">
        <f aca="false">'Balance Sheet'!$D$23</f>
        <v>850000</v>
      </c>
      <c r="D48" s="19"/>
    </row>
    <row r="49" customFormat="false" ht="15" hidden="false" customHeight="false" outlineLevel="0" collapsed="false">
      <c r="B49" s="23" t="s">
        <v>69</v>
      </c>
      <c r="C49" s="19"/>
      <c r="D49" s="24" t="n">
        <f aca="false">D46-C48</f>
        <v>0</v>
      </c>
      <c r="E49" s="9" t="str">
        <f aca="false">IF(ABS(D49)&lt;1,"✓ Ties to balance sheet","✗ Check inputs")</f>
        <v>✓ Ties to balance sheet</v>
      </c>
    </row>
  </sheetData>
  <conditionalFormatting sqref="E49">
    <cfRule type="expression" priority="2" aboveAverage="0" equalAverage="0" bottom="0" percent="0" rank="0" text="" dxfId="0">
      <formula>ABS($D$49)&lt;1</formula>
    </cfRule>
    <cfRule type="expression" priority="3" aboveAverage="0" equalAverage="0" bottom="0" percent="0" rank="0" text="" dxfId="1">
      <formula>ABS($D$49)&gt;=1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4" min="3" style="0" width="16"/>
  </cols>
  <sheetData>
    <row r="2" customFormat="false" ht="19.7" hidden="false" customHeight="false" outlineLevel="0" collapsed="false">
      <c r="B2" s="1" t="s">
        <v>70</v>
      </c>
    </row>
    <row r="3" customFormat="false" ht="15" hidden="false" customHeight="false" outlineLevel="0" collapsed="false">
      <c r="B3" s="2" t="s">
        <v>71</v>
      </c>
    </row>
    <row r="5" customFormat="false" ht="30" hidden="false" customHeight="true" outlineLevel="0" collapsed="false">
      <c r="B5" s="15" t="s">
        <v>72</v>
      </c>
      <c r="C5" s="16" t="s">
        <v>73</v>
      </c>
      <c r="D5" s="16" t="s">
        <v>74</v>
      </c>
    </row>
    <row r="6" customFormat="false" ht="15" hidden="false" customHeight="false" outlineLevel="0" collapsed="false">
      <c r="B6" s="25" t="s">
        <v>75</v>
      </c>
    </row>
    <row r="7" customFormat="false" ht="15" hidden="false" customHeight="false" outlineLevel="0" collapsed="false">
      <c r="B7" s="17" t="s">
        <v>76</v>
      </c>
      <c r="C7" s="26" t="n">
        <v>1000000</v>
      </c>
      <c r="D7" s="26" t="n">
        <v>1500000</v>
      </c>
    </row>
    <row r="8" customFormat="false" ht="15" hidden="false" customHeight="false" outlineLevel="0" collapsed="false">
      <c r="B8" s="17" t="s">
        <v>77</v>
      </c>
      <c r="C8" s="26" t="n">
        <v>2400000</v>
      </c>
      <c r="D8" s="26" t="n">
        <v>3270000</v>
      </c>
    </row>
    <row r="9" customFormat="false" ht="15" hidden="false" customHeight="false" outlineLevel="0" collapsed="false">
      <c r="B9" s="17" t="s">
        <v>78</v>
      </c>
      <c r="C9" s="26" t="n">
        <v>1800000</v>
      </c>
      <c r="D9" s="26" t="n">
        <v>1500000</v>
      </c>
    </row>
    <row r="10" customFormat="false" ht="15" hidden="false" customHeight="false" outlineLevel="0" collapsed="false">
      <c r="B10" s="17" t="s">
        <v>79</v>
      </c>
      <c r="C10" s="26" t="n">
        <v>500000</v>
      </c>
      <c r="D10" s="26" t="n">
        <v>650000</v>
      </c>
    </row>
    <row r="11" customFormat="false" ht="15" hidden="false" customHeight="false" outlineLevel="0" collapsed="false">
      <c r="B11" s="17" t="s">
        <v>80</v>
      </c>
      <c r="C11" s="26" t="n">
        <v>900000</v>
      </c>
      <c r="D11" s="26" t="n">
        <v>1080000</v>
      </c>
    </row>
    <row r="12" customFormat="false" ht="15" hidden="false" customHeight="false" outlineLevel="0" collapsed="false">
      <c r="B12" s="17" t="s">
        <v>81</v>
      </c>
      <c r="C12" s="26" t="n">
        <v>300000</v>
      </c>
      <c r="D12" s="26" t="n">
        <v>360000</v>
      </c>
    </row>
    <row r="13" customFormat="false" ht="15" hidden="false" customHeight="false" outlineLevel="0" collapsed="false">
      <c r="B13" s="17" t="s">
        <v>82</v>
      </c>
      <c r="C13" s="26" t="n">
        <v>120000</v>
      </c>
      <c r="D13" s="26" t="n">
        <v>150000</v>
      </c>
    </row>
    <row r="14" customFormat="false" ht="15" hidden="false" customHeight="false" outlineLevel="0" collapsed="false">
      <c r="B14" s="17" t="s">
        <v>83</v>
      </c>
      <c r="C14" s="26" t="n">
        <v>80000</v>
      </c>
      <c r="D14" s="26" t="n">
        <v>100000</v>
      </c>
    </row>
    <row r="15" customFormat="false" ht="15" hidden="false" customHeight="false" outlineLevel="0" collapsed="false">
      <c r="B15" s="20" t="s">
        <v>84</v>
      </c>
      <c r="C15" s="22" t="n">
        <f aca="false">SUM(C7:C14)</f>
        <v>7100000</v>
      </c>
      <c r="D15" s="22" t="n">
        <f aca="false">SUM(D7:D14)</f>
        <v>8610000</v>
      </c>
    </row>
    <row r="16" customFormat="false" ht="15" hidden="false" customHeight="false" outlineLevel="0" collapsed="false">
      <c r="B16" s="25" t="s">
        <v>85</v>
      </c>
    </row>
    <row r="17" customFormat="false" ht="15" hidden="false" customHeight="false" outlineLevel="0" collapsed="false">
      <c r="B17" s="17" t="s">
        <v>86</v>
      </c>
      <c r="C17" s="26" t="n">
        <v>3200000</v>
      </c>
      <c r="D17" s="26" t="n">
        <v>3640000</v>
      </c>
    </row>
    <row r="18" customFormat="false" ht="15" hidden="false" customHeight="false" outlineLevel="0" collapsed="false">
      <c r="B18" s="17" t="s">
        <v>87</v>
      </c>
      <c r="C18" s="26" t="n">
        <v>500000</v>
      </c>
      <c r="D18" s="26" t="n">
        <v>700000</v>
      </c>
    </row>
    <row r="19" customFormat="false" ht="15" hidden="false" customHeight="false" outlineLevel="0" collapsed="false">
      <c r="B19" s="17" t="s">
        <v>88</v>
      </c>
      <c r="C19" s="26" t="n">
        <v>1100000</v>
      </c>
      <c r="D19" s="26" t="n">
        <v>1250000</v>
      </c>
    </row>
    <row r="20" customFormat="false" ht="15" hidden="false" customHeight="false" outlineLevel="0" collapsed="false">
      <c r="B20" s="17" t="s">
        <v>89</v>
      </c>
      <c r="C20" s="26" t="n">
        <v>1500000</v>
      </c>
      <c r="D20" s="26" t="n">
        <v>1820000</v>
      </c>
    </row>
    <row r="21" customFormat="false" ht="15" hidden="false" customHeight="false" outlineLevel="0" collapsed="false">
      <c r="B21" s="17" t="s">
        <v>90</v>
      </c>
      <c r="C21" s="26" t="n">
        <v>200000</v>
      </c>
      <c r="D21" s="26" t="n">
        <v>180000</v>
      </c>
    </row>
    <row r="22" customFormat="false" ht="15" hidden="false" customHeight="false" outlineLevel="0" collapsed="false">
      <c r="B22" s="17" t="s">
        <v>91</v>
      </c>
      <c r="C22" s="26" t="n">
        <v>150000</v>
      </c>
      <c r="D22" s="26" t="n">
        <v>170000</v>
      </c>
    </row>
    <row r="23" customFormat="false" ht="15" hidden="false" customHeight="false" outlineLevel="0" collapsed="false">
      <c r="B23" s="17" t="s">
        <v>92</v>
      </c>
      <c r="C23" s="26" t="n">
        <v>450000</v>
      </c>
      <c r="D23" s="26" t="n">
        <v>850000</v>
      </c>
    </row>
    <row r="24" customFormat="false" ht="15" hidden="false" customHeight="false" outlineLevel="0" collapsed="false">
      <c r="B24" s="20" t="s">
        <v>93</v>
      </c>
      <c r="C24" s="22" t="n">
        <f aca="false">SUM(C17:C23)</f>
        <v>7100000</v>
      </c>
      <c r="D24" s="22" t="n">
        <f aca="false">SUM(D17:D23)</f>
        <v>8610000</v>
      </c>
    </row>
    <row r="26" customFormat="false" ht="15" hidden="false" customHeight="false" outlineLevel="0" collapsed="false">
      <c r="B26" s="23" t="s">
        <v>94</v>
      </c>
      <c r="C26" s="24" t="n">
        <f aca="false">C24-C15</f>
        <v>0</v>
      </c>
      <c r="D26" s="24" t="n">
        <f aca="false">D24-D15</f>
        <v>0</v>
      </c>
    </row>
  </sheetData>
  <conditionalFormatting sqref="C26:D26">
    <cfRule type="expression" priority="2" aboveAverage="0" equalAverage="0" bottom="0" percent="0" rank="0" text="" dxfId="1">
      <formula>ABS(C26)&gt;=1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1" t="s">
        <v>95</v>
      </c>
    </row>
    <row r="3" customFormat="false" ht="15" hidden="false" customHeight="false" outlineLevel="0" collapsed="false">
      <c r="B3" s="2" t="s">
        <v>96</v>
      </c>
    </row>
    <row r="5" customFormat="false" ht="15" hidden="false" customHeight="false" outlineLevel="0" collapsed="false">
      <c r="B5" s="7" t="s">
        <v>32</v>
      </c>
      <c r="C5" s="26" t="n">
        <v>1650000</v>
      </c>
      <c r="D5" s="2"/>
    </row>
    <row r="6" customFormat="false" ht="15" hidden="false" customHeight="false" outlineLevel="0" collapsed="false">
      <c r="B6" s="7" t="s">
        <v>97</v>
      </c>
      <c r="C6" s="26" t="n">
        <v>430000</v>
      </c>
      <c r="D6" s="2"/>
    </row>
    <row r="7" customFormat="false" ht="15" hidden="false" customHeight="false" outlineLevel="0" collapsed="false">
      <c r="B7" s="7" t="s">
        <v>34</v>
      </c>
      <c r="C7" s="26" t="n">
        <v>410000</v>
      </c>
      <c r="D7" s="2"/>
    </row>
    <row r="8" customFormat="false" ht="15" hidden="false" customHeight="false" outlineLevel="0" collapsed="false">
      <c r="B8" s="7" t="s">
        <v>35</v>
      </c>
      <c r="C8" s="26" t="n">
        <v>210000</v>
      </c>
      <c r="D8" s="2"/>
    </row>
    <row r="9" customFormat="false" ht="15" hidden="false" customHeight="false" outlineLevel="0" collapsed="false">
      <c r="B9" s="7" t="s">
        <v>36</v>
      </c>
      <c r="C9" s="26" t="n">
        <v>35000</v>
      </c>
      <c r="D9" s="2"/>
    </row>
    <row r="10" customFormat="false" ht="15" hidden="false" customHeight="false" outlineLevel="0" collapsed="false">
      <c r="B10" s="7" t="s">
        <v>37</v>
      </c>
      <c r="C10" s="26" t="n">
        <v>0</v>
      </c>
      <c r="D10" s="2"/>
    </row>
    <row r="11" customFormat="false" ht="15" hidden="false" customHeight="false" outlineLevel="0" collapsed="false">
      <c r="B11" s="7" t="s">
        <v>98</v>
      </c>
      <c r="C11" s="26" t="n">
        <v>15000</v>
      </c>
      <c r="D11" s="2" t="s">
        <v>99</v>
      </c>
    </row>
    <row r="12" customFormat="false" ht="15" hidden="false" customHeight="false" outlineLevel="0" collapsed="false">
      <c r="B12" s="7" t="s">
        <v>100</v>
      </c>
      <c r="C12" s="26" t="n">
        <v>75000</v>
      </c>
      <c r="D12" s="2"/>
    </row>
    <row r="13" customFormat="false" ht="15" hidden="false" customHeight="false" outlineLevel="0" collapsed="false">
      <c r="B13" s="7" t="s">
        <v>101</v>
      </c>
      <c r="C13" s="26" t="n">
        <v>410000</v>
      </c>
      <c r="D13" s="2" t="s">
        <v>102</v>
      </c>
    </row>
    <row r="14" customFormat="false" ht="15" hidden="false" customHeight="false" outlineLevel="0" collapsed="false">
      <c r="B14" s="7" t="s">
        <v>63</v>
      </c>
      <c r="C14" s="26" t="n">
        <v>350000</v>
      </c>
      <c r="D14" s="2"/>
    </row>
    <row r="16" customFormat="false" ht="15" hidden="false" customHeight="false" outlineLevel="0" collapsed="false">
      <c r="B16" s="3" t="s">
        <v>103</v>
      </c>
    </row>
    <row r="17" customFormat="false" ht="15" hidden="false" customHeight="false" outlineLevel="0" collapsed="false">
      <c r="B17" s="7" t="s">
        <v>104</v>
      </c>
      <c r="C17" s="18" t="n">
        <f aca="false">C5-C6</f>
        <v>1220000</v>
      </c>
    </row>
    <row r="18" customFormat="false" ht="15" hidden="false" customHeight="false" outlineLevel="0" collapsed="false">
      <c r="B18" s="7" t="s">
        <v>105</v>
      </c>
      <c r="C18" s="18" t="n">
        <f aca="false">C14</f>
        <v>350000</v>
      </c>
    </row>
    <row r="19" customFormat="false" ht="15" hidden="false" customHeight="false" outlineLevel="0" collapsed="false">
      <c r="B19" s="23" t="s">
        <v>106</v>
      </c>
      <c r="C19" s="24" t="n">
        <f aca="false">C17-C18</f>
        <v>870000</v>
      </c>
    </row>
    <row r="20" customFormat="false" ht="15" hidden="false" customHeight="false" outlineLevel="0" collapsed="false">
      <c r="B20" s="7" t="s">
        <v>107</v>
      </c>
      <c r="C20" s="18" t="n">
        <f aca="false">'Balance Sheet'!$D$8-'Balance Sheet'!$C$8</f>
        <v>870000</v>
      </c>
    </row>
    <row r="21" customFormat="false" ht="15" hidden="false" customHeight="false" outlineLevel="0" collapsed="false">
      <c r="B21" s="23" t="s">
        <v>69</v>
      </c>
      <c r="C21" s="24" t="n">
        <f aca="false">C20-C19</f>
        <v>0</v>
      </c>
    </row>
  </sheetData>
  <conditionalFormatting sqref="C21">
    <cfRule type="expression" priority="2" aboveAverage="0" equalAverage="0" bottom="0" percent="0" rank="0" text="" dxfId="1">
      <formula>ABS(C21)&gt;=1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2026-10-26T18:06:14Z</dcterms:created>
  <dc:creator>openpyxl</dc:creator>
  <dc:description/>
  <dc:language>en-US</dc:language>
  <cp:lastModifiedBy/>
  <dcterms:modified xsi:type="dcterms:W3CDTF">2026-10-26T18:06:14Z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